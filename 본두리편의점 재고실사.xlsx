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현재_통합_문서"/>
  <bookViews>
    <workbookView visibility="visible" minimized="0" showHorizontalScroll="1" showVerticalScroll="1" showSheetTabs="1" xWindow="-120" yWindow="-120" windowWidth="29040" windowHeight="15840" tabRatio="819" firstSheet="1" activeTab="9" autoFilterDateGrouping="1"/>
  </bookViews>
  <sheets>
    <sheet name="월마감" sheetId="1" state="hidden" r:id="rId1"/>
    <sheet name="제품등록" sheetId="2" state="visible" r:id="rId2"/>
    <sheet name="재고차이" sheetId="3" state="visible" r:id="rId3"/>
    <sheet name="창고1(실사표)" sheetId="4" state="visible" r:id="rId4"/>
    <sheet name="창고2(실사표)" sheetId="5" state="visible" r:id="rId5"/>
    <sheet name="창고3(실사표)" sheetId="6" state="visible" r:id="rId6"/>
    <sheet name="믹스(잔량실사표)" sheetId="7" state="visible" r:id="rId7"/>
    <sheet name="파손품" sheetId="8" state="visible" r:id="rId8"/>
    <sheet name="동파파손" sheetId="9" state="visible" r:id="rId9"/>
    <sheet name="정리표" sheetId="10" state="visible" r:id="rId10"/>
    <sheet name="SAP(B117)" sheetId="11" state="visible" r:id="rId11"/>
    <sheet name="테그" sheetId="12" state="visible" r:id="rId12"/>
    <sheet name="주간상차" sheetId="13" state="visible" r:id="rId13"/>
    <sheet name="파렛트 월말재고실사" sheetId="14" state="visible" r:id="rId14"/>
    <sheet name="재고표_출력" sheetId="15" state="visible" r:id="rId15"/>
  </sheets>
  <definedNames>
    <definedName name="상미70">'창고1(실사표)'!#REF!</definedName>
    <definedName name="상미75">'창고1(실사표)'!$N$1</definedName>
    <definedName name="_xlnm._FilterDatabase" localSheetId="0" hidden="1">'월마감'!$A$3:$N$183</definedName>
    <definedName name="_xlnm.Print_Area" localSheetId="0">'월마감'!$A$3:$U$183</definedName>
    <definedName name="_xlnm._FilterDatabase" localSheetId="1" hidden="1">'제품등록'!$A$1:$G$1125</definedName>
    <definedName name="_xlnm._FilterDatabase" localSheetId="2" hidden="1">'재고차이'!$A$3:$R$207</definedName>
    <definedName name="_xlnm.Print_Area" localSheetId="2">'재고차이'!$A$3:$M$207</definedName>
    <definedName name="_xlnm._FilterDatabase" localSheetId="3" hidden="1">'창고1(실사표)'!$A$2:$P$2</definedName>
    <definedName name="_xlnm.Print_Area" localSheetId="3">'창고1(실사표)'!$A$1:$J$2</definedName>
    <definedName name="_xlnm._FilterDatabase" localSheetId="4" hidden="1">'창고2(실사표)'!$A$2:$Q$2</definedName>
    <definedName name="_xlnm.Print_Area" localSheetId="4">'창고2(실사표)'!$A$1:$I$2</definedName>
    <definedName name="_xlnm._FilterDatabase" localSheetId="5" hidden="1">'창고3(실사표)'!$A$2:$Q$2</definedName>
    <definedName name="_xlnm.Print_Area" localSheetId="5">'창고3(실사표)'!$A$1:$I$2</definedName>
    <definedName name="_xlnm._FilterDatabase" localSheetId="6" hidden="1">'믹스(잔량실사표)'!$A$2:$Q$2</definedName>
    <definedName name="_xlnm.Print_Area" localSheetId="6">'믹스(잔량실사표)'!$A$1:$I$2</definedName>
    <definedName name="_xlnm.Print_Area" localSheetId="7">'파손품'!$C$1:$I$64</definedName>
    <definedName name="_xlnm.Print_Area" localSheetId="8">'동파파손'!$C$1:$I$43</definedName>
    <definedName name="상미70" localSheetId="9">정리표!#REF!</definedName>
    <definedName name="상미75" localSheetId="9">정리표!$N$1</definedName>
    <definedName name="_xlnm._FilterDatabase" localSheetId="9" hidden="1">'정리표'!$A$2:$O$201</definedName>
    <definedName name="_xlnm.Print_Area" localSheetId="9">'정리표'!$A$1:$J$2</definedName>
    <definedName name="_xlnm.Print_Area" localSheetId="11">'테그'!$A$1</definedName>
    <definedName name="_xlnm._FilterDatabase" localSheetId="12" hidden="1">'주간상차'!$A$2:$I$161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_);[Red]\(#,##0\)"/>
    <numFmt numFmtId="165" formatCode="_-* #,##0_-;\-* #,##0_-;_-* &quot;-&quot;_-;_-@_-"/>
    <numFmt numFmtId="166" formatCode="_-* #,##0.00_-;\-* #,##0.00_-;_-* &quot;-&quot;??_-;_-@_-"/>
    <numFmt numFmtId="167" formatCode="#,##0_ "/>
    <numFmt numFmtId="168" formatCode="yyyy&quot;년&quot;\ m&quot;월&quot;\ d&quot;일&quot;;@"/>
    <numFmt numFmtId="169" formatCode="0_ "/>
    <numFmt numFmtId="170" formatCode="m&quot;/&quot;d;@"/>
    <numFmt numFmtId="171" formatCode="0.0"/>
    <numFmt numFmtId="172" formatCode="#,##0.00_ "/>
    <numFmt numFmtId="173" formatCode="mm&quot;월&quot;\ dd&quot;일&quot;"/>
    <numFmt numFmtId="174" formatCode="#,##0.000"/>
  </numFmts>
  <fonts count="128">
    <font>
      <name val="맑은 고딕"/>
      <charset val="129"/>
      <family val="3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sz val="8"/>
    </font>
    <font>
      <name val="돋움"/>
      <charset val="129"/>
      <family val="3"/>
      <sz val="11"/>
    </font>
    <font>
      <name val="굴림체"/>
      <charset val="129"/>
      <family val="3"/>
      <sz val="10"/>
    </font>
    <font>
      <name val="맑은 고딕"/>
      <charset val="129"/>
      <family val="3"/>
      <sz val="8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color rgb="FF3F3F76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theme="1"/>
      <sz val="18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indexed="10"/>
      <sz val="11"/>
    </font>
    <font>
      <name val="맑은 고딕"/>
      <charset val="129"/>
      <family val="3"/>
      <color theme="1"/>
      <sz val="16"/>
      <scheme val="minor"/>
    </font>
    <font>
      <name val="맑은 고딕"/>
      <charset val="129"/>
      <family val="3"/>
      <color indexed="8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i val="1"/>
      <color rgb="FFFF0000"/>
      <sz val="11"/>
      <u val="singleAccounting"/>
      <scheme val="minor"/>
    </font>
    <font>
      <name val="굴림"/>
      <charset val="129"/>
      <family val="3"/>
      <b val="1"/>
      <sz val="26"/>
    </font>
    <font>
      <name val="굴림"/>
      <charset val="129"/>
      <family val="3"/>
      <b val="1"/>
      <sz val="24"/>
    </font>
    <font>
      <name val="돋움"/>
      <charset val="129"/>
      <family val="3"/>
      <b val="1"/>
      <sz val="18"/>
    </font>
    <font>
      <name val="돋움"/>
      <charset val="129"/>
      <family val="3"/>
      <sz val="9"/>
    </font>
    <font>
      <name val="돋움"/>
      <charset val="129"/>
      <family val="3"/>
      <sz val="11"/>
      <u val="single"/>
    </font>
    <font>
      <name val="돋움"/>
      <charset val="129"/>
      <family val="3"/>
      <sz val="12"/>
    </font>
    <font>
      <name val="맑은 고딕"/>
      <charset val="129"/>
      <family val="3"/>
      <sz val="9"/>
      <scheme val="minor"/>
    </font>
    <font>
      <name val="돋움"/>
      <charset val="129"/>
      <family val="3"/>
      <b val="1"/>
      <sz val="12"/>
    </font>
    <font>
      <name val="맑은 고딕"/>
      <charset val="129"/>
      <family val="2"/>
      <color theme="0"/>
      <sz val="11"/>
      <scheme val="minor"/>
    </font>
    <font>
      <name val="돋움"/>
      <charset val="129"/>
      <family val="3"/>
      <sz val="14"/>
    </font>
    <font>
      <name val="맑은 고딕"/>
      <charset val="129"/>
      <family val="2"/>
      <color theme="1"/>
      <sz val="14"/>
      <scheme val="minor"/>
    </font>
    <font>
      <name val="돋움"/>
      <charset val="129"/>
      <family val="3"/>
      <color theme="1"/>
      <sz val="11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b val="1"/>
      <color theme="0"/>
      <sz val="12"/>
      <scheme val="minor"/>
    </font>
    <font>
      <name val="맑은 고딕"/>
      <charset val="129"/>
      <family val="3"/>
      <color theme="1"/>
      <sz val="9.5"/>
      <scheme val="minor"/>
    </font>
    <font>
      <name val="맑은 고딕"/>
      <charset val="129"/>
      <family val="3"/>
      <b val="1"/>
      <color theme="1"/>
      <sz val="60"/>
      <scheme val="minor"/>
    </font>
    <font>
      <name val="맑은 고딕"/>
      <charset val="129"/>
      <family val="3"/>
      <b val="1"/>
      <color theme="1"/>
      <sz val="50"/>
      <scheme val="minor"/>
    </font>
    <font>
      <name val="맑은 고딕"/>
      <charset val="129"/>
      <family val="3"/>
      <color rgb="FFFF0000"/>
      <sz val="10"/>
      <scheme val="minor"/>
    </font>
    <font>
      <name val="맑은 고딕"/>
      <charset val="129"/>
      <family val="3"/>
      <color rgb="FFFF0000"/>
      <sz val="10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sz val="12"/>
      <scheme val="minor"/>
    </font>
    <font>
      <name val="맑은 고딕"/>
      <charset val="129"/>
      <family val="3"/>
      <color theme="1"/>
      <sz val="12"/>
      <scheme val="minor"/>
    </font>
    <font>
      <name val="돋움"/>
      <charset val="129"/>
      <family val="3"/>
      <color theme="1"/>
      <sz val="12"/>
    </font>
    <font>
      <name val="맑은 고딕"/>
      <charset val="129"/>
      <family val="3"/>
      <color rgb="FFFF0000"/>
      <sz val="11"/>
      <scheme val="minor"/>
    </font>
    <font>
      <name val="맑은 고딕"/>
      <b val="1"/>
      <sz val="11"/>
    </font>
    <font>
      <name val="맑은 고딕"/>
      <sz val="10"/>
    </font>
    <font>
      <name val="맑은 고딕"/>
      <b val="1"/>
      <sz val="12"/>
    </font>
  </fonts>
  <fills count="22">
    <fill>
      <patternFill/>
    </fill>
    <fill>
      <patternFill patternType="gray125"/>
    </fill>
    <fill>
      <patternFill patternType="solid">
        <fgColor theme="5" tint="0.5999938962981048"/>
        <bgColor indexed="65"/>
      </patternFill>
    </fill>
    <fill>
      <patternFill patternType="solid">
        <fgColor theme="6"/>
      </patternFill>
    </fill>
    <fill>
      <patternFill patternType="solid">
        <fgColor rgb="FFFFCC99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5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00B0F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1220">
    <xf numFmtId="0" fontId="84" fillId="0" borderId="0" applyAlignment="1">
      <alignment vertical="center"/>
    </xf>
    <xf numFmtId="0" fontId="84" fillId="2" borderId="0" applyAlignment="1">
      <alignment vertical="center"/>
    </xf>
    <xf numFmtId="0" fontId="85" fillId="3" borderId="0" applyAlignment="1">
      <alignment vertical="center"/>
    </xf>
    <xf numFmtId="9" fontId="81" fillId="0" borderId="0"/>
    <xf numFmtId="9" fontId="81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0" fontId="87" fillId="4" borderId="8" applyAlignment="1">
      <alignment vertical="center"/>
    </xf>
    <xf numFmtId="41" fontId="82" fillId="0" borderId="0"/>
    <xf numFmtId="0" fontId="81" fillId="0" borderId="0"/>
    <xf numFmtId="0" fontId="81" fillId="0" borderId="0"/>
    <xf numFmtId="0" fontId="81" fillId="0" borderId="0" applyAlignment="1">
      <alignment vertical="center"/>
    </xf>
    <xf numFmtId="0" fontId="86" fillId="0" borderId="0" applyAlignment="1">
      <alignment vertical="center"/>
    </xf>
    <xf numFmtId="0" fontId="86" fillId="0" borderId="0" applyAlignment="1">
      <alignment vertical="center"/>
    </xf>
    <xf numFmtId="41" fontId="84" fillId="0" borderId="0" applyAlignment="1">
      <alignment vertical="center"/>
    </xf>
    <xf numFmtId="9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0" fontId="109" fillId="18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41" fontId="84" fillId="0" borderId="0" applyAlignment="1">
      <alignment vertical="center"/>
    </xf>
    <xf numFmtId="41" fontId="81" fillId="0" borderId="0"/>
    <xf numFmtId="41" fontId="81" fillId="0" borderId="0" applyAlignment="1">
      <alignment vertical="center"/>
    </xf>
    <xf numFmtId="41" fontId="86" fillId="0" borderId="0" applyAlignment="1">
      <alignment vertical="center"/>
    </xf>
    <xf numFmtId="41" fontId="84" fillId="0" borderId="0" applyAlignment="1">
      <alignment vertical="center"/>
    </xf>
    <xf numFmtId="0" fontId="79" fillId="0" borderId="0" applyAlignment="1">
      <alignment vertical="center"/>
    </xf>
    <xf numFmtId="41" fontId="81" fillId="0" borderId="0"/>
    <xf numFmtId="41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  <xf numFmtId="0" fontId="79" fillId="0" borderId="0" applyAlignment="1">
      <alignment vertical="center"/>
    </xf>
  </cellStyleXfs>
  <cellXfs count="308"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88" fillId="0" borderId="1" applyAlignment="1" pivotButton="0" quotePrefix="0" xfId="0">
      <alignment vertical="center"/>
    </xf>
    <xf numFmtId="0" fontId="88" fillId="0" borderId="0" applyAlignment="1" pivotButton="0" quotePrefix="0" xfId="0">
      <alignment vertical="center"/>
    </xf>
    <xf numFmtId="164" fontId="88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89" fillId="0" borderId="0" applyAlignment="1" pivotButton="0" quotePrefix="0" xfId="1">
      <alignment vertical="center" wrapText="1"/>
    </xf>
    <xf numFmtId="0" fontId="89" fillId="0" borderId="0" applyAlignment="1" pivotButton="0" quotePrefix="0" xfId="1">
      <alignment vertical="center" wrapText="1"/>
    </xf>
    <xf numFmtId="164" fontId="88" fillId="0" borderId="2" applyAlignment="1" pivotButton="0" quotePrefix="0" xfId="0">
      <alignment vertical="center"/>
    </xf>
    <xf numFmtId="0" fontId="90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16">
      <alignment horizontal="center" vertical="center"/>
    </xf>
    <xf numFmtId="0" fontId="93" fillId="0" borderId="0" applyAlignment="1" pivotButton="0" quotePrefix="0" xfId="1">
      <alignment vertical="center" wrapText="1"/>
    </xf>
    <xf numFmtId="9" fontId="85" fillId="0" borderId="0" applyAlignment="1" pivotButton="0" quotePrefix="0" xfId="0">
      <alignment horizontal="center" vertical="center"/>
    </xf>
    <xf numFmtId="0" fontId="97" fillId="0" borderId="0" applyAlignment="1" pivotButton="0" quotePrefix="0" xfId="0">
      <alignment horizontal="center" vertical="center"/>
    </xf>
    <xf numFmtId="0" fontId="81" fillId="0" borderId="0" applyAlignment="1" pivotButton="0" quotePrefix="0" xfId="11">
      <alignment vertical="center"/>
    </xf>
    <xf numFmtId="0" fontId="0" fillId="9" borderId="0" applyAlignment="1" pivotButton="0" quotePrefix="0" xfId="0">
      <alignment horizontal="center" vertical="center"/>
    </xf>
    <xf numFmtId="166" fontId="0" fillId="9" borderId="0" applyAlignment="1" pivotButton="0" quotePrefix="0" xfId="0">
      <alignment horizontal="center" vertical="center"/>
    </xf>
    <xf numFmtId="14" fontId="0" fillId="9" borderId="0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5" fontId="0" fillId="11" borderId="1" applyAlignment="1" pivotButton="0" quotePrefix="0" xfId="16">
      <alignment horizontal="center" vertical="center"/>
    </xf>
    <xf numFmtId="0" fontId="0" fillId="0" borderId="1" applyAlignment="1" pivotButton="0" quotePrefix="1" xfId="0">
      <alignment horizontal="center" vertical="center"/>
    </xf>
    <xf numFmtId="14" fontId="88" fillId="0" borderId="0" applyAlignment="1" pivotButton="0" quotePrefix="0" xfId="0">
      <alignment vertical="center"/>
    </xf>
    <xf numFmtId="167" fontId="0" fillId="0" borderId="1" applyAlignment="1" pivotButton="0" quotePrefix="0" xfId="16">
      <alignment horizontal="center" vertical="center"/>
    </xf>
    <xf numFmtId="167" fontId="0" fillId="10" borderId="1" applyAlignment="1" pivotButton="0" quotePrefix="0" xfId="16">
      <alignment horizontal="center" vertical="center"/>
    </xf>
    <xf numFmtId="0" fontId="91" fillId="6" borderId="1" applyAlignment="1" pivotButton="0" quotePrefix="0" xfId="2">
      <alignment horizontal="center" vertical="center"/>
    </xf>
    <xf numFmtId="0" fontId="90" fillId="5" borderId="1" applyAlignment="1" pivotButton="0" quotePrefix="0" xfId="0">
      <alignment vertical="center"/>
    </xf>
    <xf numFmtId="0" fontId="90" fillId="5" borderId="1" applyAlignment="1" pivotButton="0" quotePrefix="1" xfId="0">
      <alignment horizontal="center" vertical="center"/>
    </xf>
    <xf numFmtId="0" fontId="90" fillId="5" borderId="1" applyAlignment="1" pivotButton="0" quotePrefix="0" xfId="0">
      <alignment horizontal="left" vertical="center"/>
    </xf>
    <xf numFmtId="0" fontId="88" fillId="5" borderId="1" applyAlignment="1" pivotButton="0" quotePrefix="0" xfId="0">
      <alignment vertical="center"/>
    </xf>
    <xf numFmtId="0" fontId="88" fillId="5" borderId="1" applyAlignment="1" pivotButton="0" quotePrefix="0" xfId="0">
      <alignment horizontal="center" vertical="center"/>
    </xf>
    <xf numFmtId="164" fontId="88" fillId="0" borderId="9" applyAlignment="1" pivotButton="0" quotePrefix="0" xfId="0">
      <alignment vertical="center"/>
    </xf>
    <xf numFmtId="164" fontId="88" fillId="5" borderId="3" applyAlignment="1" pivotButton="0" quotePrefix="0" xfId="0">
      <alignment vertical="center"/>
    </xf>
    <xf numFmtId="164" fontId="88" fillId="5" borderId="1" applyAlignment="1" pivotButton="0" quotePrefix="0" xfId="0">
      <alignment vertical="center"/>
    </xf>
    <xf numFmtId="0" fontId="79" fillId="0" borderId="0" applyAlignment="1" pivotButton="0" quotePrefix="0" xfId="18">
      <alignment vertical="center"/>
    </xf>
    <xf numFmtId="0" fontId="101" fillId="0" borderId="0" applyAlignment="1" pivotButton="0" quotePrefix="0" xfId="11">
      <alignment vertical="center"/>
    </xf>
    <xf numFmtId="0" fontId="102" fillId="0" borderId="0" applyAlignment="1" pivotButton="0" quotePrefix="0" xfId="11">
      <alignment vertical="center"/>
    </xf>
    <xf numFmtId="0" fontId="79" fillId="0" borderId="0" applyAlignment="1" pivotButton="0" quotePrefix="0" xfId="18">
      <alignment horizontal="left" vertical="center"/>
    </xf>
    <xf numFmtId="0" fontId="81" fillId="0" borderId="0" pivotButton="0" quotePrefix="0" xfId="11"/>
    <xf numFmtId="0" fontId="103" fillId="0" borderId="0" applyAlignment="1" pivotButton="0" quotePrefix="0" xfId="11">
      <alignment vertical="center"/>
    </xf>
    <xf numFmtId="0" fontId="81" fillId="0" borderId="10" applyAlignment="1" pivotButton="0" quotePrefix="0" xfId="11">
      <alignment horizontal="left" vertical="center"/>
    </xf>
    <xf numFmtId="168" fontId="81" fillId="0" borderId="0" applyAlignment="1" applyProtection="1" pivotButton="0" quotePrefix="0" xfId="11">
      <alignment horizontal="left" vertical="center"/>
      <protection locked="0" hidden="0"/>
    </xf>
    <xf numFmtId="168" fontId="105" fillId="0" borderId="0" applyAlignment="1" pivotButton="0" quotePrefix="0" xfId="11">
      <alignment horizontal="right" vertical="center"/>
    </xf>
    <xf numFmtId="0" fontId="81" fillId="0" borderId="0" applyAlignment="1" pivotButton="0" quotePrefix="0" xfId="11">
      <alignment horizontal="center" vertical="center"/>
    </xf>
    <xf numFmtId="0" fontId="106" fillId="0" borderId="0" applyAlignment="1" pivotButton="0" quotePrefix="0" xfId="11">
      <alignment horizontal="right" vertical="center"/>
    </xf>
    <xf numFmtId="0" fontId="106" fillId="0" borderId="0" applyAlignment="1" pivotButton="0" quotePrefix="0" xfId="11">
      <alignment horizontal="center" vertical="center"/>
    </xf>
    <xf numFmtId="0" fontId="106" fillId="0" borderId="0" applyAlignment="1" applyProtection="1" pivotButton="0" quotePrefix="0" xfId="11">
      <alignment horizontal="left" vertical="center"/>
      <protection locked="0" hidden="0"/>
    </xf>
    <xf numFmtId="0" fontId="106" fillId="0" borderId="0" applyAlignment="1" pivotButton="0" quotePrefix="0" xfId="11">
      <alignment horizontal="left" vertical="center"/>
    </xf>
    <xf numFmtId="0" fontId="106" fillId="16" borderId="0" applyAlignment="1" pivotButton="0" quotePrefix="0" xfId="11">
      <alignment horizontal="center" vertical="center"/>
    </xf>
    <xf numFmtId="0" fontId="106" fillId="0" borderId="11" applyAlignment="1" pivotButton="0" quotePrefix="0" xfId="11">
      <alignment horizontal="left" vertical="center"/>
    </xf>
    <xf numFmtId="0" fontId="106" fillId="0" borderId="11" applyAlignment="1" applyProtection="1" pivotButton="0" quotePrefix="0" xfId="11">
      <alignment horizontal="left" vertical="center"/>
      <protection locked="0" hidden="0"/>
    </xf>
    <xf numFmtId="0" fontId="106" fillId="0" borderId="0" applyAlignment="1" applyProtection="1" pivotButton="0" quotePrefix="0" xfId="11">
      <alignment horizontal="center" vertical="center"/>
      <protection locked="0" hidden="0"/>
    </xf>
    <xf numFmtId="165" fontId="106" fillId="0" borderId="0" applyAlignment="1" pivotButton="0" quotePrefix="0" xfId="20">
      <alignment horizontal="center" vertical="center"/>
    </xf>
    <xf numFmtId="0" fontId="104" fillId="0" borderId="0" applyAlignment="1" pivotButton="0" quotePrefix="0" xfId="11">
      <alignment vertical="top"/>
    </xf>
    <xf numFmtId="0" fontId="108" fillId="0" borderId="0" applyAlignment="1" pivotButton="0" quotePrefix="0" xfId="11">
      <alignment vertical="center"/>
    </xf>
    <xf numFmtId="164" fontId="0" fillId="14" borderId="0" applyAlignment="1" pivotButton="0" quotePrefix="0" xfId="0">
      <alignment vertical="center"/>
    </xf>
    <xf numFmtId="169" fontId="98" fillId="0" borderId="0" applyAlignment="1" pivotButton="0" quotePrefix="0" xfId="11">
      <alignment vertical="center"/>
    </xf>
    <xf numFmtId="0" fontId="0" fillId="8" borderId="0" applyAlignment="1" pivotButton="0" quotePrefix="0" xfId="0">
      <alignment vertical="center"/>
    </xf>
    <xf numFmtId="0" fontId="0" fillId="15" borderId="0" applyAlignment="1" pivotButton="0" quotePrefix="0" xfId="0">
      <alignment vertical="center"/>
    </xf>
    <xf numFmtId="170" fontId="92" fillId="0" borderId="1" applyAlignment="1" pivotButton="0" quotePrefix="0" xfId="9">
      <alignment horizontal="center" vertical="center"/>
    </xf>
    <xf numFmtId="0" fontId="91" fillId="0" borderId="1" applyAlignment="1" pivotButton="0" quotePrefix="0" xfId="2">
      <alignment horizontal="center" vertical="center"/>
    </xf>
    <xf numFmtId="170" fontId="0" fillId="0" borderId="1" applyAlignment="1" pivotButton="0" quotePrefix="0" xfId="9">
      <alignment horizontal="center" vertical="center"/>
    </xf>
    <xf numFmtId="170" fontId="92" fillId="0" borderId="9" applyAlignment="1" pivotButton="0" quotePrefix="0" xfId="9">
      <alignment horizontal="center" vertical="center"/>
    </xf>
    <xf numFmtId="0" fontId="90" fillId="0" borderId="1" applyAlignment="1" pivotButton="0" quotePrefix="0" xfId="0">
      <alignment horizontal="center" vertical="center"/>
    </xf>
    <xf numFmtId="0" fontId="90" fillId="0" borderId="1" applyAlignment="1" pivotButton="0" quotePrefix="0" xfId="0">
      <alignment vertical="center"/>
    </xf>
    <xf numFmtId="0" fontId="88" fillId="0" borderId="1" applyAlignment="1" pivotButton="0" quotePrefix="0" xfId="0">
      <alignment vertical="center"/>
    </xf>
    <xf numFmtId="0" fontId="88" fillId="0" borderId="1" applyAlignment="1" pivotButton="0" quotePrefix="0" xfId="0">
      <alignment horizontal="center" vertical="center"/>
    </xf>
    <xf numFmtId="170" fontId="92" fillId="0" borderId="12" applyAlignment="1" pivotButton="0" quotePrefix="0" xfId="9">
      <alignment horizontal="center" vertical="center"/>
    </xf>
    <xf numFmtId="165" fontId="0" fillId="0" borderId="12" applyAlignment="1" pivotButton="0" quotePrefix="0" xfId="16">
      <alignment vertical="center"/>
    </xf>
    <xf numFmtId="165" fontId="0" fillId="0" borderId="12" applyAlignment="1" pivotButton="0" quotePrefix="0" xfId="16">
      <alignment vertical="center"/>
    </xf>
    <xf numFmtId="165" fontId="0" fillId="8" borderId="12" applyAlignment="1" pivotButton="0" quotePrefix="0" xfId="16">
      <alignment vertical="center"/>
    </xf>
    <xf numFmtId="0" fontId="88" fillId="15" borderId="0" applyAlignment="1" pivotButton="0" quotePrefix="0" xfId="0">
      <alignment vertical="center"/>
    </xf>
    <xf numFmtId="170" fontId="92" fillId="15" borderId="12" applyAlignment="1" pivotButton="0" quotePrefix="0" xfId="9">
      <alignment horizontal="center" vertical="center"/>
    </xf>
    <xf numFmtId="0" fontId="0" fillId="15" borderId="12" applyAlignment="1" pivotButton="0" quotePrefix="0" xfId="0">
      <alignment vertical="center"/>
    </xf>
    <xf numFmtId="0" fontId="90" fillId="8" borderId="1" applyAlignment="1" pivotButton="0" quotePrefix="0" xfId="0">
      <alignment horizontal="center" vertical="center"/>
    </xf>
    <xf numFmtId="0" fontId="90" fillId="8" borderId="1" applyAlignment="1" pivotButton="0" quotePrefix="0" xfId="0">
      <alignment vertical="center"/>
    </xf>
    <xf numFmtId="164" fontId="88" fillId="8" borderId="1" applyAlignment="1" pivotButton="0" quotePrefix="0" xfId="0">
      <alignment vertical="center"/>
    </xf>
    <xf numFmtId="164" fontId="88" fillId="8" borderId="9" applyAlignment="1" pivotButton="0" quotePrefix="0" xfId="0">
      <alignment vertical="center"/>
    </xf>
    <xf numFmtId="0" fontId="0" fillId="8" borderId="12" applyAlignment="1" pivotButton="0" quotePrefix="0" xfId="0">
      <alignment vertical="center"/>
    </xf>
    <xf numFmtId="165" fontId="88" fillId="8" borderId="12" applyAlignment="1" pivotButton="0" quotePrefix="0" xfId="16">
      <alignment vertical="center"/>
    </xf>
    <xf numFmtId="165" fontId="0" fillId="8" borderId="12" applyAlignment="1" pivotButton="0" quotePrefix="0" xfId="0">
      <alignment vertical="center"/>
    </xf>
    <xf numFmtId="165" fontId="100" fillId="0" borderId="0" applyAlignment="1" pivotButton="0" quotePrefix="0" xfId="16">
      <alignment horizontal="center" vertical="center"/>
    </xf>
    <xf numFmtId="165" fontId="0" fillId="11" borderId="0" applyAlignment="1" pivotButton="0" quotePrefix="0" xfId="16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 wrapText="1"/>
    </xf>
    <xf numFmtId="9" fontId="0" fillId="7" borderId="1" applyAlignment="1" pivotButton="0" quotePrefix="0" xfId="0">
      <alignment horizontal="center" vertical="center" wrapText="1"/>
    </xf>
    <xf numFmtId="9" fontId="0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 wrapText="1"/>
    </xf>
    <xf numFmtId="165" fontId="86" fillId="11" borderId="0" applyAlignment="1" pivotButton="0" quotePrefix="0" xfId="16">
      <alignment horizontal="center" vertical="center" wrapText="1"/>
    </xf>
    <xf numFmtId="165" fontId="0" fillId="0" borderId="0" applyAlignment="1" pivotButton="0" quotePrefix="0" xfId="16">
      <alignment horizontal="center" vertical="center"/>
    </xf>
    <xf numFmtId="0" fontId="88" fillId="0" borderId="0" applyAlignment="1" pivotButton="0" quotePrefix="0" xfId="0">
      <alignment horizontal="center" vertical="center"/>
    </xf>
    <xf numFmtId="0" fontId="79" fillId="16" borderId="0" applyAlignment="1" pivotButton="0" quotePrefix="0" xfId="18">
      <alignment vertical="center"/>
    </xf>
    <xf numFmtId="0" fontId="79" fillId="7" borderId="0" applyAlignment="1" pivotButton="0" quotePrefix="0" xfId="18">
      <alignment vertical="center"/>
    </xf>
    <xf numFmtId="0" fontId="110" fillId="0" borderId="0" applyAlignment="1" pivotButton="0" quotePrefix="0" xfId="11">
      <alignment vertical="center"/>
    </xf>
    <xf numFmtId="0" fontId="111" fillId="0" borderId="0" applyAlignment="1" pivotButton="0" quotePrefix="0" xfId="18">
      <alignment vertical="center"/>
    </xf>
    <xf numFmtId="0" fontId="111" fillId="0" borderId="0" applyAlignment="1" pivotButton="0" quotePrefix="0" xfId="18">
      <alignment horizontal="left" vertical="center"/>
    </xf>
    <xf numFmtId="0" fontId="110" fillId="0" borderId="0" applyAlignment="1" pivotButton="0" quotePrefix="0" xfId="11">
      <alignment horizontal="center" vertical="center"/>
    </xf>
    <xf numFmtId="0" fontId="105" fillId="0" borderId="0" pivotButton="0" quotePrefix="0" xfId="11"/>
    <xf numFmtId="0" fontId="112" fillId="0" borderId="0" applyAlignment="1" pivotButton="0" quotePrefix="0" xfId="18">
      <alignment horizontal="left" vertical="center"/>
    </xf>
    <xf numFmtId="0" fontId="92" fillId="0" borderId="1" applyAlignment="1" pivotButton="0" quotePrefix="0" xfId="11">
      <alignment horizontal="center" vertical="center"/>
    </xf>
    <xf numFmtId="0" fontId="92" fillId="0" borderId="1" applyAlignment="1" applyProtection="1" pivotButton="0" quotePrefix="1" xfId="11">
      <alignment horizontal="center" vertical="center"/>
      <protection locked="0" hidden="0"/>
    </xf>
    <xf numFmtId="0" fontId="92" fillId="0" borderId="1" applyAlignment="1" applyProtection="1" pivotButton="0" quotePrefix="0" xfId="11">
      <alignment horizontal="center" vertical="center"/>
      <protection locked="0" hidden="0"/>
    </xf>
    <xf numFmtId="0" fontId="113" fillId="0" borderId="1" applyAlignment="1" pivotButton="0" quotePrefix="0" xfId="11">
      <alignment horizontal="center" vertical="center"/>
    </xf>
    <xf numFmtId="0" fontId="92" fillId="0" borderId="1" applyAlignment="1" applyProtection="1" pivotButton="0" quotePrefix="0" xfId="19">
      <alignment horizontal="center" vertical="center"/>
      <protection locked="0" hidden="0"/>
    </xf>
    <xf numFmtId="0" fontId="92" fillId="0" borderId="1" applyAlignment="1" pivotButton="0" quotePrefix="0" xfId="19">
      <alignment horizontal="center" vertical="center"/>
    </xf>
    <xf numFmtId="0" fontId="92" fillId="5" borderId="1" applyAlignment="1" applyProtection="1" pivotButton="0" quotePrefix="0" xfId="11">
      <alignment horizontal="center" vertical="center"/>
      <protection locked="0" hidden="0"/>
    </xf>
    <xf numFmtId="0" fontId="92" fillId="5" borderId="1" applyAlignment="1" pivotButton="0" quotePrefix="0" xfId="11">
      <alignment vertical="center"/>
    </xf>
    <xf numFmtId="0" fontId="92" fillId="5" borderId="1" applyAlignment="1" pivotButton="0" quotePrefix="0" xfId="11">
      <alignment horizontal="center" vertical="center"/>
    </xf>
    <xf numFmtId="0" fontId="93" fillId="0" borderId="0" applyAlignment="1" pivotButton="0" quotePrefix="0" xfId="18">
      <alignment horizontal="center" vertical="center"/>
    </xf>
    <xf numFmtId="0" fontId="114" fillId="18" borderId="1" applyAlignment="1" pivotButton="0" quotePrefix="0" xfId="21">
      <alignment horizontal="center" vertical="center"/>
    </xf>
    <xf numFmtId="0" fontId="78" fillId="0" borderId="0" applyAlignment="1" pivotButton="0" quotePrefix="0" xfId="18">
      <alignment vertical="center"/>
    </xf>
    <xf numFmtId="164" fontId="115" fillId="5" borderId="4" applyAlignment="1" pivotButton="0" quotePrefix="0" xfId="0">
      <alignment vertical="center"/>
    </xf>
    <xf numFmtId="165" fontId="0" fillId="0" borderId="0" applyAlignment="1" pivotButton="0" quotePrefix="0" xfId="16">
      <alignment horizontal="center" vertical="center"/>
    </xf>
    <xf numFmtId="0" fontId="77" fillId="0" borderId="0" applyAlignment="1" pivotButton="0" quotePrefix="0" xfId="18">
      <alignment horizontal="left" vertical="center"/>
    </xf>
    <xf numFmtId="0" fontId="77" fillId="0" borderId="0" applyAlignment="1" pivotButton="0" quotePrefix="0" xfId="18">
      <alignment vertical="center"/>
    </xf>
    <xf numFmtId="0" fontId="76" fillId="0" borderId="0" applyAlignment="1" pivotButton="0" quotePrefix="0" xfId="18">
      <alignment horizontal="left" vertical="center"/>
    </xf>
    <xf numFmtId="0" fontId="76" fillId="0" borderId="0" applyAlignment="1" pivotButton="0" quotePrefix="0" xfId="18">
      <alignment vertical="center"/>
    </xf>
    <xf numFmtId="0" fontId="98" fillId="0" borderId="0" applyAlignment="1" pivotButton="0" quotePrefix="0" xfId="11">
      <alignment horizontal="center" vertical="center"/>
    </xf>
    <xf numFmtId="49" fontId="98" fillId="0" borderId="0" applyAlignment="1" pivotButton="0" quotePrefix="0" xfId="11">
      <alignment horizontal="center" vertical="center" wrapText="1"/>
    </xf>
    <xf numFmtId="0" fontId="98" fillId="0" borderId="0" applyAlignment="1" pivotButton="0" quotePrefix="0" xfId="11">
      <alignment horizontal="center" vertical="center" wrapText="1"/>
    </xf>
    <xf numFmtId="165" fontId="98" fillId="0" borderId="0" applyAlignment="1" pivotButton="0" quotePrefix="0" xfId="16">
      <alignment horizontal="center" vertical="center"/>
    </xf>
    <xf numFmtId="0" fontId="98" fillId="0" borderId="0" applyAlignment="1" pivotButton="0" quotePrefix="0" xfId="11">
      <alignment vertical="center"/>
    </xf>
    <xf numFmtId="165" fontId="98" fillId="0" borderId="0" applyAlignment="1" pivotButton="0" quotePrefix="0" xfId="16">
      <alignment vertical="center"/>
    </xf>
    <xf numFmtId="0" fontId="88" fillId="0" borderId="0" applyAlignment="1" pivotButton="0" quotePrefix="0" xfId="11">
      <alignment horizontal="center" vertical="center"/>
    </xf>
    <xf numFmtId="49" fontId="88" fillId="0" borderId="0" applyAlignment="1" pivotButton="0" quotePrefix="0" xfId="11">
      <alignment horizontal="center" vertical="center"/>
    </xf>
    <xf numFmtId="0" fontId="88" fillId="0" borderId="0" applyAlignment="1" pivotButton="0" quotePrefix="0" xfId="11">
      <alignment vertical="center"/>
    </xf>
    <xf numFmtId="0" fontId="96" fillId="0" borderId="0" applyAlignment="1" pivotButton="0" quotePrefix="0" xfId="11">
      <alignment vertical="center"/>
    </xf>
    <xf numFmtId="165" fontId="88" fillId="0" borderId="0" applyAlignment="1" pivotButton="0" quotePrefix="0" xfId="16">
      <alignment vertical="center"/>
    </xf>
    <xf numFmtId="0" fontId="84" fillId="0" borderId="0" applyAlignment="1" pivotButton="0" quotePrefix="0" xfId="11">
      <alignment vertical="center"/>
    </xf>
    <xf numFmtId="171" fontId="81" fillId="0" borderId="0" applyAlignment="1" pivotButton="0" quotePrefix="0" xfId="11">
      <alignment vertical="center"/>
    </xf>
    <xf numFmtId="14" fontId="81" fillId="0" borderId="0" applyAlignment="1" pivotButton="0" quotePrefix="0" xfId="11">
      <alignment vertical="center"/>
    </xf>
    <xf numFmtId="9" fontId="84" fillId="0" borderId="0" applyAlignment="1" pivotButton="0" quotePrefix="0" xfId="17">
      <alignment vertical="center"/>
    </xf>
    <xf numFmtId="49" fontId="98" fillId="0" borderId="0" applyAlignment="1" pivotButton="0" quotePrefix="0" xfId="11">
      <alignment horizontal="center" vertical="center"/>
    </xf>
    <xf numFmtId="0" fontId="88" fillId="0" borderId="0" applyAlignment="1" pivotButton="0" quotePrefix="1" xfId="11">
      <alignment horizontal="center" vertical="center"/>
    </xf>
    <xf numFmtId="0" fontId="88" fillId="15" borderId="0" applyAlignment="1" pivotButton="0" quotePrefix="0" xfId="11">
      <alignment vertical="center"/>
    </xf>
    <xf numFmtId="0" fontId="98" fillId="15" borderId="0" applyAlignment="1" pivotButton="0" quotePrefix="0" xfId="11">
      <alignment vertical="center"/>
    </xf>
    <xf numFmtId="165" fontId="98" fillId="0" borderId="0" applyAlignment="1" pivotButton="0" quotePrefix="0" xfId="16">
      <alignment vertical="center"/>
    </xf>
    <xf numFmtId="0" fontId="98" fillId="0" borderId="0" applyAlignment="1" pivotButton="0" quotePrefix="0" xfId="0">
      <alignment horizontal="center" vertical="center"/>
    </xf>
    <xf numFmtId="0" fontId="98" fillId="0" borderId="0" applyAlignment="1" pivotButton="0" quotePrefix="0" xfId="0">
      <alignment vertical="center"/>
    </xf>
    <xf numFmtId="0" fontId="98" fillId="0" borderId="0" applyAlignment="1" pivotButton="0" quotePrefix="1" xfId="11">
      <alignment horizontal="center" vertical="center"/>
    </xf>
    <xf numFmtId="0" fontId="116" fillId="0" borderId="1" applyAlignment="1" pivotButton="0" quotePrefix="0" xfId="0">
      <alignment horizontal="center" vertical="center"/>
    </xf>
    <xf numFmtId="172" fontId="0" fillId="10" borderId="1" applyAlignment="1" pivotButton="0" quotePrefix="0" xfId="16">
      <alignment horizontal="center" vertical="center"/>
    </xf>
    <xf numFmtId="165" fontId="0" fillId="0" borderId="0" applyAlignment="1" pivotButton="0" quotePrefix="0" xfId="16">
      <alignment horizontal="center" vertical="center"/>
    </xf>
    <xf numFmtId="165" fontId="0" fillId="0" borderId="1" applyAlignment="1" pivotButton="0" quotePrefix="0" xfId="16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116" fillId="0" borderId="13" applyAlignment="1" pivotButton="0" quotePrefix="0" xfId="0">
      <alignment horizontal="center" vertical="center"/>
    </xf>
    <xf numFmtId="0" fontId="117" fillId="0" borderId="0" applyAlignment="1" pivotButton="0" quotePrefix="0" xfId="0">
      <alignment horizontal="center" vertical="center"/>
    </xf>
    <xf numFmtId="0" fontId="98" fillId="8" borderId="0" applyAlignment="1" pivotButton="0" quotePrefix="0" xfId="11">
      <alignment horizontal="center" vertical="center"/>
    </xf>
    <xf numFmtId="0" fontId="98" fillId="8" borderId="0" applyAlignment="1" pivotButton="0" quotePrefix="0" xfId="11">
      <alignment vertical="center"/>
    </xf>
    <xf numFmtId="0" fontId="88" fillId="8" borderId="0" applyAlignment="1" pivotButton="0" quotePrefix="0" xfId="11">
      <alignment horizontal="center" vertical="center"/>
    </xf>
    <xf numFmtId="49" fontId="88" fillId="8" borderId="0" applyAlignment="1" pivotButton="0" quotePrefix="0" xfId="11">
      <alignment horizontal="center" vertical="center"/>
    </xf>
    <xf numFmtId="0" fontId="88" fillId="8" borderId="0" applyAlignment="1" pivotButton="0" quotePrefix="0" xfId="11">
      <alignment vertical="center"/>
    </xf>
    <xf numFmtId="169" fontId="98" fillId="8" borderId="0" applyAlignment="1" pivotButton="0" quotePrefix="0" xfId="11">
      <alignment vertical="center"/>
    </xf>
    <xf numFmtId="165" fontId="98" fillId="8" borderId="0" applyAlignment="1" pivotButton="0" quotePrefix="0" xfId="16">
      <alignment vertical="center"/>
    </xf>
    <xf numFmtId="0" fontId="118" fillId="0" borderId="0" applyAlignment="1" pivotButton="0" quotePrefix="0" xfId="11">
      <alignment horizontal="center" vertical="center"/>
    </xf>
    <xf numFmtId="49" fontId="118" fillId="0" borderId="0" applyAlignment="1" pivotButton="0" quotePrefix="0" xfId="11">
      <alignment horizontal="center" vertical="center"/>
    </xf>
    <xf numFmtId="0" fontId="118" fillId="0" borderId="0" applyAlignment="1" pivotButton="0" quotePrefix="0" xfId="11">
      <alignment vertical="center"/>
    </xf>
    <xf numFmtId="169" fontId="119" fillId="0" borderId="0" applyAlignment="1" pivotButton="0" quotePrefix="0" xfId="11">
      <alignment vertical="center"/>
    </xf>
    <xf numFmtId="0" fontId="119" fillId="8" borderId="0" applyAlignment="1" pivotButton="0" quotePrefix="0" xfId="11">
      <alignment vertical="center"/>
    </xf>
    <xf numFmtId="165" fontId="119" fillId="0" borderId="0" applyAlignment="1" pivotButton="0" quotePrefix="0" xfId="16">
      <alignment vertical="center"/>
    </xf>
    <xf numFmtId="0" fontId="98" fillId="19" borderId="0" applyAlignment="1" pivotButton="0" quotePrefix="0" xfId="11">
      <alignment horizontal="center" vertical="center"/>
    </xf>
    <xf numFmtId="0" fontId="98" fillId="19" borderId="0" applyAlignment="1" pivotButton="0" quotePrefix="0" xfId="11">
      <alignment vertical="center"/>
    </xf>
    <xf numFmtId="169" fontId="98" fillId="19" borderId="0" applyAlignment="1" pivotButton="0" quotePrefix="0" xfId="11">
      <alignment vertical="center"/>
    </xf>
    <xf numFmtId="165" fontId="98" fillId="19" borderId="0" applyAlignment="1" pivotButton="0" quotePrefix="0" xfId="16">
      <alignment vertical="center"/>
    </xf>
    <xf numFmtId="0" fontId="88" fillId="15" borderId="0" applyAlignment="1" pivotButton="0" quotePrefix="0" xfId="11">
      <alignment horizontal="center" vertical="center"/>
    </xf>
    <xf numFmtId="49" fontId="88" fillId="15" borderId="0" applyAlignment="1" pivotButton="0" quotePrefix="0" xfId="11">
      <alignment horizontal="center" vertical="center"/>
    </xf>
    <xf numFmtId="169" fontId="98" fillId="15" borderId="0" applyAlignment="1" pivotButton="0" quotePrefix="0" xfId="11">
      <alignment vertical="center"/>
    </xf>
    <xf numFmtId="165" fontId="98" fillId="15" borderId="0" applyAlignment="1" pivotButton="0" quotePrefix="0" xfId="16">
      <alignment vertical="center"/>
    </xf>
    <xf numFmtId="0" fontId="81" fillId="0" borderId="0" applyAlignment="1" pivotButton="0" quotePrefix="0" xfId="11">
      <alignment horizontal="left"/>
    </xf>
    <xf numFmtId="0" fontId="112" fillId="0" borderId="0" applyAlignment="1" pivotButton="0" quotePrefix="0" xfId="18">
      <alignment vertical="center"/>
    </xf>
    <xf numFmtId="0" fontId="75" fillId="0" borderId="0" applyAlignment="1" pivotButton="0" quotePrefix="0" xfId="18">
      <alignment vertical="center"/>
    </xf>
    <xf numFmtId="0" fontId="81" fillId="0" borderId="10" pivotButton="0" quotePrefix="0" xfId="11"/>
    <xf numFmtId="0" fontId="81" fillId="7" borderId="10" pivotButton="0" quotePrefix="0" xfId="11"/>
    <xf numFmtId="0" fontId="81" fillId="16" borderId="10" pivotButton="0" quotePrefix="0" xfId="11"/>
    <xf numFmtId="49" fontId="98" fillId="0" borderId="0" applyAlignment="1" pivotButton="0" quotePrefix="0" xfId="0">
      <alignment horizontal="center" vertical="center"/>
    </xf>
    <xf numFmtId="49" fontId="90" fillId="5" borderId="1" applyAlignment="1" pivotButton="0" quotePrefix="0" xfId="0">
      <alignment horizontal="center" vertical="center"/>
    </xf>
    <xf numFmtId="49" fontId="0" fillId="0" borderId="1" applyAlignment="1" pivotButton="0" quotePrefix="1" xfId="0">
      <alignment horizontal="center" vertical="center"/>
    </xf>
    <xf numFmtId="14" fontId="0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8" borderId="0" applyAlignment="1" pivotButton="0" quotePrefix="0" xfId="0">
      <alignment horizontal="center" vertical="center"/>
    </xf>
    <xf numFmtId="164" fontId="88" fillId="5" borderId="2" applyAlignment="1" pivotButton="0" quotePrefix="0" xfId="0">
      <alignment vertical="center"/>
    </xf>
    <xf numFmtId="165" fontId="0" fillId="0" borderId="0" applyAlignment="1" pivotButton="0" quotePrefix="0" xfId="0">
      <alignment horizontal="right" vertical="center"/>
    </xf>
    <xf numFmtId="0" fontId="120" fillId="7" borderId="0" applyAlignment="1" pivotButton="0" quotePrefix="0" xfId="18">
      <alignment vertical="center"/>
    </xf>
    <xf numFmtId="0" fontId="120" fillId="16" borderId="0" applyAlignment="1" pivotButton="0" quotePrefix="0" xfId="18">
      <alignment vertical="center"/>
    </xf>
    <xf numFmtId="0" fontId="121" fillId="0" borderId="1" applyAlignment="1" applyProtection="1" pivotButton="0" quotePrefix="1" xfId="11">
      <alignment horizontal="center" vertical="center"/>
      <protection locked="0" hidden="0"/>
    </xf>
    <xf numFmtId="0" fontId="121" fillId="5" borderId="1" applyAlignment="1" applyProtection="1" pivotButton="0" quotePrefix="0" xfId="11">
      <alignment horizontal="center" vertical="center"/>
      <protection locked="0" hidden="0"/>
    </xf>
    <xf numFmtId="0" fontId="121" fillId="5" borderId="1" applyAlignment="1" pivotButton="0" quotePrefix="0" xfId="11">
      <alignment vertical="center"/>
    </xf>
    <xf numFmtId="0" fontId="121" fillId="5" borderId="1" applyAlignment="1" pivotButton="0" quotePrefix="0" xfId="11">
      <alignment horizontal="center" vertical="center"/>
    </xf>
    <xf numFmtId="0" fontId="122" fillId="0" borderId="1" applyAlignment="1" pivotButton="0" quotePrefix="0" xfId="0">
      <alignment horizontal="center" vertical="center"/>
    </xf>
    <xf numFmtId="0" fontId="106" fillId="0" borderId="0" pivotButton="0" quotePrefix="0" xfId="11"/>
    <xf numFmtId="0" fontId="106" fillId="7" borderId="0" pivotButton="0" quotePrefix="0" xfId="11"/>
    <xf numFmtId="0" fontId="106" fillId="16" borderId="0" pivotButton="0" quotePrefix="0" xfId="11"/>
    <xf numFmtId="0" fontId="120" fillId="0" borderId="0" applyAlignment="1" pivotButton="0" quotePrefix="0" xfId="18">
      <alignment vertical="center"/>
    </xf>
    <xf numFmtId="0" fontId="120" fillId="0" borderId="0" applyAlignment="1" pivotButton="0" quotePrefix="0" xfId="18">
      <alignment horizontal="left" vertical="center"/>
    </xf>
    <xf numFmtId="0" fontId="106" fillId="0" borderId="10" pivotButton="0" quotePrefix="0" xfId="11"/>
    <xf numFmtId="0" fontId="106" fillId="16" borderId="10" pivotButton="0" quotePrefix="0" xfId="11"/>
    <xf numFmtId="0" fontId="123" fillId="0" borderId="0" applyAlignment="1" pivotButton="0" quotePrefix="0" xfId="18">
      <alignment horizontal="left" vertical="center"/>
    </xf>
    <xf numFmtId="0" fontId="91" fillId="17" borderId="1" applyAlignment="1" pivotButton="0" quotePrefix="0" xfId="2">
      <alignment horizontal="center" vertical="center"/>
    </xf>
    <xf numFmtId="170" fontId="92" fillId="17" borderId="1" applyAlignment="1" pivotButton="0" quotePrefix="0" xfId="9">
      <alignment horizontal="center" vertical="center"/>
    </xf>
    <xf numFmtId="170" fontId="0" fillId="17" borderId="1" applyAlignment="1" pivotButton="0" quotePrefix="0" xfId="9">
      <alignment horizontal="center" vertical="center"/>
    </xf>
    <xf numFmtId="170" fontId="92" fillId="17" borderId="9" applyAlignment="1" pivotButton="0" quotePrefix="0" xfId="9">
      <alignment horizontal="center" vertical="center"/>
    </xf>
    <xf numFmtId="170" fontId="92" fillId="17" borderId="7" applyAlignment="1" pivotButton="0" quotePrefix="0" xfId="9">
      <alignment horizontal="center" vertical="center"/>
    </xf>
    <xf numFmtId="170" fontId="92" fillId="17" borderId="5" applyAlignment="1" pivotButton="0" quotePrefix="0" xfId="9">
      <alignment horizontal="center" vertical="center"/>
    </xf>
    <xf numFmtId="170" fontId="92" fillId="17" borderId="6" applyAlignment="1" pivotButton="0" quotePrefix="0" xfId="9">
      <alignment horizontal="center" vertical="center"/>
    </xf>
    <xf numFmtId="170" fontId="107" fillId="17" borderId="2" applyAlignment="1" pivotButton="0" quotePrefix="0" xfId="9">
      <alignment horizontal="center" vertical="center" wrapText="1"/>
    </xf>
    <xf numFmtId="0" fontId="106" fillId="0" borderId="0" applyAlignment="1" pivotButton="0" quotePrefix="0" xfId="11">
      <alignment horizontal="left"/>
    </xf>
    <xf numFmtId="38" fontId="88" fillId="5" borderId="1" applyAlignment="1" pivotButton="0" quotePrefix="0" xfId="0">
      <alignment vertical="center"/>
    </xf>
    <xf numFmtId="164" fontId="88" fillId="5" borderId="15" applyAlignment="1" pivotButton="0" quotePrefix="0" xfId="0">
      <alignment vertical="center"/>
    </xf>
    <xf numFmtId="0" fontId="0" fillId="12" borderId="0" applyAlignment="1" pivotButton="0" quotePrefix="0" xfId="0">
      <alignment vertical="center"/>
    </xf>
    <xf numFmtId="0" fontId="0" fillId="13" borderId="0" applyAlignment="1" pivotButton="0" quotePrefix="0" xfId="0">
      <alignment horizontal="left" vertical="center"/>
    </xf>
    <xf numFmtId="49" fontId="0" fillId="13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174" fontId="0" fillId="0" borderId="0" applyAlignment="1" pivotButton="0" quotePrefix="0" xfId="0">
      <alignment vertical="center"/>
    </xf>
    <xf numFmtId="165" fontId="124" fillId="0" borderId="0" applyAlignment="1" pivotButton="0" quotePrefix="0" xfId="16">
      <alignment horizontal="center" vertical="center"/>
    </xf>
    <xf numFmtId="9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" fontId="0" fillId="0" borderId="14" applyAlignment="1" pivotButton="0" quotePrefix="0" xfId="0">
      <alignment horizontal="center" vertical="center"/>
    </xf>
    <xf numFmtId="14" fontId="124" fillId="0" borderId="0" applyAlignment="1" pivotButton="0" quotePrefix="0" xfId="0">
      <alignment horizontal="center" vertical="center"/>
    </xf>
    <xf numFmtId="166" fontId="124" fillId="0" borderId="0" applyAlignment="1" pivotButton="0" quotePrefix="0" xfId="0">
      <alignment horizontal="center" vertical="center"/>
    </xf>
    <xf numFmtId="0" fontId="124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93" fillId="0" borderId="0" applyAlignment="1" pivotButton="0" quotePrefix="0" xfId="1">
      <alignment horizontal="center" vertical="center" wrapText="1"/>
    </xf>
    <xf numFmtId="168" fontId="106" fillId="0" borderId="0" applyAlignment="1" applyProtection="1" pivotButton="0" quotePrefix="0" xfId="11">
      <alignment horizontal="left" vertical="center"/>
      <protection locked="0" hidden="0"/>
    </xf>
    <xf numFmtId="0" fontId="105" fillId="0" borderId="0" applyAlignment="1" pivotButton="0" quotePrefix="0" xfId="11">
      <alignment vertical="center"/>
    </xf>
    <xf numFmtId="14" fontId="0" fillId="20" borderId="1" applyAlignment="1" pivotButton="0" quotePrefix="0" xfId="0">
      <alignment horizontal="center" vertical="center"/>
    </xf>
    <xf numFmtId="14" fontId="0" fillId="21" borderId="1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164" fontId="88" fillId="0" borderId="0" applyAlignment="1" pivotButton="0" quotePrefix="0" xfId="0">
      <alignment vertical="center"/>
    </xf>
    <xf numFmtId="170" fontId="92" fillId="0" borderId="1" applyAlignment="1" pivotButton="0" quotePrefix="0" xfId="9">
      <alignment horizontal="center" vertical="center"/>
    </xf>
    <xf numFmtId="170" fontId="0" fillId="0" borderId="1" applyAlignment="1" pivotButton="0" quotePrefix="0" xfId="9">
      <alignment horizontal="center" vertical="center"/>
    </xf>
    <xf numFmtId="170" fontId="92" fillId="0" borderId="9" applyAlignment="1" pivotButton="0" quotePrefix="0" xfId="9">
      <alignment horizontal="center" vertical="center"/>
    </xf>
    <xf numFmtId="170" fontId="92" fillId="0" borderId="12" applyAlignment="1" pivotButton="0" quotePrefix="0" xfId="9">
      <alignment horizontal="center" vertical="center"/>
    </xf>
    <xf numFmtId="170" fontId="92" fillId="15" borderId="12" applyAlignment="1" pivotButton="0" quotePrefix="0" xfId="9">
      <alignment horizontal="center" vertical="center"/>
    </xf>
    <xf numFmtId="164" fontId="88" fillId="0" borderId="1" applyAlignment="1" pivotButton="0" quotePrefix="0" xfId="0">
      <alignment vertical="center"/>
    </xf>
    <xf numFmtId="164" fontId="88" fillId="0" borderId="9" applyAlignment="1" pivotButton="0" quotePrefix="0" xfId="0">
      <alignment vertical="center"/>
    </xf>
    <xf numFmtId="164" fontId="88" fillId="8" borderId="1" applyAlignment="1" pivotButton="0" quotePrefix="0" xfId="0">
      <alignment vertical="center"/>
    </xf>
    <xf numFmtId="164" fontId="88" fillId="8" borderId="9" applyAlignment="1" pivotButton="0" quotePrefix="0" xfId="0">
      <alignment vertical="center"/>
    </xf>
    <xf numFmtId="165" fontId="88" fillId="8" borderId="12" applyAlignment="1" pivotButton="0" quotePrefix="0" xfId="16">
      <alignment vertical="center"/>
    </xf>
    <xf numFmtId="165" fontId="0" fillId="8" borderId="12" applyAlignment="1" pivotButton="0" quotePrefix="0" xfId="16">
      <alignment vertical="center"/>
    </xf>
    <xf numFmtId="165" fontId="0" fillId="8" borderId="12" applyAlignment="1" pivotButton="0" quotePrefix="0" xfId="0">
      <alignment vertical="center"/>
    </xf>
    <xf numFmtId="165" fontId="0" fillId="0" borderId="12" applyAlignment="1" pivotButton="0" quotePrefix="0" xfId="16">
      <alignment vertical="center"/>
    </xf>
    <xf numFmtId="164" fontId="0" fillId="14" borderId="0" applyAlignment="1" pivotButton="0" quotePrefix="0" xfId="0">
      <alignment vertical="center"/>
    </xf>
    <xf numFmtId="165" fontId="88" fillId="0" borderId="0" applyAlignment="1" pivotButton="0" quotePrefix="0" xfId="16">
      <alignment vertical="center"/>
    </xf>
    <xf numFmtId="165" fontId="98" fillId="0" borderId="0" applyAlignment="1" pivotButton="0" quotePrefix="0" xfId="16">
      <alignment horizontal="center" vertical="center"/>
    </xf>
    <xf numFmtId="169" fontId="98" fillId="0" borderId="0" applyAlignment="1" pivotButton="0" quotePrefix="0" xfId="11">
      <alignment vertical="center"/>
    </xf>
    <xf numFmtId="165" fontId="98" fillId="0" borderId="0" applyAlignment="1" pivotButton="0" quotePrefix="0" xfId="16">
      <alignment vertical="center"/>
    </xf>
    <xf numFmtId="169" fontId="98" fillId="8" borderId="0" applyAlignment="1" pivotButton="0" quotePrefix="0" xfId="11">
      <alignment vertical="center"/>
    </xf>
    <xf numFmtId="165" fontId="98" fillId="8" borderId="0" applyAlignment="1" pivotButton="0" quotePrefix="0" xfId="16">
      <alignment vertical="center"/>
    </xf>
    <xf numFmtId="169" fontId="119" fillId="0" borderId="0" applyAlignment="1" pivotButton="0" quotePrefix="0" xfId="11">
      <alignment vertical="center"/>
    </xf>
    <xf numFmtId="165" fontId="119" fillId="0" borderId="0" applyAlignment="1" pivotButton="0" quotePrefix="0" xfId="16">
      <alignment vertical="center"/>
    </xf>
    <xf numFmtId="169" fontId="98" fillId="19" borderId="0" applyAlignment="1" pivotButton="0" quotePrefix="0" xfId="11">
      <alignment vertical="center"/>
    </xf>
    <xf numFmtId="165" fontId="98" fillId="19" borderId="0" applyAlignment="1" pivotButton="0" quotePrefix="0" xfId="16">
      <alignment vertical="center"/>
    </xf>
    <xf numFmtId="169" fontId="98" fillId="15" borderId="0" applyAlignment="1" pivotButton="0" quotePrefix="0" xfId="11">
      <alignment vertical="center"/>
    </xf>
    <xf numFmtId="165" fontId="98" fillId="15" borderId="0" applyAlignment="1" pivotButton="0" quotePrefix="0" xfId="16">
      <alignment vertical="center"/>
    </xf>
    <xf numFmtId="171" fontId="81" fillId="0" borderId="0" applyAlignment="1" pivotButton="0" quotePrefix="0" xfId="11">
      <alignment vertical="center"/>
    </xf>
    <xf numFmtId="170" fontId="92" fillId="17" borderId="1" applyAlignment="1" pivotButton="0" quotePrefix="0" xfId="9">
      <alignment horizontal="center" vertical="center"/>
    </xf>
    <xf numFmtId="170" fontId="0" fillId="17" borderId="1" applyAlignment="1" pivotButton="0" quotePrefix="0" xfId="9">
      <alignment horizontal="center" vertical="center"/>
    </xf>
    <xf numFmtId="170" fontId="92" fillId="17" borderId="9" applyAlignment="1" pivotButton="0" quotePrefix="0" xfId="9">
      <alignment horizontal="center" vertical="center"/>
    </xf>
    <xf numFmtId="170" fontId="92" fillId="17" borderId="7" applyAlignment="1" pivotButton="0" quotePrefix="0" xfId="9">
      <alignment horizontal="center" vertical="center"/>
    </xf>
    <xf numFmtId="170" fontId="92" fillId="17" borderId="5" applyAlignment="1" pivotButton="0" quotePrefix="0" xfId="9">
      <alignment horizontal="center" vertical="center"/>
    </xf>
    <xf numFmtId="170" fontId="92" fillId="17" borderId="6" applyAlignment="1" pivotButton="0" quotePrefix="0" xfId="9">
      <alignment horizontal="center" vertical="center"/>
    </xf>
    <xf numFmtId="170" fontId="107" fillId="17" borderId="2" applyAlignment="1" pivotButton="0" quotePrefix="0" xfId="9">
      <alignment horizontal="center" vertical="center" wrapText="1"/>
    </xf>
    <xf numFmtId="164" fontId="88" fillId="5" borderId="3" applyAlignment="1" pivotButton="0" quotePrefix="0" xfId="0">
      <alignment vertical="center"/>
    </xf>
    <xf numFmtId="164" fontId="88" fillId="5" borderId="1" applyAlignment="1" pivotButton="0" quotePrefix="0" xfId="0">
      <alignment vertical="center"/>
    </xf>
    <xf numFmtId="164" fontId="115" fillId="5" borderId="4" applyAlignment="1" pivotButton="0" quotePrefix="0" xfId="0">
      <alignment vertical="center"/>
    </xf>
    <xf numFmtId="164" fontId="88" fillId="0" borderId="2" applyAlignment="1" pivotButton="0" quotePrefix="0" xfId="0">
      <alignment vertical="center"/>
    </xf>
    <xf numFmtId="164" fontId="88" fillId="5" borderId="2" applyAlignment="1" pivotButton="0" quotePrefix="0" xfId="0">
      <alignment vertical="center"/>
    </xf>
    <xf numFmtId="164" fontId="88" fillId="5" borderId="15" applyAlignment="1" pivotButton="0" quotePrefix="0" xfId="0">
      <alignment vertical="center"/>
    </xf>
    <xf numFmtId="165" fontId="0" fillId="0" borderId="0" applyAlignment="1" pivotButton="0" quotePrefix="0" xfId="16">
      <alignment horizontal="center" vertical="center"/>
    </xf>
    <xf numFmtId="165" fontId="100" fillId="0" borderId="0" applyAlignment="1" pivotButton="0" quotePrefix="0" xfId="16">
      <alignment horizontal="center" vertical="center"/>
    </xf>
    <xf numFmtId="165" fontId="0" fillId="11" borderId="0" applyAlignment="1" pivotButton="0" quotePrefix="0" xfId="16">
      <alignment horizontal="center" vertical="center"/>
    </xf>
    <xf numFmtId="166" fontId="0" fillId="9" borderId="0" applyAlignment="1" pivotButton="0" quotePrefix="0" xfId="0">
      <alignment horizontal="center" vertical="center"/>
    </xf>
    <xf numFmtId="165" fontId="86" fillId="11" borderId="0" applyAlignment="1" pivotButton="0" quotePrefix="0" xfId="16">
      <alignment horizontal="center" vertical="center" wrapText="1"/>
    </xf>
    <xf numFmtId="168" fontId="106" fillId="0" borderId="0" applyAlignment="1" applyProtection="1" pivotButton="0" quotePrefix="0" xfId="11">
      <alignment horizontal="left" vertical="center"/>
      <protection locked="0" hidden="0"/>
    </xf>
    <xf numFmtId="0" fontId="0" fillId="0" borderId="0" applyProtection="1" pivotButton="0" quotePrefix="0" xfId="0">
      <protection locked="0" hidden="0"/>
    </xf>
    <xf numFmtId="168" fontId="81" fillId="0" borderId="0" applyAlignment="1" applyProtection="1" pivotButton="0" quotePrefix="0" xfId="11">
      <alignment horizontal="left" vertical="center"/>
      <protection locked="0" hidden="0"/>
    </xf>
    <xf numFmtId="168" fontId="105" fillId="0" borderId="0" applyAlignment="1" pivotButton="0" quotePrefix="0" xfId="11">
      <alignment horizontal="right" vertical="center"/>
    </xf>
    <xf numFmtId="165" fontId="106" fillId="0" borderId="0" applyAlignment="1" pivotButton="0" quotePrefix="0" xfId="2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124" fillId="0" borderId="0" applyAlignment="1" pivotButton="0" quotePrefix="0" xfId="16">
      <alignment horizontal="center" vertical="center"/>
    </xf>
    <xf numFmtId="166" fontId="124" fillId="0" borderId="0" applyAlignment="1" pivotButton="0" quotePrefix="0" xfId="0">
      <alignment horizontal="center" vertical="center"/>
    </xf>
    <xf numFmtId="174" fontId="0" fillId="0" borderId="0" applyAlignment="1" pivotButton="0" quotePrefix="0" xfId="0">
      <alignment vertical="center"/>
    </xf>
    <xf numFmtId="165" fontId="0" fillId="11" borderId="1" applyAlignment="1" pivotButton="0" quotePrefix="0" xfId="16">
      <alignment horizontal="center" vertical="center"/>
    </xf>
    <xf numFmtId="167" fontId="0" fillId="0" borderId="1" applyAlignment="1" pivotButton="0" quotePrefix="0" xfId="16">
      <alignment horizontal="center" vertical="center"/>
    </xf>
    <xf numFmtId="167" fontId="0" fillId="10" borderId="1" applyAlignment="1" pivotButton="0" quotePrefix="0" xfId="16">
      <alignment horizontal="center" vertical="center"/>
    </xf>
    <xf numFmtId="172" fontId="0" fillId="10" borderId="1" applyAlignment="1" pivotButton="0" quotePrefix="0" xfId="16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right" vertical="center"/>
    </xf>
    <xf numFmtId="165" fontId="0" fillId="8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173" fontId="0" fillId="0" borderId="0" applyAlignment="1" pivotButton="0" quotePrefix="0" xfId="0">
      <alignment horizontal="center" vertical="center"/>
    </xf>
    <xf numFmtId="165" fontId="0" fillId="0" borderId="1" applyAlignment="1" pivotButton="0" quotePrefix="0" xfId="16">
      <alignment horizontal="center" vertical="center"/>
    </xf>
    <xf numFmtId="0" fontId="125" fillId="0" borderId="16" applyAlignment="1" pivotButton="0" quotePrefix="0" xfId="0">
      <alignment horizontal="center" vertical="center"/>
    </xf>
    <xf numFmtId="0" fontId="126" fillId="0" borderId="0" applyAlignment="1" pivotButton="0" quotePrefix="0" xfId="0">
      <alignment horizontal="center" vertical="center"/>
    </xf>
    <xf numFmtId="0" fontId="126" fillId="0" borderId="0" applyAlignment="1" pivotButton="0" quotePrefix="0" xfId="0">
      <alignment horizontal="left" vertical="center"/>
    </xf>
    <xf numFmtId="0" fontId="127" fillId="0" borderId="0" applyAlignment="1" pivotButton="0" quotePrefix="0" xfId="0">
      <alignment horizontal="center" vertical="center"/>
    </xf>
  </cellXfs>
  <cellStyles count="1220">
    <cellStyle name="표준" xfId="0" builtinId="0"/>
    <cellStyle name="40% - 강조색2" xfId="1" builtinId="35"/>
    <cellStyle name="강조색3" xfId="2" builtinId="37"/>
    <cellStyle name="백분율 2" xfId="3"/>
    <cellStyle name="백분율 3" xfId="4"/>
    <cellStyle name="쉼표 [0] 2" xfId="5"/>
    <cellStyle name="쉼표 [0] 3" xfId="6"/>
    <cellStyle name="쉼표 [0] 4" xfId="7"/>
    <cellStyle name="쉼표 [0] 5" xfId="8"/>
    <cellStyle name="입력" xfId="9" builtinId="20"/>
    <cellStyle name="콤마 [0]_Weekly Production Plan" xfId="10"/>
    <cellStyle name="표준 2" xfId="11"/>
    <cellStyle name="표준 3" xfId="12"/>
    <cellStyle name="표준 4" xfId="13"/>
    <cellStyle name="표준 5" xfId="14"/>
    <cellStyle name="표준 6" xfId="15"/>
    <cellStyle name="쉼표 [0]" xfId="16" builtinId="6"/>
    <cellStyle name="백분율" xfId="17" builtinId="5"/>
    <cellStyle name="표준 7" xfId="18"/>
    <cellStyle name="쉼표 [0] 2 2" xfId="19"/>
    <cellStyle name="쉼표 [0] 6" xfId="20"/>
    <cellStyle name="강조색2" xfId="21" builtinId="33"/>
    <cellStyle name="쉼표 [0] 2 3" xfId="22"/>
    <cellStyle name="쉼표 [0] 3 2" xfId="23"/>
    <cellStyle name="쉼표 [0] 4 2" xfId="24"/>
    <cellStyle name="쉼표 [0] 5 2" xfId="25"/>
    <cellStyle name="쉼표 [0] 7" xfId="26"/>
    <cellStyle name="표준 7 2" xfId="27"/>
    <cellStyle name="쉼표 [0] 2 2 2" xfId="28"/>
    <cellStyle name="쉼표 [0] 6 2" xfId="29"/>
    <cellStyle name="쉼표 [0] 2 4" xfId="30"/>
    <cellStyle name="쉼표 [0] 3 3" xfId="31"/>
    <cellStyle name="쉼표 [0] 4 3" xfId="32"/>
    <cellStyle name="쉼표 [0] 5 3" xfId="33"/>
    <cellStyle name="쉼표 [0] 8" xfId="34"/>
    <cellStyle name="표준 7 3" xfId="35"/>
    <cellStyle name="쉼표 [0] 2 2 3" xfId="36"/>
    <cellStyle name="쉼표 [0] 6 3" xfId="37"/>
    <cellStyle name="쉼표 [0] 2 5" xfId="38"/>
    <cellStyle name="쉼표 [0] 3 4" xfId="39"/>
    <cellStyle name="쉼표 [0] 4 4" xfId="40"/>
    <cellStyle name="쉼표 [0] 5 4" xfId="41"/>
    <cellStyle name="쉼표 [0] 9" xfId="42"/>
    <cellStyle name="표준 7 4" xfId="43"/>
    <cellStyle name="쉼표 [0] 2 2 4" xfId="44"/>
    <cellStyle name="쉼표 [0] 6 4" xfId="45"/>
    <cellStyle name="쉼표 [0] 2 3 2" xfId="46"/>
    <cellStyle name="쉼표 [0] 3 2 2" xfId="47"/>
    <cellStyle name="쉼표 [0] 4 2 2" xfId="48"/>
    <cellStyle name="쉼표 [0] 5 2 2" xfId="49"/>
    <cellStyle name="쉼표 [0] 7 2" xfId="50"/>
    <cellStyle name="표준 7 2 2" xfId="51"/>
    <cellStyle name="쉼표 [0] 2 2 2 2" xfId="52"/>
    <cellStyle name="쉼표 [0] 6 2 2" xfId="53"/>
    <cellStyle name="쉼표 [0] 2 4 2" xfId="54"/>
    <cellStyle name="쉼표 [0] 3 3 2" xfId="55"/>
    <cellStyle name="쉼표 [0] 4 3 2" xfId="56"/>
    <cellStyle name="쉼표 [0] 5 3 2" xfId="57"/>
    <cellStyle name="쉼표 [0] 8 2" xfId="58"/>
    <cellStyle name="표준 7 3 2" xfId="59"/>
    <cellStyle name="쉼표 [0] 2 2 3 2" xfId="60"/>
    <cellStyle name="쉼표 [0] 6 3 2" xfId="61"/>
    <cellStyle name="표준 8" xfId="62"/>
    <cellStyle name="표준 9" xfId="63"/>
    <cellStyle name="표준 10" xfId="64"/>
    <cellStyle name="표준 11" xfId="65"/>
    <cellStyle name="표준 12" xfId="66"/>
    <cellStyle name="표준 13" xfId="67"/>
    <cellStyle name="표준 14" xfId="68"/>
    <cellStyle name="표준 15" xfId="69"/>
    <cellStyle name="표준 16" xfId="70"/>
    <cellStyle name="표준 17" xfId="71"/>
    <cellStyle name="표준 18" xfId="72"/>
    <cellStyle name="표준 19" xfId="73"/>
    <cellStyle name="표준 20" xfId="74"/>
    <cellStyle name="표준 21" xfId="75"/>
    <cellStyle name="표준 22" xfId="76"/>
    <cellStyle name="표준 23" xfId="77"/>
    <cellStyle name="표준 24" xfId="78"/>
    <cellStyle name="표준 25" xfId="79"/>
    <cellStyle name="표준 26" xfId="80"/>
    <cellStyle name="표준 27" xfId="81"/>
    <cellStyle name="표준 28" xfId="82"/>
    <cellStyle name="표준 29" xfId="83"/>
    <cellStyle name="표준 30" xfId="84"/>
    <cellStyle name="표준 31" xfId="85"/>
    <cellStyle name="표준 32" xfId="86"/>
    <cellStyle name="표준 33" xfId="87"/>
    <cellStyle name="표준 34" xfId="88"/>
    <cellStyle name="표준 35" xfId="89"/>
    <cellStyle name="표준 36" xfId="90"/>
    <cellStyle name="표준 37" xfId="91"/>
    <cellStyle name="표준 38" xfId="92"/>
    <cellStyle name="표준 39" xfId="93"/>
    <cellStyle name="표준 40" xfId="94"/>
    <cellStyle name="표준 41" xfId="95"/>
    <cellStyle name="표준 42" xfId="96"/>
    <cellStyle name="표준 43" xfId="97"/>
    <cellStyle name="표준 44" xfId="98"/>
    <cellStyle name="표준 45" xfId="99"/>
    <cellStyle name="표준 46" xfId="100"/>
    <cellStyle name="표준 47" xfId="101"/>
    <cellStyle name="표준 48" xfId="102"/>
    <cellStyle name="표준 49" xfId="103"/>
    <cellStyle name="표준 50" xfId="104"/>
    <cellStyle name="표준 51" xfId="105"/>
    <cellStyle name="표준 52" xfId="106"/>
    <cellStyle name="표준 53" xfId="107"/>
    <cellStyle name="표준 54" xfId="108"/>
    <cellStyle name="표준 55" xfId="109"/>
    <cellStyle name="표준 56" xfId="110"/>
    <cellStyle name="표준 57" xfId="111"/>
    <cellStyle name="쉼표 [0] 2 6" xfId="112"/>
    <cellStyle name="쉼표 [0] 3 5" xfId="113"/>
    <cellStyle name="쉼표 [0] 4 5" xfId="114"/>
    <cellStyle name="쉼표 [0] 5 5" xfId="115"/>
    <cellStyle name="쉼표 [0] 10" xfId="116"/>
    <cellStyle name="표준 7 5" xfId="117"/>
    <cellStyle name="쉼표 [0] 2 2 5" xfId="118"/>
    <cellStyle name="쉼표 [0] 6 5" xfId="119"/>
    <cellStyle name="쉼표 [0] 2 3 3" xfId="120"/>
    <cellStyle name="쉼표 [0] 3 2 3" xfId="121"/>
    <cellStyle name="쉼표 [0] 4 2 3" xfId="122"/>
    <cellStyle name="쉼표 [0] 5 2 3" xfId="123"/>
    <cellStyle name="쉼표 [0] 7 3" xfId="124"/>
    <cellStyle name="표준 7 2 3" xfId="125"/>
    <cellStyle name="쉼표 [0] 2 2 2 3" xfId="126"/>
    <cellStyle name="쉼표 [0] 6 2 3" xfId="127"/>
    <cellStyle name="쉼표 [0] 2 4 3" xfId="128"/>
    <cellStyle name="쉼표 [0] 3 3 3" xfId="129"/>
    <cellStyle name="쉼표 [0] 4 3 3" xfId="130"/>
    <cellStyle name="쉼표 [0] 5 3 3" xfId="131"/>
    <cellStyle name="쉼표 [0] 8 3" xfId="132"/>
    <cellStyle name="표준 7 3 3" xfId="133"/>
    <cellStyle name="쉼표 [0] 2 2 3 3" xfId="134"/>
    <cellStyle name="쉼표 [0] 6 3 3" xfId="135"/>
    <cellStyle name="쉼표 [0] 2 5 2" xfId="136"/>
    <cellStyle name="쉼표 [0] 3 4 2" xfId="137"/>
    <cellStyle name="쉼표 [0] 4 4 2" xfId="138"/>
    <cellStyle name="쉼표 [0] 5 4 2" xfId="139"/>
    <cellStyle name="쉼표 [0] 9 2" xfId="140"/>
    <cellStyle name="표준 7 4 2" xfId="141"/>
    <cellStyle name="쉼표 [0] 2 2 4 2" xfId="142"/>
    <cellStyle name="쉼표 [0] 6 4 2" xfId="143"/>
    <cellStyle name="쉼표 [0] 2 3 2 2" xfId="144"/>
    <cellStyle name="쉼표 [0] 3 2 2 2" xfId="145"/>
    <cellStyle name="쉼표 [0] 4 2 2 2" xfId="146"/>
    <cellStyle name="쉼표 [0] 5 2 2 2" xfId="147"/>
    <cellStyle name="쉼표 [0] 7 2 2" xfId="148"/>
    <cellStyle name="표준 7 2 2 2" xfId="149"/>
    <cellStyle name="쉼표 [0] 2 2 2 2 2" xfId="150"/>
    <cellStyle name="쉼표 [0] 6 2 2 2" xfId="151"/>
    <cellStyle name="쉼표 [0] 2 4 2 2" xfId="152"/>
    <cellStyle name="쉼표 [0] 3 3 2 2" xfId="153"/>
    <cellStyle name="쉼표 [0] 4 3 2 2" xfId="154"/>
    <cellStyle name="쉼표 [0] 5 3 2 2" xfId="155"/>
    <cellStyle name="쉼표 [0] 8 2 2" xfId="156"/>
    <cellStyle name="표준 7 3 2 2" xfId="157"/>
    <cellStyle name="쉼표 [0] 2 2 3 2 2" xfId="158"/>
    <cellStyle name="쉼표 [0] 6 3 2 2" xfId="159"/>
    <cellStyle name="표준 8 2" xfId="160"/>
    <cellStyle name="표준 9 2" xfId="161"/>
    <cellStyle name="표준 10 2" xfId="162"/>
    <cellStyle name="표준 11 2" xfId="163"/>
    <cellStyle name="표준 12 2" xfId="164"/>
    <cellStyle name="표준 13 2" xfId="165"/>
    <cellStyle name="표준 14 2" xfId="166"/>
    <cellStyle name="표준 15 2" xfId="167"/>
    <cellStyle name="표준 16 2" xfId="168"/>
    <cellStyle name="표준 17 2" xfId="169"/>
    <cellStyle name="표준 18 2" xfId="170"/>
    <cellStyle name="표준 19 2" xfId="171"/>
    <cellStyle name="표준 20 2" xfId="172"/>
    <cellStyle name="표준 21 2" xfId="173"/>
    <cellStyle name="표준 22 2" xfId="174"/>
    <cellStyle name="표준 23 2" xfId="175"/>
    <cellStyle name="표준 24 2" xfId="176"/>
    <cellStyle name="표준 25 2" xfId="177"/>
    <cellStyle name="표준 26 2" xfId="178"/>
    <cellStyle name="표준 27 2" xfId="179"/>
    <cellStyle name="표준 28 2" xfId="180"/>
    <cellStyle name="표준 29 2" xfId="181"/>
    <cellStyle name="표준 30 2" xfId="182"/>
    <cellStyle name="표준 31 2" xfId="183"/>
    <cellStyle name="표준 32 2" xfId="184"/>
    <cellStyle name="표준 33 2" xfId="185"/>
    <cellStyle name="표준 34 2" xfId="186"/>
    <cellStyle name="표준 35 2" xfId="187"/>
    <cellStyle name="표준 36 2" xfId="188"/>
    <cellStyle name="표준 37 2" xfId="189"/>
    <cellStyle name="표준 38 2" xfId="190"/>
    <cellStyle name="표준 39 2" xfId="191"/>
    <cellStyle name="표준 40 2" xfId="192"/>
    <cellStyle name="표준 41 2" xfId="193"/>
    <cellStyle name="표준 42 2" xfId="194"/>
    <cellStyle name="표준 43 2" xfId="195"/>
    <cellStyle name="표준 44 2" xfId="196"/>
    <cellStyle name="표준 45 2" xfId="197"/>
    <cellStyle name="표준 46 2" xfId="198"/>
    <cellStyle name="표준 47 2" xfId="199"/>
    <cellStyle name="표준 48 2" xfId="200"/>
    <cellStyle name="표준 49 2" xfId="201"/>
    <cellStyle name="표준 50 2" xfId="202"/>
    <cellStyle name="표준 51 2" xfId="203"/>
    <cellStyle name="표준 52 2" xfId="204"/>
    <cellStyle name="표준 53 2" xfId="205"/>
    <cellStyle name="표준 54 2" xfId="206"/>
    <cellStyle name="표준 55 2" xfId="207"/>
    <cellStyle name="표준 56 2" xfId="208"/>
    <cellStyle name="표준 57 2" xfId="209"/>
    <cellStyle name="표준 58" xfId="210"/>
    <cellStyle name="표준 59" xfId="211"/>
    <cellStyle name="쉼표 [0] 2 7" xfId="212"/>
    <cellStyle name="쉼표 [0] 3 6" xfId="213"/>
    <cellStyle name="쉼표 [0] 4 6" xfId="214"/>
    <cellStyle name="쉼표 [0] 5 6" xfId="215"/>
    <cellStyle name="쉼표 [0] 11" xfId="216"/>
    <cellStyle name="표준 7 6" xfId="217"/>
    <cellStyle name="쉼표 [0] 2 2 6" xfId="218"/>
    <cellStyle name="쉼표 [0] 6 6" xfId="219"/>
    <cellStyle name="쉼표 [0] 2 3 4" xfId="220"/>
    <cellStyle name="쉼표 [0] 3 2 4" xfId="221"/>
    <cellStyle name="쉼표 [0] 4 2 4" xfId="222"/>
    <cellStyle name="쉼표 [0] 5 2 4" xfId="223"/>
    <cellStyle name="쉼표 [0] 7 4" xfId="224"/>
    <cellStyle name="표준 7 2 4" xfId="225"/>
    <cellStyle name="쉼표 [0] 2 2 2 4" xfId="226"/>
    <cellStyle name="쉼표 [0] 6 2 4" xfId="227"/>
    <cellStyle name="쉼표 [0] 2 4 4" xfId="228"/>
    <cellStyle name="쉼표 [0] 3 3 4" xfId="229"/>
    <cellStyle name="쉼표 [0] 4 3 4" xfId="230"/>
    <cellStyle name="쉼표 [0] 5 3 4" xfId="231"/>
    <cellStyle name="쉼표 [0] 8 4" xfId="232"/>
    <cellStyle name="표준 7 3 4" xfId="233"/>
    <cellStyle name="쉼표 [0] 2 2 3 4" xfId="234"/>
    <cellStyle name="쉼표 [0] 6 3 4" xfId="235"/>
    <cellStyle name="쉼표 [0] 2 5 3" xfId="236"/>
    <cellStyle name="쉼표 [0] 3 4 3" xfId="237"/>
    <cellStyle name="쉼표 [0] 4 4 3" xfId="238"/>
    <cellStyle name="쉼표 [0] 5 4 3" xfId="239"/>
    <cellStyle name="쉼표 [0] 9 3" xfId="240"/>
    <cellStyle name="표준 7 4 3" xfId="241"/>
    <cellStyle name="쉼표 [0] 2 2 4 3" xfId="242"/>
    <cellStyle name="쉼표 [0] 6 4 3" xfId="243"/>
    <cellStyle name="쉼표 [0] 2 3 2 3" xfId="244"/>
    <cellStyle name="쉼표 [0] 3 2 2 3" xfId="245"/>
    <cellStyle name="쉼표 [0] 4 2 2 3" xfId="246"/>
    <cellStyle name="쉼표 [0] 5 2 2 3" xfId="247"/>
    <cellStyle name="쉼표 [0] 7 2 3" xfId="248"/>
    <cellStyle name="표준 7 2 2 3" xfId="249"/>
    <cellStyle name="쉼표 [0] 2 2 2 2 3" xfId="250"/>
    <cellStyle name="쉼표 [0] 6 2 2 3" xfId="251"/>
    <cellStyle name="쉼표 [0] 2 4 2 3" xfId="252"/>
    <cellStyle name="쉼표 [0] 3 3 2 3" xfId="253"/>
    <cellStyle name="쉼표 [0] 4 3 2 3" xfId="254"/>
    <cellStyle name="쉼표 [0] 5 3 2 3" xfId="255"/>
    <cellStyle name="쉼표 [0] 8 2 3" xfId="256"/>
    <cellStyle name="표준 7 3 2 3" xfId="257"/>
    <cellStyle name="쉼표 [0] 2 2 3 2 3" xfId="258"/>
    <cellStyle name="쉼표 [0] 6 3 2 3" xfId="259"/>
    <cellStyle name="표준 8 3" xfId="260"/>
    <cellStyle name="표준 9 3" xfId="261"/>
    <cellStyle name="표준 10 3" xfId="262"/>
    <cellStyle name="표준 11 3" xfId="263"/>
    <cellStyle name="표준 12 3" xfId="264"/>
    <cellStyle name="표준 13 3" xfId="265"/>
    <cellStyle name="표준 14 3" xfId="266"/>
    <cellStyle name="표준 15 3" xfId="267"/>
    <cellStyle name="표준 16 3" xfId="268"/>
    <cellStyle name="표준 17 3" xfId="269"/>
    <cellStyle name="표준 18 3" xfId="270"/>
    <cellStyle name="표준 19 3" xfId="271"/>
    <cellStyle name="표준 20 3" xfId="272"/>
    <cellStyle name="표준 21 3" xfId="273"/>
    <cellStyle name="표준 22 3" xfId="274"/>
    <cellStyle name="표준 23 3" xfId="275"/>
    <cellStyle name="표준 24 3" xfId="276"/>
    <cellStyle name="표준 25 3" xfId="277"/>
    <cellStyle name="표준 26 3" xfId="278"/>
    <cellStyle name="표준 27 3" xfId="279"/>
    <cellStyle name="표준 28 3" xfId="280"/>
    <cellStyle name="표준 29 3" xfId="281"/>
    <cellStyle name="표준 30 3" xfId="282"/>
    <cellStyle name="표준 31 3" xfId="283"/>
    <cellStyle name="표준 32 3" xfId="284"/>
    <cellStyle name="표준 33 3" xfId="285"/>
    <cellStyle name="표준 34 3" xfId="286"/>
    <cellStyle name="표준 35 3" xfId="287"/>
    <cellStyle name="표준 36 3" xfId="288"/>
    <cellStyle name="표준 37 3" xfId="289"/>
    <cellStyle name="표준 38 3" xfId="290"/>
    <cellStyle name="표준 39 3" xfId="291"/>
    <cellStyle name="표준 40 3" xfId="292"/>
    <cellStyle name="표준 41 3" xfId="293"/>
    <cellStyle name="표준 42 3" xfId="294"/>
    <cellStyle name="표준 43 3" xfId="295"/>
    <cellStyle name="표준 44 3" xfId="296"/>
    <cellStyle name="표준 45 3" xfId="297"/>
    <cellStyle name="표준 46 3" xfId="298"/>
    <cellStyle name="표준 47 3" xfId="299"/>
    <cellStyle name="표준 48 3" xfId="300"/>
    <cellStyle name="표준 49 3" xfId="301"/>
    <cellStyle name="표준 50 3" xfId="302"/>
    <cellStyle name="표준 51 3" xfId="303"/>
    <cellStyle name="표준 52 3" xfId="304"/>
    <cellStyle name="표준 53 3" xfId="305"/>
    <cellStyle name="표준 54 3" xfId="306"/>
    <cellStyle name="표준 55 3" xfId="307"/>
    <cellStyle name="표준 56 3" xfId="308"/>
    <cellStyle name="표준 57 3" xfId="309"/>
    <cellStyle name="쉼표 [0] 2 6 2" xfId="310"/>
    <cellStyle name="쉼표 [0] 3 5 2" xfId="311"/>
    <cellStyle name="쉼표 [0] 4 5 2" xfId="312"/>
    <cellStyle name="쉼표 [0] 5 5 2" xfId="313"/>
    <cellStyle name="쉼표 [0] 10 2" xfId="314"/>
    <cellStyle name="표준 7 5 2" xfId="315"/>
    <cellStyle name="쉼표 [0] 2 2 5 2" xfId="316"/>
    <cellStyle name="쉼표 [0] 6 5 2" xfId="317"/>
    <cellStyle name="쉼표 [0] 2 3 3 2" xfId="318"/>
    <cellStyle name="쉼표 [0] 3 2 3 2" xfId="319"/>
    <cellStyle name="쉼표 [0] 4 2 3 2" xfId="320"/>
    <cellStyle name="쉼표 [0] 5 2 3 2" xfId="321"/>
    <cellStyle name="쉼표 [0] 7 3 2" xfId="322"/>
    <cellStyle name="표준 7 2 3 2" xfId="323"/>
    <cellStyle name="쉼표 [0] 2 2 2 3 2" xfId="324"/>
    <cellStyle name="쉼표 [0] 6 2 3 2" xfId="325"/>
    <cellStyle name="쉼표 [0] 2 4 3 2" xfId="326"/>
    <cellStyle name="쉼표 [0] 3 3 3 2" xfId="327"/>
    <cellStyle name="쉼표 [0] 4 3 3 2" xfId="328"/>
    <cellStyle name="쉼표 [0] 5 3 3 2" xfId="329"/>
    <cellStyle name="쉼표 [0] 8 3 2" xfId="330"/>
    <cellStyle name="표준 7 3 3 2" xfId="331"/>
    <cellStyle name="쉼표 [0] 2 2 3 3 2" xfId="332"/>
    <cellStyle name="쉼표 [0] 6 3 3 2" xfId="333"/>
    <cellStyle name="쉼표 [0] 2 5 2 2" xfId="334"/>
    <cellStyle name="쉼표 [0] 3 4 2 2" xfId="335"/>
    <cellStyle name="쉼표 [0] 4 4 2 2" xfId="336"/>
    <cellStyle name="쉼표 [0] 5 4 2 2" xfId="337"/>
    <cellStyle name="쉼표 [0] 9 2 2" xfId="338"/>
    <cellStyle name="표준 7 4 2 2" xfId="339"/>
    <cellStyle name="쉼표 [0] 2 2 4 2 2" xfId="340"/>
    <cellStyle name="쉼표 [0] 6 4 2 2" xfId="341"/>
    <cellStyle name="쉼표 [0] 2 3 2 2 2" xfId="342"/>
    <cellStyle name="쉼표 [0] 3 2 2 2 2" xfId="343"/>
    <cellStyle name="쉼표 [0] 4 2 2 2 2" xfId="344"/>
    <cellStyle name="쉼표 [0] 5 2 2 2 2" xfId="345"/>
    <cellStyle name="쉼표 [0] 7 2 2 2" xfId="346"/>
    <cellStyle name="표준 7 2 2 2 2" xfId="347"/>
    <cellStyle name="쉼표 [0] 2 2 2 2 2 2" xfId="348"/>
    <cellStyle name="쉼표 [0] 6 2 2 2 2" xfId="349"/>
    <cellStyle name="쉼표 [0] 2 4 2 2 2" xfId="350"/>
    <cellStyle name="쉼표 [0] 3 3 2 2 2" xfId="351"/>
    <cellStyle name="쉼표 [0] 4 3 2 2 2" xfId="352"/>
    <cellStyle name="쉼표 [0] 5 3 2 2 2" xfId="353"/>
    <cellStyle name="쉼표 [0] 8 2 2 2" xfId="354"/>
    <cellStyle name="표준 7 3 2 2 2" xfId="355"/>
    <cellStyle name="쉼표 [0] 2 2 3 2 2 2" xfId="356"/>
    <cellStyle name="쉼표 [0] 6 3 2 2 2" xfId="357"/>
    <cellStyle name="표준 8 2 2" xfId="358"/>
    <cellStyle name="표준 9 2 2" xfId="359"/>
    <cellStyle name="표준 10 2 2" xfId="360"/>
    <cellStyle name="표준 11 2 2" xfId="361"/>
    <cellStyle name="표준 12 2 2" xfId="362"/>
    <cellStyle name="표준 13 2 2" xfId="363"/>
    <cellStyle name="표준 14 2 2" xfId="364"/>
    <cellStyle name="표준 15 2 2" xfId="365"/>
    <cellStyle name="표준 16 2 2" xfId="366"/>
    <cellStyle name="표준 17 2 2" xfId="367"/>
    <cellStyle name="표준 18 2 2" xfId="368"/>
    <cellStyle name="표준 19 2 2" xfId="369"/>
    <cellStyle name="표준 20 2 2" xfId="370"/>
    <cellStyle name="표준 21 2 2" xfId="371"/>
    <cellStyle name="표준 22 2 2" xfId="372"/>
    <cellStyle name="표준 23 2 2" xfId="373"/>
    <cellStyle name="표준 24 2 2" xfId="374"/>
    <cellStyle name="표준 25 2 2" xfId="375"/>
    <cellStyle name="표준 26 2 2" xfId="376"/>
    <cellStyle name="표준 27 2 2" xfId="377"/>
    <cellStyle name="표준 28 2 2" xfId="378"/>
    <cellStyle name="표준 29 2 2" xfId="379"/>
    <cellStyle name="표준 30 2 2" xfId="380"/>
    <cellStyle name="표준 31 2 2" xfId="381"/>
    <cellStyle name="표준 32 2 2" xfId="382"/>
    <cellStyle name="표준 33 2 2" xfId="383"/>
    <cellStyle name="표준 34 2 2" xfId="384"/>
    <cellStyle name="표준 35 2 2" xfId="385"/>
    <cellStyle name="표준 36 2 2" xfId="386"/>
    <cellStyle name="표준 37 2 2" xfId="387"/>
    <cellStyle name="표준 38 2 2" xfId="388"/>
    <cellStyle name="표준 39 2 2" xfId="389"/>
    <cellStyle name="표준 40 2 2" xfId="390"/>
    <cellStyle name="표준 41 2 2" xfId="391"/>
    <cellStyle name="표준 42 2 2" xfId="392"/>
    <cellStyle name="표준 43 2 2" xfId="393"/>
    <cellStyle name="표준 44 2 2" xfId="394"/>
    <cellStyle name="표준 45 2 2" xfId="395"/>
    <cellStyle name="표준 46 2 2" xfId="396"/>
    <cellStyle name="표준 47 2 2" xfId="397"/>
    <cellStyle name="표준 48 2 2" xfId="398"/>
    <cellStyle name="표준 49 2 2" xfId="399"/>
    <cellStyle name="표준 50 2 2" xfId="400"/>
    <cellStyle name="표준 51 2 2" xfId="401"/>
    <cellStyle name="표준 52 2 2" xfId="402"/>
    <cellStyle name="표준 53 2 2" xfId="403"/>
    <cellStyle name="표준 54 2 2" xfId="404"/>
    <cellStyle name="표준 55 2 2" xfId="405"/>
    <cellStyle name="표준 56 2 2" xfId="406"/>
    <cellStyle name="표준 57 2 2" xfId="407"/>
    <cellStyle name="표준 58 2" xfId="408"/>
    <cellStyle name="표준 59 2" xfId="409"/>
    <cellStyle name="쉼표 [0] 2 8" xfId="410"/>
    <cellStyle name="쉼표 [0] 3 7" xfId="411"/>
    <cellStyle name="쉼표 [0] 4 7" xfId="412"/>
    <cellStyle name="쉼표 [0] 5 7" xfId="413"/>
    <cellStyle name="쉼표 [0] 12" xfId="414"/>
    <cellStyle name="표준 7 7" xfId="415"/>
    <cellStyle name="쉼표 [0] 2 2 7" xfId="416"/>
    <cellStyle name="쉼표 [0] 6 7" xfId="417"/>
    <cellStyle name="쉼표 [0] 2 3 5" xfId="418"/>
    <cellStyle name="쉼표 [0] 3 2 5" xfId="419"/>
    <cellStyle name="쉼표 [0] 4 2 5" xfId="420"/>
    <cellStyle name="쉼표 [0] 5 2 5" xfId="421"/>
    <cellStyle name="쉼표 [0] 7 5" xfId="422"/>
    <cellStyle name="표준 7 2 5" xfId="423"/>
    <cellStyle name="쉼표 [0] 2 2 2 5" xfId="424"/>
    <cellStyle name="쉼표 [0] 6 2 5" xfId="425"/>
    <cellStyle name="쉼표 [0] 2 4 5" xfId="426"/>
    <cellStyle name="쉼표 [0] 3 3 5" xfId="427"/>
    <cellStyle name="쉼표 [0] 4 3 5" xfId="428"/>
    <cellStyle name="쉼표 [0] 5 3 5" xfId="429"/>
    <cellStyle name="쉼표 [0] 8 5" xfId="430"/>
    <cellStyle name="표준 7 3 5" xfId="431"/>
    <cellStyle name="쉼표 [0] 2 2 3 5" xfId="432"/>
    <cellStyle name="쉼표 [0] 6 3 5" xfId="433"/>
    <cellStyle name="쉼표 [0] 2 5 4" xfId="434"/>
    <cellStyle name="쉼표 [0] 3 4 4" xfId="435"/>
    <cellStyle name="쉼표 [0] 4 4 4" xfId="436"/>
    <cellStyle name="쉼표 [0] 5 4 4" xfId="437"/>
    <cellStyle name="쉼표 [0] 9 4" xfId="438"/>
    <cellStyle name="표준 7 4 4" xfId="439"/>
    <cellStyle name="쉼표 [0] 2 2 4 4" xfId="440"/>
    <cellStyle name="쉼표 [0] 6 4 4" xfId="441"/>
    <cellStyle name="쉼표 [0] 2 3 2 4" xfId="442"/>
    <cellStyle name="쉼표 [0] 3 2 2 4" xfId="443"/>
    <cellStyle name="쉼표 [0] 4 2 2 4" xfId="444"/>
    <cellStyle name="쉼표 [0] 5 2 2 4" xfId="445"/>
    <cellStyle name="쉼표 [0] 7 2 4" xfId="446"/>
    <cellStyle name="표준 7 2 2 4" xfId="447"/>
    <cellStyle name="쉼표 [0] 2 2 2 2 4" xfId="448"/>
    <cellStyle name="쉼표 [0] 6 2 2 4" xfId="449"/>
    <cellStyle name="쉼표 [0] 2 4 2 4" xfId="450"/>
    <cellStyle name="쉼표 [0] 3 3 2 4" xfId="451"/>
    <cellStyle name="쉼표 [0] 4 3 2 4" xfId="452"/>
    <cellStyle name="쉼표 [0] 5 3 2 4" xfId="453"/>
    <cellStyle name="쉼표 [0] 8 2 4" xfId="454"/>
    <cellStyle name="표준 7 3 2 4" xfId="455"/>
    <cellStyle name="쉼표 [0] 2 2 3 2 4" xfId="456"/>
    <cellStyle name="쉼표 [0] 6 3 2 4" xfId="457"/>
    <cellStyle name="표준 8 4" xfId="458"/>
    <cellStyle name="표준 9 4" xfId="459"/>
    <cellStyle name="표준 10 4" xfId="460"/>
    <cellStyle name="표준 11 4" xfId="461"/>
    <cellStyle name="표준 12 4" xfId="462"/>
    <cellStyle name="표준 13 4" xfId="463"/>
    <cellStyle name="표준 14 4" xfId="464"/>
    <cellStyle name="표준 15 4" xfId="465"/>
    <cellStyle name="표준 16 4" xfId="466"/>
    <cellStyle name="표준 17 4" xfId="467"/>
    <cellStyle name="표준 18 4" xfId="468"/>
    <cellStyle name="표준 19 4" xfId="469"/>
    <cellStyle name="표준 20 4" xfId="470"/>
    <cellStyle name="표준 21 4" xfId="471"/>
    <cellStyle name="표준 22 4" xfId="472"/>
    <cellStyle name="표준 23 4" xfId="473"/>
    <cellStyle name="표준 24 4" xfId="474"/>
    <cellStyle name="표준 25 4" xfId="475"/>
    <cellStyle name="표준 26 4" xfId="476"/>
    <cellStyle name="표준 27 4" xfId="477"/>
    <cellStyle name="표준 28 4" xfId="478"/>
    <cellStyle name="표준 29 4" xfId="479"/>
    <cellStyle name="표준 30 4" xfId="480"/>
    <cellStyle name="표준 31 4" xfId="481"/>
    <cellStyle name="표준 32 4" xfId="482"/>
    <cellStyle name="표준 33 4" xfId="483"/>
    <cellStyle name="표준 34 4" xfId="484"/>
    <cellStyle name="표준 35 4" xfId="485"/>
    <cellStyle name="표준 36 4" xfId="486"/>
    <cellStyle name="표준 37 4" xfId="487"/>
    <cellStyle name="표준 38 4" xfId="488"/>
    <cellStyle name="표준 39 4" xfId="489"/>
    <cellStyle name="표준 40 4" xfId="490"/>
    <cellStyle name="표준 41 4" xfId="491"/>
    <cellStyle name="표준 42 4" xfId="492"/>
    <cellStyle name="표준 43 4" xfId="493"/>
    <cellStyle name="표준 44 4" xfId="494"/>
    <cellStyle name="표준 45 4" xfId="495"/>
    <cellStyle name="표준 46 4" xfId="496"/>
    <cellStyle name="표준 47 4" xfId="497"/>
    <cellStyle name="표준 48 4" xfId="498"/>
    <cellStyle name="표준 49 4" xfId="499"/>
    <cellStyle name="표준 50 4" xfId="500"/>
    <cellStyle name="표준 51 4" xfId="501"/>
    <cellStyle name="표준 52 4" xfId="502"/>
    <cellStyle name="표준 53 4" xfId="503"/>
    <cellStyle name="표준 54 4" xfId="504"/>
    <cellStyle name="표준 55 4" xfId="505"/>
    <cellStyle name="표준 56 4" xfId="506"/>
    <cellStyle name="표준 57 4" xfId="507"/>
    <cellStyle name="쉼표 [0] 2 6 3" xfId="508"/>
    <cellStyle name="쉼표 [0] 3 5 3" xfId="509"/>
    <cellStyle name="쉼표 [0] 4 5 3" xfId="510"/>
    <cellStyle name="쉼표 [0] 5 5 3" xfId="511"/>
    <cellStyle name="쉼표 [0] 10 3" xfId="512"/>
    <cellStyle name="표준 7 5 3" xfId="513"/>
    <cellStyle name="쉼표 [0] 2 2 5 3" xfId="514"/>
    <cellStyle name="쉼표 [0] 6 5 3" xfId="515"/>
    <cellStyle name="쉼표 [0] 2 3 3 3" xfId="516"/>
    <cellStyle name="쉼표 [0] 3 2 3 3" xfId="517"/>
    <cellStyle name="쉼표 [0] 4 2 3 3" xfId="518"/>
    <cellStyle name="쉼표 [0] 5 2 3 3" xfId="519"/>
    <cellStyle name="쉼표 [0] 7 3 3" xfId="520"/>
    <cellStyle name="표준 7 2 3 3" xfId="521"/>
    <cellStyle name="쉼표 [0] 2 2 2 3 3" xfId="522"/>
    <cellStyle name="쉼표 [0] 6 2 3 3" xfId="523"/>
    <cellStyle name="쉼표 [0] 2 4 3 3" xfId="524"/>
    <cellStyle name="쉼표 [0] 3 3 3 3" xfId="525"/>
    <cellStyle name="쉼표 [0] 4 3 3 3" xfId="526"/>
    <cellStyle name="쉼표 [0] 5 3 3 3" xfId="527"/>
    <cellStyle name="쉼표 [0] 8 3 3" xfId="528"/>
    <cellStyle name="표준 7 3 3 3" xfId="529"/>
    <cellStyle name="쉼표 [0] 2 2 3 3 3" xfId="530"/>
    <cellStyle name="쉼표 [0] 6 3 3 3" xfId="531"/>
    <cellStyle name="쉼표 [0] 2 5 2 3" xfId="532"/>
    <cellStyle name="쉼표 [0] 3 4 2 3" xfId="533"/>
    <cellStyle name="쉼표 [0] 4 4 2 3" xfId="534"/>
    <cellStyle name="쉼표 [0] 5 4 2 3" xfId="535"/>
    <cellStyle name="쉼표 [0] 9 2 3" xfId="536"/>
    <cellStyle name="표준 7 4 2 3" xfId="537"/>
    <cellStyle name="쉼표 [0] 2 2 4 2 3" xfId="538"/>
    <cellStyle name="쉼표 [0] 6 4 2 3" xfId="539"/>
    <cellStyle name="쉼표 [0] 2 3 2 2 3" xfId="540"/>
    <cellStyle name="쉼표 [0] 3 2 2 2 3" xfId="541"/>
    <cellStyle name="쉼표 [0] 4 2 2 2 3" xfId="542"/>
    <cellStyle name="쉼표 [0] 5 2 2 2 3" xfId="543"/>
    <cellStyle name="쉼표 [0] 7 2 2 3" xfId="544"/>
    <cellStyle name="표준 7 2 2 2 3" xfId="545"/>
    <cellStyle name="쉼표 [0] 2 2 2 2 2 3" xfId="546"/>
    <cellStyle name="쉼표 [0] 6 2 2 2 3" xfId="547"/>
    <cellStyle name="쉼표 [0] 2 4 2 2 3" xfId="548"/>
    <cellStyle name="쉼표 [0] 3 3 2 2 3" xfId="549"/>
    <cellStyle name="쉼표 [0] 4 3 2 2 3" xfId="550"/>
    <cellStyle name="쉼표 [0] 5 3 2 2 3" xfId="551"/>
    <cellStyle name="쉼표 [0] 8 2 2 3" xfId="552"/>
    <cellStyle name="표준 7 3 2 2 3" xfId="553"/>
    <cellStyle name="쉼표 [0] 2 2 3 2 2 3" xfId="554"/>
    <cellStyle name="쉼표 [0] 6 3 2 2 3" xfId="555"/>
    <cellStyle name="표준 8 2 3" xfId="556"/>
    <cellStyle name="표준 9 2 3" xfId="557"/>
    <cellStyle name="표준 10 2 3" xfId="558"/>
    <cellStyle name="표준 11 2 3" xfId="559"/>
    <cellStyle name="표준 12 2 3" xfId="560"/>
    <cellStyle name="표준 13 2 3" xfId="561"/>
    <cellStyle name="표준 14 2 3" xfId="562"/>
    <cellStyle name="표준 15 2 3" xfId="563"/>
    <cellStyle name="표준 16 2 3" xfId="564"/>
    <cellStyle name="표준 17 2 3" xfId="565"/>
    <cellStyle name="표준 18 2 3" xfId="566"/>
    <cellStyle name="표준 19 2 3" xfId="567"/>
    <cellStyle name="표준 20 2 3" xfId="568"/>
    <cellStyle name="표준 21 2 3" xfId="569"/>
    <cellStyle name="표준 22 2 3" xfId="570"/>
    <cellStyle name="표준 23 2 3" xfId="571"/>
    <cellStyle name="표준 24 2 3" xfId="572"/>
    <cellStyle name="표준 25 2 3" xfId="573"/>
    <cellStyle name="표준 26 2 3" xfId="574"/>
    <cellStyle name="표준 27 2 3" xfId="575"/>
    <cellStyle name="표준 28 2 3" xfId="576"/>
    <cellStyle name="표준 29 2 3" xfId="577"/>
    <cellStyle name="표준 30 2 3" xfId="578"/>
    <cellStyle name="표준 31 2 3" xfId="579"/>
    <cellStyle name="표준 32 2 3" xfId="580"/>
    <cellStyle name="표준 33 2 3" xfId="581"/>
    <cellStyle name="표준 34 2 3" xfId="582"/>
    <cellStyle name="표준 35 2 3" xfId="583"/>
    <cellStyle name="표준 36 2 3" xfId="584"/>
    <cellStyle name="표준 37 2 3" xfId="585"/>
    <cellStyle name="표준 38 2 3" xfId="586"/>
    <cellStyle name="표준 39 2 3" xfId="587"/>
    <cellStyle name="표준 40 2 3" xfId="588"/>
    <cellStyle name="표준 41 2 3" xfId="589"/>
    <cellStyle name="표준 42 2 3" xfId="590"/>
    <cellStyle name="표준 43 2 3" xfId="591"/>
    <cellStyle name="표준 44 2 3" xfId="592"/>
    <cellStyle name="표준 45 2 3" xfId="593"/>
    <cellStyle name="표준 46 2 3" xfId="594"/>
    <cellStyle name="표준 47 2 3" xfId="595"/>
    <cellStyle name="표준 48 2 3" xfId="596"/>
    <cellStyle name="표준 49 2 3" xfId="597"/>
    <cellStyle name="표준 50 2 3" xfId="598"/>
    <cellStyle name="표준 51 2 3" xfId="599"/>
    <cellStyle name="표준 52 2 3" xfId="600"/>
    <cellStyle name="표준 53 2 3" xfId="601"/>
    <cellStyle name="표준 54 2 3" xfId="602"/>
    <cellStyle name="표준 55 2 3" xfId="603"/>
    <cellStyle name="표준 56 2 3" xfId="604"/>
    <cellStyle name="표준 57 2 3" xfId="605"/>
    <cellStyle name="표준 58 3" xfId="606"/>
    <cellStyle name="표준 59 3" xfId="607"/>
    <cellStyle name="표준 60" xfId="608"/>
    <cellStyle name="표준 61" xfId="609"/>
    <cellStyle name="표준 62" xfId="610"/>
    <cellStyle name="쉼표 [0] 2 9" xfId="611"/>
    <cellStyle name="쉼표 [0] 3 8" xfId="612"/>
    <cellStyle name="쉼표 [0] 4 8" xfId="613"/>
    <cellStyle name="쉼표 [0] 5 8" xfId="614"/>
    <cellStyle name="쉼표 [0] 13" xfId="615"/>
    <cellStyle name="표준 7 8" xfId="616"/>
    <cellStyle name="쉼표 [0] 2 2 8" xfId="617"/>
    <cellStyle name="쉼표 [0] 6 8" xfId="618"/>
    <cellStyle name="쉼표 [0] 2 3 6" xfId="619"/>
    <cellStyle name="쉼표 [0] 3 2 6" xfId="620"/>
    <cellStyle name="쉼표 [0] 4 2 6" xfId="621"/>
    <cellStyle name="쉼표 [0] 5 2 6" xfId="622"/>
    <cellStyle name="쉼표 [0] 7 6" xfId="623"/>
    <cellStyle name="표준 7 2 6" xfId="624"/>
    <cellStyle name="쉼표 [0] 2 2 2 6" xfId="625"/>
    <cellStyle name="쉼표 [0] 6 2 6" xfId="626"/>
    <cellStyle name="쉼표 [0] 2 4 6" xfId="627"/>
    <cellStyle name="쉼표 [0] 3 3 6" xfId="628"/>
    <cellStyle name="쉼표 [0] 4 3 6" xfId="629"/>
    <cellStyle name="쉼표 [0] 5 3 6" xfId="630"/>
    <cellStyle name="쉼표 [0] 8 6" xfId="631"/>
    <cellStyle name="표준 7 3 6" xfId="632"/>
    <cellStyle name="쉼표 [0] 2 2 3 6" xfId="633"/>
    <cellStyle name="쉼표 [0] 6 3 6" xfId="634"/>
    <cellStyle name="쉼표 [0] 2 5 5" xfId="635"/>
    <cellStyle name="쉼표 [0] 3 4 5" xfId="636"/>
    <cellStyle name="쉼표 [0] 4 4 5" xfId="637"/>
    <cellStyle name="쉼표 [0] 5 4 5" xfId="638"/>
    <cellStyle name="쉼표 [0] 9 5" xfId="639"/>
    <cellStyle name="표준 7 4 5" xfId="640"/>
    <cellStyle name="쉼표 [0] 2 2 4 5" xfId="641"/>
    <cellStyle name="쉼표 [0] 6 4 5" xfId="642"/>
    <cellStyle name="쉼표 [0] 2 3 2 5" xfId="643"/>
    <cellStyle name="쉼표 [0] 3 2 2 5" xfId="644"/>
    <cellStyle name="쉼표 [0] 4 2 2 5" xfId="645"/>
    <cellStyle name="쉼표 [0] 5 2 2 5" xfId="646"/>
    <cellStyle name="쉼표 [0] 7 2 5" xfId="647"/>
    <cellStyle name="표준 7 2 2 5" xfId="648"/>
    <cellStyle name="쉼표 [0] 2 2 2 2 5" xfId="649"/>
    <cellStyle name="쉼표 [0] 6 2 2 5" xfId="650"/>
    <cellStyle name="쉼표 [0] 2 4 2 5" xfId="651"/>
    <cellStyle name="쉼표 [0] 3 3 2 5" xfId="652"/>
    <cellStyle name="쉼표 [0] 4 3 2 5" xfId="653"/>
    <cellStyle name="쉼표 [0] 5 3 2 5" xfId="654"/>
    <cellStyle name="쉼표 [0] 8 2 5" xfId="655"/>
    <cellStyle name="표준 7 3 2 5" xfId="656"/>
    <cellStyle name="쉼표 [0] 2 2 3 2 5" xfId="657"/>
    <cellStyle name="쉼표 [0] 6 3 2 5" xfId="658"/>
    <cellStyle name="표준 8 5" xfId="659"/>
    <cellStyle name="표준 9 5" xfId="660"/>
    <cellStyle name="표준 10 5" xfId="661"/>
    <cellStyle name="표준 11 5" xfId="662"/>
    <cellStyle name="표준 12 5" xfId="663"/>
    <cellStyle name="표준 13 5" xfId="664"/>
    <cellStyle name="표준 14 5" xfId="665"/>
    <cellStyle name="표준 15 5" xfId="666"/>
    <cellStyle name="표준 16 5" xfId="667"/>
    <cellStyle name="표준 17 5" xfId="668"/>
    <cellStyle name="표준 18 5" xfId="669"/>
    <cellStyle name="표준 19 5" xfId="670"/>
    <cellStyle name="표준 20 5" xfId="671"/>
    <cellStyle name="표준 21 5" xfId="672"/>
    <cellStyle name="표준 22 5" xfId="673"/>
    <cellStyle name="표준 23 5" xfId="674"/>
    <cellStyle name="표준 24 5" xfId="675"/>
    <cellStyle name="표준 25 5" xfId="676"/>
    <cellStyle name="표준 26 5" xfId="677"/>
    <cellStyle name="표준 27 5" xfId="678"/>
    <cellStyle name="표준 28 5" xfId="679"/>
    <cellStyle name="표준 29 5" xfId="680"/>
    <cellStyle name="표준 30 5" xfId="681"/>
    <cellStyle name="표준 31 5" xfId="682"/>
    <cellStyle name="표준 32 5" xfId="683"/>
    <cellStyle name="표준 33 5" xfId="684"/>
    <cellStyle name="표준 34 5" xfId="685"/>
    <cellStyle name="표준 35 5" xfId="686"/>
    <cellStyle name="표준 36 5" xfId="687"/>
    <cellStyle name="표준 37 5" xfId="688"/>
    <cellStyle name="표준 38 5" xfId="689"/>
    <cellStyle name="표준 39 5" xfId="690"/>
    <cellStyle name="표준 40 5" xfId="691"/>
    <cellStyle name="표준 41 5" xfId="692"/>
    <cellStyle name="표준 42 5" xfId="693"/>
    <cellStyle name="표준 43 5" xfId="694"/>
    <cellStyle name="표준 44 5" xfId="695"/>
    <cellStyle name="표준 45 5" xfId="696"/>
    <cellStyle name="표준 46 5" xfId="697"/>
    <cellStyle name="표준 47 5" xfId="698"/>
    <cellStyle name="표준 48 5" xfId="699"/>
    <cellStyle name="표준 49 5" xfId="700"/>
    <cellStyle name="표준 50 5" xfId="701"/>
    <cellStyle name="표준 51 5" xfId="702"/>
    <cellStyle name="표준 52 5" xfId="703"/>
    <cellStyle name="표준 53 5" xfId="704"/>
    <cellStyle name="표준 54 5" xfId="705"/>
    <cellStyle name="표준 55 5" xfId="706"/>
    <cellStyle name="표준 56 5" xfId="707"/>
    <cellStyle name="표준 57 5" xfId="708"/>
    <cellStyle name="쉼표 [0] 2 6 4" xfId="709"/>
    <cellStyle name="쉼표 [0] 3 5 4" xfId="710"/>
    <cellStyle name="쉼표 [0] 4 5 4" xfId="711"/>
    <cellStyle name="쉼표 [0] 5 5 4" xfId="712"/>
    <cellStyle name="쉼표 [0] 10 4" xfId="713"/>
    <cellStyle name="표준 7 5 4" xfId="714"/>
    <cellStyle name="쉼표 [0] 2 2 5 4" xfId="715"/>
    <cellStyle name="쉼표 [0] 6 5 4" xfId="716"/>
    <cellStyle name="쉼표 [0] 2 3 3 4" xfId="717"/>
    <cellStyle name="쉼표 [0] 3 2 3 4" xfId="718"/>
    <cellStyle name="쉼표 [0] 4 2 3 4" xfId="719"/>
    <cellStyle name="쉼표 [0] 5 2 3 4" xfId="720"/>
    <cellStyle name="쉼표 [0] 7 3 4" xfId="721"/>
    <cellStyle name="표준 7 2 3 4" xfId="722"/>
    <cellStyle name="쉼표 [0] 2 2 2 3 4" xfId="723"/>
    <cellStyle name="쉼표 [0] 6 2 3 4" xfId="724"/>
    <cellStyle name="쉼표 [0] 2 4 3 4" xfId="725"/>
    <cellStyle name="쉼표 [0] 3 3 3 4" xfId="726"/>
    <cellStyle name="쉼표 [0] 4 3 3 4" xfId="727"/>
    <cellStyle name="쉼표 [0] 5 3 3 4" xfId="728"/>
    <cellStyle name="쉼표 [0] 8 3 4" xfId="729"/>
    <cellStyle name="표준 7 3 3 4" xfId="730"/>
    <cellStyle name="쉼표 [0] 2 2 3 3 4" xfId="731"/>
    <cellStyle name="쉼표 [0] 6 3 3 4" xfId="732"/>
    <cellStyle name="쉼표 [0] 2 5 2 4" xfId="733"/>
    <cellStyle name="쉼표 [0] 3 4 2 4" xfId="734"/>
    <cellStyle name="쉼표 [0] 4 4 2 4" xfId="735"/>
    <cellStyle name="쉼표 [0] 5 4 2 4" xfId="736"/>
    <cellStyle name="쉼표 [0] 9 2 4" xfId="737"/>
    <cellStyle name="표준 7 4 2 4" xfId="738"/>
    <cellStyle name="쉼표 [0] 2 2 4 2 4" xfId="739"/>
    <cellStyle name="쉼표 [0] 6 4 2 4" xfId="740"/>
    <cellStyle name="쉼표 [0] 2 3 2 2 4" xfId="741"/>
    <cellStyle name="쉼표 [0] 3 2 2 2 4" xfId="742"/>
    <cellStyle name="쉼표 [0] 4 2 2 2 4" xfId="743"/>
    <cellStyle name="쉼표 [0] 5 2 2 2 4" xfId="744"/>
    <cellStyle name="쉼표 [0] 7 2 2 4" xfId="745"/>
    <cellStyle name="표준 7 2 2 2 4" xfId="746"/>
    <cellStyle name="쉼표 [0] 2 2 2 2 2 4" xfId="747"/>
    <cellStyle name="쉼표 [0] 6 2 2 2 4" xfId="748"/>
    <cellStyle name="쉼표 [0] 2 4 2 2 4" xfId="749"/>
    <cellStyle name="쉼표 [0] 3 3 2 2 4" xfId="750"/>
    <cellStyle name="쉼표 [0] 4 3 2 2 4" xfId="751"/>
    <cellStyle name="쉼표 [0] 5 3 2 2 4" xfId="752"/>
    <cellStyle name="쉼표 [0] 8 2 2 4" xfId="753"/>
    <cellStyle name="표준 7 3 2 2 4" xfId="754"/>
    <cellStyle name="쉼표 [0] 2 2 3 2 2 4" xfId="755"/>
    <cellStyle name="쉼표 [0] 6 3 2 2 4" xfId="756"/>
    <cellStyle name="표준 8 2 4" xfId="757"/>
    <cellStyle name="표준 9 2 4" xfId="758"/>
    <cellStyle name="표준 10 2 4" xfId="759"/>
    <cellStyle name="표준 11 2 4" xfId="760"/>
    <cellStyle name="표준 12 2 4" xfId="761"/>
    <cellStyle name="표준 13 2 4" xfId="762"/>
    <cellStyle name="표준 14 2 4" xfId="763"/>
    <cellStyle name="표준 15 2 4" xfId="764"/>
    <cellStyle name="표준 16 2 4" xfId="765"/>
    <cellStyle name="표준 17 2 4" xfId="766"/>
    <cellStyle name="표준 18 2 4" xfId="767"/>
    <cellStyle name="표준 19 2 4" xfId="768"/>
    <cellStyle name="표준 20 2 4" xfId="769"/>
    <cellStyle name="표준 21 2 4" xfId="770"/>
    <cellStyle name="표준 22 2 4" xfId="771"/>
    <cellStyle name="표준 23 2 4" xfId="772"/>
    <cellStyle name="표준 24 2 4" xfId="773"/>
    <cellStyle name="표준 25 2 4" xfId="774"/>
    <cellStyle name="표준 26 2 4" xfId="775"/>
    <cellStyle name="표준 27 2 4" xfId="776"/>
    <cellStyle name="표준 28 2 4" xfId="777"/>
    <cellStyle name="표준 29 2 4" xfId="778"/>
    <cellStyle name="표준 30 2 4" xfId="779"/>
    <cellStyle name="표준 31 2 4" xfId="780"/>
    <cellStyle name="표준 32 2 4" xfId="781"/>
    <cellStyle name="표준 33 2 4" xfId="782"/>
    <cellStyle name="표준 34 2 4" xfId="783"/>
    <cellStyle name="표준 35 2 4" xfId="784"/>
    <cellStyle name="표준 36 2 4" xfId="785"/>
    <cellStyle name="표준 37 2 4" xfId="786"/>
    <cellStyle name="표준 38 2 4" xfId="787"/>
    <cellStyle name="표준 39 2 4" xfId="788"/>
    <cellStyle name="표준 40 2 4" xfId="789"/>
    <cellStyle name="표준 41 2 4" xfId="790"/>
    <cellStyle name="표준 42 2 4" xfId="791"/>
    <cellStyle name="표준 43 2 4" xfId="792"/>
    <cellStyle name="표준 44 2 4" xfId="793"/>
    <cellStyle name="표준 45 2 4" xfId="794"/>
    <cellStyle name="표준 46 2 4" xfId="795"/>
    <cellStyle name="표준 47 2 4" xfId="796"/>
    <cellStyle name="표준 48 2 4" xfId="797"/>
    <cellStyle name="표준 49 2 4" xfId="798"/>
    <cellStyle name="표준 50 2 4" xfId="799"/>
    <cellStyle name="표준 51 2 4" xfId="800"/>
    <cellStyle name="표준 52 2 4" xfId="801"/>
    <cellStyle name="표준 53 2 4" xfId="802"/>
    <cellStyle name="표준 54 2 4" xfId="803"/>
    <cellStyle name="표준 55 2 4" xfId="804"/>
    <cellStyle name="표준 56 2 4" xfId="805"/>
    <cellStyle name="표준 57 2 4" xfId="806"/>
    <cellStyle name="표준 58 4" xfId="807"/>
    <cellStyle name="표준 59 4" xfId="808"/>
    <cellStyle name="쉼표 [0] 2 7 2" xfId="809"/>
    <cellStyle name="쉼표 [0] 3 6 2" xfId="810"/>
    <cellStyle name="쉼표 [0] 4 6 2" xfId="811"/>
    <cellStyle name="쉼표 [0] 5 6 2" xfId="812"/>
    <cellStyle name="쉼표 [0] 11 2" xfId="813"/>
    <cellStyle name="표준 7 6 2" xfId="814"/>
    <cellStyle name="쉼표 [0] 2 2 6 2" xfId="815"/>
    <cellStyle name="쉼표 [0] 6 6 2" xfId="816"/>
    <cellStyle name="쉼표 [0] 2 3 4 2" xfId="817"/>
    <cellStyle name="쉼표 [0] 3 2 4 2" xfId="818"/>
    <cellStyle name="쉼표 [0] 4 2 4 2" xfId="819"/>
    <cellStyle name="쉼표 [0] 5 2 4 2" xfId="820"/>
    <cellStyle name="쉼표 [0] 7 4 2" xfId="821"/>
    <cellStyle name="표준 7 2 4 2" xfId="822"/>
    <cellStyle name="쉼표 [0] 2 2 2 4 2" xfId="823"/>
    <cellStyle name="쉼표 [0] 6 2 4 2" xfId="824"/>
    <cellStyle name="쉼표 [0] 2 4 4 2" xfId="825"/>
    <cellStyle name="쉼표 [0] 3 3 4 2" xfId="826"/>
    <cellStyle name="쉼표 [0] 4 3 4 2" xfId="827"/>
    <cellStyle name="쉼표 [0] 5 3 4 2" xfId="828"/>
    <cellStyle name="쉼표 [0] 8 4 2" xfId="829"/>
    <cellStyle name="표준 7 3 4 2" xfId="830"/>
    <cellStyle name="쉼표 [0] 2 2 3 4 2" xfId="831"/>
    <cellStyle name="쉼표 [0] 6 3 4 2" xfId="832"/>
    <cellStyle name="쉼표 [0] 2 5 3 2" xfId="833"/>
    <cellStyle name="쉼표 [0] 3 4 3 2" xfId="834"/>
    <cellStyle name="쉼표 [0] 4 4 3 2" xfId="835"/>
    <cellStyle name="쉼표 [0] 5 4 3 2" xfId="836"/>
    <cellStyle name="쉼표 [0] 9 3 2" xfId="837"/>
    <cellStyle name="표준 7 4 3 2" xfId="838"/>
    <cellStyle name="쉼표 [0] 2 2 4 3 2" xfId="839"/>
    <cellStyle name="쉼표 [0] 6 4 3 2" xfId="840"/>
    <cellStyle name="쉼표 [0] 2 3 2 3 2" xfId="841"/>
    <cellStyle name="쉼표 [0] 3 2 2 3 2" xfId="842"/>
    <cellStyle name="쉼표 [0] 4 2 2 3 2" xfId="843"/>
    <cellStyle name="쉼표 [0] 5 2 2 3 2" xfId="844"/>
    <cellStyle name="쉼표 [0] 7 2 3 2" xfId="845"/>
    <cellStyle name="표준 7 2 2 3 2" xfId="846"/>
    <cellStyle name="쉼표 [0] 2 2 2 2 3 2" xfId="847"/>
    <cellStyle name="쉼표 [0] 6 2 2 3 2" xfId="848"/>
    <cellStyle name="쉼표 [0] 2 4 2 3 2" xfId="849"/>
    <cellStyle name="쉼표 [0] 3 3 2 3 2" xfId="850"/>
    <cellStyle name="쉼표 [0] 4 3 2 3 2" xfId="851"/>
    <cellStyle name="쉼표 [0] 5 3 2 3 2" xfId="852"/>
    <cellStyle name="쉼표 [0] 8 2 3 2" xfId="853"/>
    <cellStyle name="표준 7 3 2 3 2" xfId="854"/>
    <cellStyle name="쉼표 [0] 2 2 3 2 3 2" xfId="855"/>
    <cellStyle name="쉼표 [0] 6 3 2 3 2" xfId="856"/>
    <cellStyle name="표준 8 3 2" xfId="857"/>
    <cellStyle name="표준 9 3 2" xfId="858"/>
    <cellStyle name="표준 10 3 2" xfId="859"/>
    <cellStyle name="표준 11 3 2" xfId="860"/>
    <cellStyle name="표준 12 3 2" xfId="861"/>
    <cellStyle name="표준 13 3 2" xfId="862"/>
    <cellStyle name="표준 14 3 2" xfId="863"/>
    <cellStyle name="표준 15 3 2" xfId="864"/>
    <cellStyle name="표준 16 3 2" xfId="865"/>
    <cellStyle name="표준 17 3 2" xfId="866"/>
    <cellStyle name="표준 18 3 2" xfId="867"/>
    <cellStyle name="표준 19 3 2" xfId="868"/>
    <cellStyle name="표준 20 3 2" xfId="869"/>
    <cellStyle name="표준 21 3 2" xfId="870"/>
    <cellStyle name="표준 22 3 2" xfId="871"/>
    <cellStyle name="표준 23 3 2" xfId="872"/>
    <cellStyle name="표준 24 3 2" xfId="873"/>
    <cellStyle name="표준 25 3 2" xfId="874"/>
    <cellStyle name="표준 26 3 2" xfId="875"/>
    <cellStyle name="표준 27 3 2" xfId="876"/>
    <cellStyle name="표준 28 3 2" xfId="877"/>
    <cellStyle name="표준 29 3 2" xfId="878"/>
    <cellStyle name="표준 30 3 2" xfId="879"/>
    <cellStyle name="표준 31 3 2" xfId="880"/>
    <cellStyle name="표준 32 3 2" xfId="881"/>
    <cellStyle name="표준 33 3 2" xfId="882"/>
    <cellStyle name="표준 34 3 2" xfId="883"/>
    <cellStyle name="표준 35 3 2" xfId="884"/>
    <cellStyle name="표준 36 3 2" xfId="885"/>
    <cellStyle name="표준 37 3 2" xfId="886"/>
    <cellStyle name="표준 38 3 2" xfId="887"/>
    <cellStyle name="표준 39 3 2" xfId="888"/>
    <cellStyle name="표준 40 3 2" xfId="889"/>
    <cellStyle name="표준 41 3 2" xfId="890"/>
    <cellStyle name="표준 42 3 2" xfId="891"/>
    <cellStyle name="표준 43 3 2" xfId="892"/>
    <cellStyle name="표준 44 3 2" xfId="893"/>
    <cellStyle name="표준 45 3 2" xfId="894"/>
    <cellStyle name="표준 46 3 2" xfId="895"/>
    <cellStyle name="표준 47 3 2" xfId="896"/>
    <cellStyle name="표준 48 3 2" xfId="897"/>
    <cellStyle name="표준 49 3 2" xfId="898"/>
    <cellStyle name="표준 50 3 2" xfId="899"/>
    <cellStyle name="표준 51 3 2" xfId="900"/>
    <cellStyle name="표준 52 3 2" xfId="901"/>
    <cellStyle name="표준 53 3 2" xfId="902"/>
    <cellStyle name="표준 54 3 2" xfId="903"/>
    <cellStyle name="표준 55 3 2" xfId="904"/>
    <cellStyle name="표준 56 3 2" xfId="905"/>
    <cellStyle name="표준 57 3 2" xfId="906"/>
    <cellStyle name="쉼표 [0] 2 6 2 2" xfId="907"/>
    <cellStyle name="쉼표 [0] 3 5 2 2" xfId="908"/>
    <cellStyle name="쉼표 [0] 4 5 2 2" xfId="909"/>
    <cellStyle name="쉼표 [0] 5 5 2 2" xfId="910"/>
    <cellStyle name="쉼표 [0] 10 2 2" xfId="911"/>
    <cellStyle name="표준 7 5 2 2" xfId="912"/>
    <cellStyle name="쉼표 [0] 2 2 5 2 2" xfId="913"/>
    <cellStyle name="쉼표 [0] 6 5 2 2" xfId="914"/>
    <cellStyle name="쉼표 [0] 2 3 3 2 2" xfId="915"/>
    <cellStyle name="쉼표 [0] 3 2 3 2 2" xfId="916"/>
    <cellStyle name="쉼표 [0] 4 2 3 2 2" xfId="917"/>
    <cellStyle name="쉼표 [0] 5 2 3 2 2" xfId="918"/>
    <cellStyle name="쉼표 [0] 7 3 2 2" xfId="919"/>
    <cellStyle name="표준 7 2 3 2 2" xfId="920"/>
    <cellStyle name="쉼표 [0] 2 2 2 3 2 2" xfId="921"/>
    <cellStyle name="쉼표 [0] 6 2 3 2 2" xfId="922"/>
    <cellStyle name="쉼표 [0] 2 4 3 2 2" xfId="923"/>
    <cellStyle name="쉼표 [0] 3 3 3 2 2" xfId="924"/>
    <cellStyle name="쉼표 [0] 4 3 3 2 2" xfId="925"/>
    <cellStyle name="쉼표 [0] 5 3 3 2 2" xfId="926"/>
    <cellStyle name="쉼표 [0] 8 3 2 2" xfId="927"/>
    <cellStyle name="표준 7 3 3 2 2" xfId="928"/>
    <cellStyle name="쉼표 [0] 2 2 3 3 2 2" xfId="929"/>
    <cellStyle name="쉼표 [0] 6 3 3 2 2" xfId="930"/>
    <cellStyle name="쉼표 [0] 2 5 2 2 2" xfId="931"/>
    <cellStyle name="쉼표 [0] 3 4 2 2 2" xfId="932"/>
    <cellStyle name="쉼표 [0] 4 4 2 2 2" xfId="933"/>
    <cellStyle name="쉼표 [0] 5 4 2 2 2" xfId="934"/>
    <cellStyle name="쉼표 [0] 9 2 2 2" xfId="935"/>
    <cellStyle name="표준 7 4 2 2 2" xfId="936"/>
    <cellStyle name="쉼표 [0] 2 2 4 2 2 2" xfId="937"/>
    <cellStyle name="쉼표 [0] 6 4 2 2 2" xfId="938"/>
    <cellStyle name="쉼표 [0] 2 3 2 2 2 2" xfId="939"/>
    <cellStyle name="쉼표 [0] 3 2 2 2 2 2" xfId="940"/>
    <cellStyle name="쉼표 [0] 4 2 2 2 2 2" xfId="941"/>
    <cellStyle name="쉼표 [0] 5 2 2 2 2 2" xfId="942"/>
    <cellStyle name="쉼표 [0] 7 2 2 2 2" xfId="943"/>
    <cellStyle name="표준 7 2 2 2 2 2" xfId="944"/>
    <cellStyle name="쉼표 [0] 2 2 2 2 2 2 2" xfId="945"/>
    <cellStyle name="쉼표 [0] 6 2 2 2 2 2" xfId="946"/>
    <cellStyle name="쉼표 [0] 2 4 2 2 2 2" xfId="947"/>
    <cellStyle name="쉼표 [0] 3 3 2 2 2 2" xfId="948"/>
    <cellStyle name="쉼표 [0] 4 3 2 2 2 2" xfId="949"/>
    <cellStyle name="쉼표 [0] 5 3 2 2 2 2" xfId="950"/>
    <cellStyle name="쉼표 [0] 8 2 2 2 2" xfId="951"/>
    <cellStyle name="표준 7 3 2 2 2 2" xfId="952"/>
    <cellStyle name="쉼표 [0] 2 2 3 2 2 2 2" xfId="953"/>
    <cellStyle name="쉼표 [0] 6 3 2 2 2 2" xfId="954"/>
    <cellStyle name="표준 8 2 2 2" xfId="955"/>
    <cellStyle name="표준 9 2 2 2" xfId="956"/>
    <cellStyle name="표준 10 2 2 2" xfId="957"/>
    <cellStyle name="표준 11 2 2 2" xfId="958"/>
    <cellStyle name="표준 12 2 2 2" xfId="959"/>
    <cellStyle name="표준 13 2 2 2" xfId="960"/>
    <cellStyle name="표준 14 2 2 2" xfId="961"/>
    <cellStyle name="표준 15 2 2 2" xfId="962"/>
    <cellStyle name="표준 16 2 2 2" xfId="963"/>
    <cellStyle name="표준 17 2 2 2" xfId="964"/>
    <cellStyle name="표준 18 2 2 2" xfId="965"/>
    <cellStyle name="표준 19 2 2 2" xfId="966"/>
    <cellStyle name="표준 20 2 2 2" xfId="967"/>
    <cellStyle name="표준 21 2 2 2" xfId="968"/>
    <cellStyle name="표준 22 2 2 2" xfId="969"/>
    <cellStyle name="표준 23 2 2 2" xfId="970"/>
    <cellStyle name="표준 24 2 2 2" xfId="971"/>
    <cellStyle name="표준 25 2 2 2" xfId="972"/>
    <cellStyle name="표준 26 2 2 2" xfId="973"/>
    <cellStyle name="표준 27 2 2 2" xfId="974"/>
    <cellStyle name="표준 28 2 2 2" xfId="975"/>
    <cellStyle name="표준 29 2 2 2" xfId="976"/>
    <cellStyle name="표준 30 2 2 2" xfId="977"/>
    <cellStyle name="표준 31 2 2 2" xfId="978"/>
    <cellStyle name="표준 32 2 2 2" xfId="979"/>
    <cellStyle name="표준 33 2 2 2" xfId="980"/>
    <cellStyle name="표준 34 2 2 2" xfId="981"/>
    <cellStyle name="표준 35 2 2 2" xfId="982"/>
    <cellStyle name="표준 36 2 2 2" xfId="983"/>
    <cellStyle name="표준 37 2 2 2" xfId="984"/>
    <cellStyle name="표준 38 2 2 2" xfId="985"/>
    <cellStyle name="표준 39 2 2 2" xfId="986"/>
    <cellStyle name="표준 40 2 2 2" xfId="987"/>
    <cellStyle name="표준 41 2 2 2" xfId="988"/>
    <cellStyle name="표준 42 2 2 2" xfId="989"/>
    <cellStyle name="표준 43 2 2 2" xfId="990"/>
    <cellStyle name="표준 44 2 2 2" xfId="991"/>
    <cellStyle name="표준 45 2 2 2" xfId="992"/>
    <cellStyle name="표준 46 2 2 2" xfId="993"/>
    <cellStyle name="표준 47 2 2 2" xfId="994"/>
    <cellStyle name="표준 48 2 2 2" xfId="995"/>
    <cellStyle name="표준 49 2 2 2" xfId="996"/>
    <cellStyle name="표준 50 2 2 2" xfId="997"/>
    <cellStyle name="표준 51 2 2 2" xfId="998"/>
    <cellStyle name="표준 52 2 2 2" xfId="999"/>
    <cellStyle name="표준 53 2 2 2" xfId="1000"/>
    <cellStyle name="표준 54 2 2 2" xfId="1001"/>
    <cellStyle name="표준 55 2 2 2" xfId="1002"/>
    <cellStyle name="표준 56 2 2 2" xfId="1003"/>
    <cellStyle name="표준 57 2 2 2" xfId="1004"/>
    <cellStyle name="표준 58 2 2" xfId="1005"/>
    <cellStyle name="표준 59 2 2" xfId="1006"/>
    <cellStyle name="쉼표 [0] 2 8 2" xfId="1007"/>
    <cellStyle name="쉼표 [0] 3 7 2" xfId="1008"/>
    <cellStyle name="쉼표 [0] 4 7 2" xfId="1009"/>
    <cellStyle name="쉼표 [0] 5 7 2" xfId="1010"/>
    <cellStyle name="쉼표 [0] 12 2" xfId="1011"/>
    <cellStyle name="표준 7 7 2" xfId="1012"/>
    <cellStyle name="쉼표 [0] 2 2 7 2" xfId="1013"/>
    <cellStyle name="쉼표 [0] 6 7 2" xfId="1014"/>
    <cellStyle name="쉼표 [0] 2 3 5 2" xfId="1015"/>
    <cellStyle name="쉼표 [0] 3 2 5 2" xfId="1016"/>
    <cellStyle name="쉼표 [0] 4 2 5 2" xfId="1017"/>
    <cellStyle name="쉼표 [0] 5 2 5 2" xfId="1018"/>
    <cellStyle name="쉼표 [0] 7 5 2" xfId="1019"/>
    <cellStyle name="표준 7 2 5 2" xfId="1020"/>
    <cellStyle name="쉼표 [0] 2 2 2 5 2" xfId="1021"/>
    <cellStyle name="쉼표 [0] 6 2 5 2" xfId="1022"/>
    <cellStyle name="쉼표 [0] 2 4 5 2" xfId="1023"/>
    <cellStyle name="쉼표 [0] 3 3 5 2" xfId="1024"/>
    <cellStyle name="쉼표 [0] 4 3 5 2" xfId="1025"/>
    <cellStyle name="쉼표 [0] 5 3 5 2" xfId="1026"/>
    <cellStyle name="쉼표 [0] 8 5 2" xfId="1027"/>
    <cellStyle name="표준 7 3 5 2" xfId="1028"/>
    <cellStyle name="쉼표 [0] 2 2 3 5 2" xfId="1029"/>
    <cellStyle name="쉼표 [0] 6 3 5 2" xfId="1030"/>
    <cellStyle name="쉼표 [0] 2 5 4 2" xfId="1031"/>
    <cellStyle name="쉼표 [0] 3 4 4 2" xfId="1032"/>
    <cellStyle name="쉼표 [0] 4 4 4 2" xfId="1033"/>
    <cellStyle name="쉼표 [0] 5 4 4 2" xfId="1034"/>
    <cellStyle name="쉼표 [0] 9 4 2" xfId="1035"/>
    <cellStyle name="표준 7 4 4 2" xfId="1036"/>
    <cellStyle name="쉼표 [0] 2 2 4 4 2" xfId="1037"/>
    <cellStyle name="쉼표 [0] 6 4 4 2" xfId="1038"/>
    <cellStyle name="쉼표 [0] 2 3 2 4 2" xfId="1039"/>
    <cellStyle name="쉼표 [0] 3 2 2 4 2" xfId="1040"/>
    <cellStyle name="쉼표 [0] 4 2 2 4 2" xfId="1041"/>
    <cellStyle name="쉼표 [0] 5 2 2 4 2" xfId="1042"/>
    <cellStyle name="쉼표 [0] 7 2 4 2" xfId="1043"/>
    <cellStyle name="표준 7 2 2 4 2" xfId="1044"/>
    <cellStyle name="쉼표 [0] 2 2 2 2 4 2" xfId="1045"/>
    <cellStyle name="쉼표 [0] 6 2 2 4 2" xfId="1046"/>
    <cellStyle name="쉼표 [0] 2 4 2 4 2" xfId="1047"/>
    <cellStyle name="쉼표 [0] 3 3 2 4 2" xfId="1048"/>
    <cellStyle name="쉼표 [0] 4 3 2 4 2" xfId="1049"/>
    <cellStyle name="쉼표 [0] 5 3 2 4 2" xfId="1050"/>
    <cellStyle name="쉼표 [0] 8 2 4 2" xfId="1051"/>
    <cellStyle name="표준 7 3 2 4 2" xfId="1052"/>
    <cellStyle name="쉼표 [0] 2 2 3 2 4 2" xfId="1053"/>
    <cellStyle name="쉼표 [0] 6 3 2 4 2" xfId="1054"/>
    <cellStyle name="표준 8 4 2" xfId="1055"/>
    <cellStyle name="표준 9 4 2" xfId="1056"/>
    <cellStyle name="표준 10 4 2" xfId="1057"/>
    <cellStyle name="표준 11 4 2" xfId="1058"/>
    <cellStyle name="표준 12 4 2" xfId="1059"/>
    <cellStyle name="표준 13 4 2" xfId="1060"/>
    <cellStyle name="표준 14 4 2" xfId="1061"/>
    <cellStyle name="표준 15 4 2" xfId="1062"/>
    <cellStyle name="표준 16 4 2" xfId="1063"/>
    <cellStyle name="표준 17 4 2" xfId="1064"/>
    <cellStyle name="표준 18 4 2" xfId="1065"/>
    <cellStyle name="표준 19 4 2" xfId="1066"/>
    <cellStyle name="표준 20 4 2" xfId="1067"/>
    <cellStyle name="표준 21 4 2" xfId="1068"/>
    <cellStyle name="표준 22 4 2" xfId="1069"/>
    <cellStyle name="표준 23 4 2" xfId="1070"/>
    <cellStyle name="표준 24 4 2" xfId="1071"/>
    <cellStyle name="표준 25 4 2" xfId="1072"/>
    <cellStyle name="표준 26 4 2" xfId="1073"/>
    <cellStyle name="표준 27 4 2" xfId="1074"/>
    <cellStyle name="표준 28 4 2" xfId="1075"/>
    <cellStyle name="표준 29 4 2" xfId="1076"/>
    <cellStyle name="표준 30 4 2" xfId="1077"/>
    <cellStyle name="표준 31 4 2" xfId="1078"/>
    <cellStyle name="표준 32 4 2" xfId="1079"/>
    <cellStyle name="표준 33 4 2" xfId="1080"/>
    <cellStyle name="표준 34 4 2" xfId="1081"/>
    <cellStyle name="표준 35 4 2" xfId="1082"/>
    <cellStyle name="표준 36 4 2" xfId="1083"/>
    <cellStyle name="표준 37 4 2" xfId="1084"/>
    <cellStyle name="표준 38 4 2" xfId="1085"/>
    <cellStyle name="표준 39 4 2" xfId="1086"/>
    <cellStyle name="표준 40 4 2" xfId="1087"/>
    <cellStyle name="표준 41 4 2" xfId="1088"/>
    <cellStyle name="표준 42 4 2" xfId="1089"/>
    <cellStyle name="표준 43 4 2" xfId="1090"/>
    <cellStyle name="표준 44 4 2" xfId="1091"/>
    <cellStyle name="표준 45 4 2" xfId="1092"/>
    <cellStyle name="표준 46 4 2" xfId="1093"/>
    <cellStyle name="표준 47 4 2" xfId="1094"/>
    <cellStyle name="표준 48 4 2" xfId="1095"/>
    <cellStyle name="표준 49 4 2" xfId="1096"/>
    <cellStyle name="표준 50 4 2" xfId="1097"/>
    <cellStyle name="표준 51 4 2" xfId="1098"/>
    <cellStyle name="표준 52 4 2" xfId="1099"/>
    <cellStyle name="표준 53 4 2" xfId="1100"/>
    <cellStyle name="표준 54 4 2" xfId="1101"/>
    <cellStyle name="표준 55 4 2" xfId="1102"/>
    <cellStyle name="표준 56 4 2" xfId="1103"/>
    <cellStyle name="표준 57 4 2" xfId="1104"/>
    <cellStyle name="쉼표 [0] 2 6 3 2" xfId="1105"/>
    <cellStyle name="쉼표 [0] 3 5 3 2" xfId="1106"/>
    <cellStyle name="쉼표 [0] 4 5 3 2" xfId="1107"/>
    <cellStyle name="쉼표 [0] 5 5 3 2" xfId="1108"/>
    <cellStyle name="쉼표 [0] 10 3 2" xfId="1109"/>
    <cellStyle name="표준 7 5 3 2" xfId="1110"/>
    <cellStyle name="쉼표 [0] 2 2 5 3 2" xfId="1111"/>
    <cellStyle name="쉼표 [0] 6 5 3 2" xfId="1112"/>
    <cellStyle name="쉼표 [0] 2 3 3 3 2" xfId="1113"/>
    <cellStyle name="쉼표 [0] 3 2 3 3 2" xfId="1114"/>
    <cellStyle name="쉼표 [0] 4 2 3 3 2" xfId="1115"/>
    <cellStyle name="쉼표 [0] 5 2 3 3 2" xfId="1116"/>
    <cellStyle name="쉼표 [0] 7 3 3 2" xfId="1117"/>
    <cellStyle name="표준 7 2 3 3 2" xfId="1118"/>
    <cellStyle name="쉼표 [0] 2 2 2 3 3 2" xfId="1119"/>
    <cellStyle name="쉼표 [0] 6 2 3 3 2" xfId="1120"/>
    <cellStyle name="쉼표 [0] 2 4 3 3 2" xfId="1121"/>
    <cellStyle name="쉼표 [0] 3 3 3 3 2" xfId="1122"/>
    <cellStyle name="쉼표 [0] 4 3 3 3 2" xfId="1123"/>
    <cellStyle name="쉼표 [0] 5 3 3 3 2" xfId="1124"/>
    <cellStyle name="쉼표 [0] 8 3 3 2" xfId="1125"/>
    <cellStyle name="표준 7 3 3 3 2" xfId="1126"/>
    <cellStyle name="쉼표 [0] 2 2 3 3 3 2" xfId="1127"/>
    <cellStyle name="쉼표 [0] 6 3 3 3 2" xfId="1128"/>
    <cellStyle name="쉼표 [0] 2 5 2 3 2" xfId="1129"/>
    <cellStyle name="쉼표 [0] 3 4 2 3 2" xfId="1130"/>
    <cellStyle name="쉼표 [0] 4 4 2 3 2" xfId="1131"/>
    <cellStyle name="쉼표 [0] 5 4 2 3 2" xfId="1132"/>
    <cellStyle name="쉼표 [0] 9 2 3 2" xfId="1133"/>
    <cellStyle name="표준 7 4 2 3 2" xfId="1134"/>
    <cellStyle name="쉼표 [0] 2 2 4 2 3 2" xfId="1135"/>
    <cellStyle name="쉼표 [0] 6 4 2 3 2" xfId="1136"/>
    <cellStyle name="쉼표 [0] 2 3 2 2 3 2" xfId="1137"/>
    <cellStyle name="쉼표 [0] 3 2 2 2 3 2" xfId="1138"/>
    <cellStyle name="쉼표 [0] 4 2 2 2 3 2" xfId="1139"/>
    <cellStyle name="쉼표 [0] 5 2 2 2 3 2" xfId="1140"/>
    <cellStyle name="쉼표 [0] 7 2 2 3 2" xfId="1141"/>
    <cellStyle name="표준 7 2 2 2 3 2" xfId="1142"/>
    <cellStyle name="쉼표 [0] 2 2 2 2 2 3 2" xfId="1143"/>
    <cellStyle name="쉼표 [0] 6 2 2 2 3 2" xfId="1144"/>
    <cellStyle name="쉼표 [0] 2 4 2 2 3 2" xfId="1145"/>
    <cellStyle name="쉼표 [0] 3 3 2 2 3 2" xfId="1146"/>
    <cellStyle name="쉼표 [0] 4 3 2 2 3 2" xfId="1147"/>
    <cellStyle name="쉼표 [0] 5 3 2 2 3 2" xfId="1148"/>
    <cellStyle name="쉼표 [0] 8 2 2 3 2" xfId="1149"/>
    <cellStyle name="표준 7 3 2 2 3 2" xfId="1150"/>
    <cellStyle name="쉼표 [0] 2 2 3 2 2 3 2" xfId="1151"/>
    <cellStyle name="쉼표 [0] 6 3 2 2 3 2" xfId="1152"/>
    <cellStyle name="표준 8 2 3 2" xfId="1153"/>
    <cellStyle name="표준 9 2 3 2" xfId="1154"/>
    <cellStyle name="표준 10 2 3 2" xfId="1155"/>
    <cellStyle name="표준 11 2 3 2" xfId="1156"/>
    <cellStyle name="표준 12 2 3 2" xfId="1157"/>
    <cellStyle name="표준 13 2 3 2" xfId="1158"/>
    <cellStyle name="표준 14 2 3 2" xfId="1159"/>
    <cellStyle name="표준 15 2 3 2" xfId="1160"/>
    <cellStyle name="표준 16 2 3 2" xfId="1161"/>
    <cellStyle name="표준 17 2 3 2" xfId="1162"/>
    <cellStyle name="표준 18 2 3 2" xfId="1163"/>
    <cellStyle name="표준 19 2 3 2" xfId="1164"/>
    <cellStyle name="표준 20 2 3 2" xfId="1165"/>
    <cellStyle name="표준 21 2 3 2" xfId="1166"/>
    <cellStyle name="표준 22 2 3 2" xfId="1167"/>
    <cellStyle name="표준 23 2 3 2" xfId="1168"/>
    <cellStyle name="표준 24 2 3 2" xfId="1169"/>
    <cellStyle name="표준 25 2 3 2" xfId="1170"/>
    <cellStyle name="표준 26 2 3 2" xfId="1171"/>
    <cellStyle name="표준 27 2 3 2" xfId="1172"/>
    <cellStyle name="표준 28 2 3 2" xfId="1173"/>
    <cellStyle name="표준 29 2 3 2" xfId="1174"/>
    <cellStyle name="표준 30 2 3 2" xfId="1175"/>
    <cellStyle name="표준 31 2 3 2" xfId="1176"/>
    <cellStyle name="표준 32 2 3 2" xfId="1177"/>
    <cellStyle name="표준 33 2 3 2" xfId="1178"/>
    <cellStyle name="표준 34 2 3 2" xfId="1179"/>
    <cellStyle name="표준 35 2 3 2" xfId="1180"/>
    <cellStyle name="표준 36 2 3 2" xfId="1181"/>
    <cellStyle name="표준 37 2 3 2" xfId="1182"/>
    <cellStyle name="표준 38 2 3 2" xfId="1183"/>
    <cellStyle name="표준 39 2 3 2" xfId="1184"/>
    <cellStyle name="표준 40 2 3 2" xfId="1185"/>
    <cellStyle name="표준 41 2 3 2" xfId="1186"/>
    <cellStyle name="표준 42 2 3 2" xfId="1187"/>
    <cellStyle name="표준 43 2 3 2" xfId="1188"/>
    <cellStyle name="표준 44 2 3 2" xfId="1189"/>
    <cellStyle name="표준 45 2 3 2" xfId="1190"/>
    <cellStyle name="표준 46 2 3 2" xfId="1191"/>
    <cellStyle name="표준 47 2 3 2" xfId="1192"/>
    <cellStyle name="표준 48 2 3 2" xfId="1193"/>
    <cellStyle name="표준 49 2 3 2" xfId="1194"/>
    <cellStyle name="표준 50 2 3 2" xfId="1195"/>
    <cellStyle name="표준 51 2 3 2" xfId="1196"/>
    <cellStyle name="표준 52 2 3 2" xfId="1197"/>
    <cellStyle name="표준 53 2 3 2" xfId="1198"/>
    <cellStyle name="표준 54 2 3 2" xfId="1199"/>
    <cellStyle name="표준 55 2 3 2" xfId="1200"/>
    <cellStyle name="표준 56 2 3 2" xfId="1201"/>
    <cellStyle name="표준 57 2 3 2" xfId="1202"/>
    <cellStyle name="표준 58 3 2" xfId="1203"/>
    <cellStyle name="표준 59 3 2" xfId="1204"/>
    <cellStyle name="표준 60 2" xfId="1205"/>
    <cellStyle name="표준 61 2" xfId="1206"/>
    <cellStyle name="표준 62 2" xfId="1207"/>
    <cellStyle name="표준 63" xfId="1208"/>
    <cellStyle name="표준 64" xfId="1209"/>
    <cellStyle name="표준 65" xfId="1210"/>
    <cellStyle name="표준 66" xfId="1211"/>
    <cellStyle name="표준 67" xfId="1212"/>
    <cellStyle name="표준 68" xfId="1213"/>
    <cellStyle name="표준 69" xfId="1214"/>
    <cellStyle name="표준 70" xfId="1215"/>
    <cellStyle name="표준 71" xfId="1216"/>
    <cellStyle name="표준 72" xfId="1217"/>
    <cellStyle name="표준 73" xfId="1218"/>
    <cellStyle name="표준 74" xfId="1219"/>
  </cellStyles>
  <dxfs count="19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8</col>
      <colOff>976312</colOff>
      <row>0</row>
      <rowOff>130969</rowOff>
    </from>
    <to>
      <col>21</col>
      <colOff>619124</colOff>
      <row>25</row>
      <rowOff>95250</rowOff>
    </to>
    <pic>
      <nvPicPr>
        <cNvPr id="8" name="Picture 1"/>
        <cNvPicPr>
          <a:picLocks noChangeAspect="1" noChangeArrowheads="1"/>
        </cNvPicPr>
      </nvPicPr>
      <blipFill>
        <a:blip r:embed="rId1"/>
        <a:srcRect l="20197" t="24355" r="21393" b="15472"/>
        <a:stretch>
          <a:fillRect/>
        </a:stretch>
      </blipFill>
      <spPr bwMode="auto">
        <a:xfrm>
          <a:off x="9310687" y="130969"/>
          <a:ext cx="9084469" cy="4619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 filterMode="1">
    <outlinePr summaryBelow="1" summaryRight="1"/>
    <pageSetUpPr fitToPage="1"/>
  </sheetPr>
  <dimension ref="A1:W185"/>
  <sheetViews>
    <sheetView showGridLines="0" showZeros="0" zoomScale="80" zoomScaleNormal="80" workbookViewId="0">
      <pane xSplit="6" ySplit="3" topLeftCell="G4" activePane="bottomRight" state="frozen"/>
      <selection activeCell="A3" sqref="A3"/>
      <selection pane="topRight" activeCell="A3" sqref="A3"/>
      <selection pane="bottomLeft" activeCell="A3" sqref="A3"/>
      <selection pane="bottomRight" activeCell="N40" sqref="N40"/>
    </sheetView>
  </sheetViews>
  <sheetFormatPr baseColWidth="8" defaultRowHeight="16.5"/>
  <cols>
    <col hidden="1" width="11.5" customWidth="1" style="237" min="1" max="1"/>
    <col width="11.5" customWidth="1" style="237" min="2" max="2"/>
    <col width="35.625" bestFit="1" customWidth="1" style="237" min="3" max="3"/>
    <col hidden="1" width="11.25" customWidth="1" style="237" min="4" max="4"/>
    <col width="7.75" customWidth="1" style="237" min="5" max="5"/>
    <col width="8.125" customWidth="1" style="237" min="6" max="6"/>
    <col width="11.25" customWidth="1" style="238" min="7" max="7"/>
    <col width="11.375" customWidth="1" style="238" min="8" max="8"/>
    <col width="11.625" customWidth="1" style="238" min="9" max="9"/>
    <col width="10.625" customWidth="1" style="238" min="10" max="10"/>
    <col width="12.5" customWidth="1" style="238" min="11" max="11"/>
    <col width="11.75" customWidth="1" style="238" min="12" max="12"/>
    <col width="11.5" customWidth="1" style="238" min="13" max="13"/>
    <col width="10.625" customWidth="1" style="238" min="14" max="14"/>
    <col width="3.625" customWidth="1" style="237" min="15" max="15"/>
    <col width="13.25" customWidth="1" style="237" min="16" max="19"/>
    <col width="12.625" customWidth="1" style="237" min="20" max="20"/>
    <col width="10.5" bestFit="1" customWidth="1" style="237" min="21" max="21"/>
    <col width="9" customWidth="1" style="61" min="22" max="23"/>
  </cols>
  <sheetData>
    <row r="1" ht="15" customFormat="1" customHeight="1" s="3">
      <c r="A1" s="7" t="n"/>
      <c r="B1" s="7" t="n"/>
      <c r="C1" s="232" t="inlineStr">
        <is>
          <t>한국통운 재고현황</t>
        </is>
      </c>
      <c r="D1" s="13" t="n"/>
      <c r="E1" s="7" t="n"/>
      <c r="F1" s="7" t="n"/>
      <c r="G1" s="239" t="n"/>
      <c r="H1" s="239" t="n"/>
      <c r="I1" s="239" t="n"/>
      <c r="J1" s="239" t="n"/>
      <c r="K1" s="239" t="n"/>
      <c r="L1" s="239" t="n"/>
      <c r="M1" s="239" t="n"/>
      <c r="N1" s="25" t="n"/>
      <c r="V1" s="74" t="n"/>
      <c r="W1" s="74" t="n"/>
    </row>
    <row r="2" ht="13.5" customFormat="1" customHeight="1" s="3">
      <c r="A2" s="7" t="n"/>
      <c r="B2" s="7" t="n"/>
      <c r="D2" s="13" t="n"/>
      <c r="E2" s="7" t="n"/>
      <c r="F2" s="7" t="n"/>
      <c r="G2" s="239" t="n"/>
      <c r="H2" s="239" t="n"/>
      <c r="I2" s="239" t="n"/>
      <c r="J2" s="239" t="n"/>
      <c r="K2" s="239" t="n"/>
      <c r="L2" s="239" t="n"/>
      <c r="M2" s="239" t="n"/>
      <c r="N2" s="239" t="n"/>
      <c r="V2" s="74" t="n"/>
      <c r="W2" s="74" t="n"/>
    </row>
    <row r="3" ht="24" customHeight="1" s="237">
      <c r="A3" s="28" t="inlineStr">
        <is>
          <t>기존코드</t>
        </is>
      </c>
      <c r="B3" s="63" t="inlineStr">
        <is>
          <t>SAP코드</t>
        </is>
      </c>
      <c r="C3" s="63" t="inlineStr">
        <is>
          <t>Brand Name</t>
        </is>
      </c>
      <c r="D3" s="28" t="inlineStr">
        <is>
          <t>구분</t>
        </is>
      </c>
      <c r="E3" s="63" t="inlineStr">
        <is>
          <t>940P</t>
        </is>
      </c>
      <c r="F3" s="63" t="inlineStr">
        <is>
          <t>아주</t>
        </is>
      </c>
      <c r="G3" s="240" t="inlineStr">
        <is>
          <t>940P</t>
        </is>
      </c>
      <c r="H3" s="240" t="inlineStr">
        <is>
          <t>아주</t>
        </is>
      </c>
      <c r="I3" s="240" t="inlineStr">
        <is>
          <t>잔량</t>
        </is>
      </c>
      <c r="J3" s="240" t="inlineStr">
        <is>
          <t>보류재고</t>
        </is>
      </c>
      <c r="K3" s="240" t="inlineStr">
        <is>
          <t>총합계</t>
        </is>
      </c>
      <c r="L3" s="241" t="inlineStr">
        <is>
          <t>전산</t>
        </is>
      </c>
      <c r="M3" s="240" t="inlineStr">
        <is>
          <t>주간상차</t>
        </is>
      </c>
      <c r="N3" s="242" t="inlineStr">
        <is>
          <t>차이</t>
        </is>
      </c>
      <c r="P3" s="243" t="inlineStr">
        <is>
          <t>940P</t>
        </is>
      </c>
      <c r="Q3" s="243" t="inlineStr">
        <is>
          <t>아주</t>
        </is>
      </c>
      <c r="R3" s="243" t="inlineStr">
        <is>
          <t>잔량</t>
        </is>
      </c>
      <c r="S3" s="243" t="inlineStr">
        <is>
          <t>보류재고</t>
        </is>
      </c>
      <c r="T3" s="243" t="inlineStr">
        <is>
          <t>합계</t>
        </is>
      </c>
      <c r="U3" s="243" t="inlineStr">
        <is>
          <t>차이</t>
        </is>
      </c>
      <c r="V3" s="244" t="inlineStr">
        <is>
          <t>SAP</t>
        </is>
      </c>
      <c r="W3" s="244" t="inlineStr">
        <is>
          <t>최종차이</t>
        </is>
      </c>
    </row>
    <row r="4" hidden="1" ht="16.5" customHeight="1" s="237">
      <c r="A4" s="9" t="n">
        <v>7870</v>
      </c>
      <c r="B4" s="9" t="inlineStr">
        <is>
          <t>MM7870</t>
        </is>
      </c>
      <c r="C4" s="29" t="inlineStr">
        <is>
          <t>미닛 오렌지 180NRB 3X12</t>
        </is>
      </c>
      <c r="D4" s="29" t="inlineStr">
        <is>
          <t>180NRB</t>
        </is>
      </c>
      <c r="E4" s="9" t="n"/>
      <c r="F4" s="9" t="n">
        <v>72</v>
      </c>
      <c r="G4" s="245" t="n">
        <v>0</v>
      </c>
      <c r="H4" s="245" t="n">
        <v>0</v>
      </c>
      <c r="I4" s="245" t="n">
        <v>71</v>
      </c>
      <c r="J4" s="245" t="n">
        <v>0</v>
      </c>
      <c r="K4" s="245" t="n">
        <v>71</v>
      </c>
      <c r="L4" s="245" t="n">
        <v>73</v>
      </c>
      <c r="M4" s="245" t="n">
        <v>0</v>
      </c>
      <c r="N4" s="246" t="n">
        <v>-2</v>
      </c>
      <c r="V4" s="0" t="n"/>
      <c r="W4" s="0" t="n"/>
    </row>
    <row r="5" hidden="1" ht="16.5" customHeight="1" s="237">
      <c r="A5" s="9" t="n">
        <v>7011</v>
      </c>
      <c r="B5" s="9" t="inlineStr">
        <is>
          <t>MM7011</t>
        </is>
      </c>
      <c r="C5" s="29" t="inlineStr">
        <is>
          <t>미닛 홈스타오렌+자몽 180NRB 3X12</t>
        </is>
      </c>
      <c r="D5" s="29" t="inlineStr">
        <is>
          <t>180NRB</t>
        </is>
      </c>
      <c r="E5" s="9" t="n"/>
      <c r="F5" s="9" t="n">
        <v>72</v>
      </c>
      <c r="G5" s="245" t="n">
        <v>0</v>
      </c>
      <c r="H5" s="245" t="n">
        <v>936</v>
      </c>
      <c r="I5" s="245" t="n">
        <v>28</v>
      </c>
      <c r="J5" s="245" t="n">
        <v>0</v>
      </c>
      <c r="K5" s="245" t="n">
        <v>964</v>
      </c>
      <c r="L5" s="245" t="n">
        <v>964</v>
      </c>
      <c r="M5" s="245" t="n">
        <v>0</v>
      </c>
      <c r="N5" s="246" t="n">
        <v>0</v>
      </c>
      <c r="V5" s="0" t="n"/>
      <c r="W5" s="0" t="n"/>
    </row>
    <row r="6" hidden="1" ht="16.5" customHeight="1" s="237">
      <c r="A6" s="9" t="n">
        <v>7871</v>
      </c>
      <c r="B6" s="9" t="inlineStr">
        <is>
          <t>MM7871</t>
        </is>
      </c>
      <c r="C6" s="29" t="inlineStr">
        <is>
          <t>미닛 포도 180NRB 3X12</t>
        </is>
      </c>
      <c r="D6" s="29" t="inlineStr">
        <is>
          <t>180NRB</t>
        </is>
      </c>
      <c r="E6" s="9" t="n"/>
      <c r="F6" s="9" t="n">
        <v>72</v>
      </c>
      <c r="G6" s="245" t="n">
        <v>0</v>
      </c>
      <c r="H6" s="245" t="n">
        <v>936</v>
      </c>
      <c r="I6" s="245" t="n">
        <v>48</v>
      </c>
      <c r="J6" s="245" t="n">
        <v>0</v>
      </c>
      <c r="K6" s="245" t="n">
        <v>984</v>
      </c>
      <c r="L6" s="245" t="n">
        <v>983</v>
      </c>
      <c r="M6" s="245" t="n">
        <v>0</v>
      </c>
      <c r="N6" s="246" t="n">
        <v>1</v>
      </c>
      <c r="V6" s="0" t="n"/>
      <c r="W6" s="0" t="n"/>
    </row>
    <row r="7" hidden="1" ht="16.5" customHeight="1" s="237">
      <c r="A7" s="9" t="n">
        <v>7873</v>
      </c>
      <c r="B7" s="9" t="inlineStr">
        <is>
          <t>MM7873</t>
        </is>
      </c>
      <c r="C7" s="29" t="inlineStr">
        <is>
          <t>미닛 알로에 180NRB 3X12</t>
        </is>
      </c>
      <c r="D7" s="29" t="inlineStr">
        <is>
          <t>180NRB</t>
        </is>
      </c>
      <c r="E7" s="9" t="n"/>
      <c r="F7" s="9" t="n">
        <v>72</v>
      </c>
      <c r="G7" s="245" t="n">
        <v>0</v>
      </c>
      <c r="H7" s="245" t="n">
        <v>0</v>
      </c>
      <c r="I7" s="245" t="n">
        <v>0</v>
      </c>
      <c r="J7" s="245" t="n">
        <v>0</v>
      </c>
      <c r="K7" s="245" t="n">
        <v>0</v>
      </c>
      <c r="L7" s="245" t="n">
        <v>0</v>
      </c>
      <c r="M7" s="245" t="n">
        <v>0</v>
      </c>
      <c r="N7" s="246" t="n">
        <v>0</v>
      </c>
      <c r="V7" s="0" t="n"/>
      <c r="W7" s="0" t="n"/>
    </row>
    <row r="8" hidden="1" ht="16.5" customHeight="1" s="237">
      <c r="A8" s="9" t="n">
        <v>7875</v>
      </c>
      <c r="B8" s="9" t="inlineStr">
        <is>
          <t>MM7875</t>
        </is>
      </c>
      <c r="C8" s="29" t="inlineStr">
        <is>
          <t>미닛 오렌+포도+감귤 180NRB 3X12</t>
        </is>
      </c>
      <c r="D8" s="29" t="inlineStr">
        <is>
          <t>180NRB</t>
        </is>
      </c>
      <c r="E8" s="9" t="n"/>
      <c r="F8" s="9" t="n">
        <v>64</v>
      </c>
      <c r="G8" s="245" t="n">
        <v>0</v>
      </c>
      <c r="H8" s="245" t="n">
        <v>0</v>
      </c>
      <c r="I8" s="245" t="n">
        <v>0</v>
      </c>
      <c r="J8" s="245" t="n">
        <v>0</v>
      </c>
      <c r="K8" s="245" t="n">
        <v>0</v>
      </c>
      <c r="L8" s="245" t="n">
        <v>0</v>
      </c>
      <c r="M8" s="245" t="n">
        <v>0</v>
      </c>
      <c r="N8" s="246" t="n">
        <v>0</v>
      </c>
      <c r="V8" s="0" t="n"/>
      <c r="W8" s="0" t="n"/>
    </row>
    <row r="9" hidden="1" ht="16.5" customHeight="1" s="237">
      <c r="A9" s="9" t="n">
        <v>7872</v>
      </c>
      <c r="B9" s="9" t="inlineStr">
        <is>
          <t>MM7872</t>
        </is>
      </c>
      <c r="C9" s="29" t="inlineStr">
        <is>
          <t>미닛 제주감귤 180NRB 3X12</t>
        </is>
      </c>
      <c r="D9" s="29" t="inlineStr">
        <is>
          <t>180NRB</t>
        </is>
      </c>
      <c r="E9" s="9" t="n"/>
      <c r="F9" s="9" t="n">
        <v>64</v>
      </c>
      <c r="G9" s="245" t="n">
        <v>0</v>
      </c>
      <c r="H9" s="245" t="n">
        <v>0</v>
      </c>
      <c r="I9" s="245" t="n">
        <v>0</v>
      </c>
      <c r="J9" s="245" t="n">
        <v>0</v>
      </c>
      <c r="K9" s="245" t="n">
        <v>0</v>
      </c>
      <c r="L9" s="245" t="n">
        <v>0</v>
      </c>
      <c r="M9" s="245" t="n">
        <v>0</v>
      </c>
      <c r="N9" s="246" t="n">
        <v>0</v>
      </c>
      <c r="V9" s="0" t="n"/>
      <c r="W9" s="0" t="n"/>
    </row>
    <row r="10" hidden="1" ht="16.5" customHeight="1" s="237">
      <c r="A10" s="9" t="n">
        <v>7876</v>
      </c>
      <c r="B10" s="9" t="inlineStr">
        <is>
          <t>MM7876</t>
        </is>
      </c>
      <c r="C10" s="29" t="inlineStr">
        <is>
          <t>미닛 오렌+포도+알로 180NRB 3X12</t>
        </is>
      </c>
      <c r="D10" s="29" t="inlineStr">
        <is>
          <t>180NRB</t>
        </is>
      </c>
      <c r="E10" s="9" t="n"/>
      <c r="F10" s="9" t="n">
        <v>72</v>
      </c>
      <c r="G10" s="245" t="n">
        <v>0</v>
      </c>
      <c r="H10" s="245" t="n">
        <v>648</v>
      </c>
      <c r="I10" s="245" t="n">
        <v>72</v>
      </c>
      <c r="J10" s="245" t="n">
        <v>0</v>
      </c>
      <c r="K10" s="245" t="n">
        <v>720</v>
      </c>
      <c r="L10" s="245" t="n">
        <v>716</v>
      </c>
      <c r="M10" s="245" t="n">
        <v>0</v>
      </c>
      <c r="N10" s="246" t="n">
        <v>4</v>
      </c>
      <c r="V10" s="0" t="n"/>
      <c r="W10" s="0" t="n"/>
    </row>
    <row r="11" hidden="1" ht="16.5" customHeight="1" s="237">
      <c r="A11" s="9" t="n">
        <v>7877</v>
      </c>
      <c r="B11" s="9" t="inlineStr">
        <is>
          <t>MM7877</t>
        </is>
      </c>
      <c r="C11" s="29" t="inlineStr">
        <is>
          <t>미닛 감귤+알로+토마 180NRB 3X12</t>
        </is>
      </c>
      <c r="D11" s="29" t="inlineStr">
        <is>
          <t>180NRB</t>
        </is>
      </c>
      <c r="E11" s="9" t="n"/>
      <c r="F11" s="9" t="n">
        <v>72</v>
      </c>
      <c r="G11" s="245" t="n">
        <v>0</v>
      </c>
      <c r="H11" s="245" t="n">
        <v>432</v>
      </c>
      <c r="I11" s="245" t="n">
        <v>50</v>
      </c>
      <c r="J11" s="245" t="n">
        <v>0</v>
      </c>
      <c r="K11" s="245" t="n">
        <v>482</v>
      </c>
      <c r="L11" s="245" t="n">
        <v>480</v>
      </c>
      <c r="M11" s="245" t="n">
        <v>0</v>
      </c>
      <c r="N11" s="246" t="n">
        <v>2</v>
      </c>
      <c r="V11" s="0" t="n"/>
      <c r="W11" s="0" t="n"/>
    </row>
    <row r="12" hidden="1" ht="16.5" customHeight="1" s="237">
      <c r="A12" s="9" t="n">
        <v>7878</v>
      </c>
      <c r="B12" s="9" t="inlineStr">
        <is>
          <t>MM7878</t>
        </is>
      </c>
      <c r="C12" s="29" t="inlineStr">
        <is>
          <t>미닛 감귤+포도+매실 180NRB 3X12</t>
        </is>
      </c>
      <c r="D12" s="29" t="inlineStr">
        <is>
          <t>180NRB</t>
        </is>
      </c>
      <c r="E12" s="9" t="n"/>
      <c r="F12" s="9" t="n">
        <v>72</v>
      </c>
      <c r="G12" s="245" t="n">
        <v>0</v>
      </c>
      <c r="H12" s="245" t="n">
        <v>720</v>
      </c>
      <c r="I12" s="245" t="n">
        <v>0</v>
      </c>
      <c r="J12" s="245" t="n">
        <v>0</v>
      </c>
      <c r="K12" s="245" t="n">
        <v>720</v>
      </c>
      <c r="L12" s="245" t="n">
        <v>720</v>
      </c>
      <c r="M12" s="245" t="n">
        <v>0</v>
      </c>
      <c r="N12" s="246" t="n">
        <v>0</v>
      </c>
      <c r="V12" s="0" t="n"/>
      <c r="W12" s="0" t="n"/>
    </row>
    <row r="13" hidden="1" ht="16.5" customHeight="1" s="237">
      <c r="A13" s="9" t="n">
        <v>7915</v>
      </c>
      <c r="B13" s="9" t="inlineStr">
        <is>
          <t>MM7915</t>
        </is>
      </c>
      <c r="C13" s="29" t="inlineStr">
        <is>
          <t>미닛 아사+백포도알로 180NRB 3X12</t>
        </is>
      </c>
      <c r="D13" s="29" t="inlineStr">
        <is>
          <t>180NRB</t>
        </is>
      </c>
      <c r="E13" s="9" t="n"/>
      <c r="F13" s="9" t="n">
        <v>72</v>
      </c>
      <c r="G13" s="245" t="n">
        <v>0</v>
      </c>
      <c r="H13" s="245" t="n">
        <v>0</v>
      </c>
      <c r="I13" s="245" t="n">
        <v>0</v>
      </c>
      <c r="J13" s="245" t="n">
        <v>0</v>
      </c>
      <c r="K13" s="245" t="n">
        <v>0</v>
      </c>
      <c r="L13" s="245" t="n">
        <v>0</v>
      </c>
      <c r="M13" s="245" t="n">
        <v>0</v>
      </c>
      <c r="N13" s="246" t="n">
        <v>0</v>
      </c>
      <c r="V13" s="0" t="n"/>
      <c r="W13" s="0" t="n"/>
    </row>
    <row r="14" hidden="1" ht="16.5" customHeight="1" s="237">
      <c r="A14" s="9" t="n">
        <v>5630</v>
      </c>
      <c r="B14" s="9" t="inlineStr">
        <is>
          <t>ZC5630</t>
        </is>
      </c>
      <c r="C14" s="29" t="inlineStr">
        <is>
          <t>지코 플레인 330TTR X12</t>
        </is>
      </c>
      <c r="D14" s="29" t="inlineStr">
        <is>
          <t>NRB</t>
        </is>
      </c>
      <c r="E14" s="9" t="n"/>
      <c r="F14" s="9" t="n">
        <v>240</v>
      </c>
      <c r="G14" s="245" t="n">
        <v>0</v>
      </c>
      <c r="H14" s="245" t="n">
        <v>0</v>
      </c>
      <c r="I14" s="245" t="n">
        <v>24</v>
      </c>
      <c r="J14" s="245" t="n">
        <v>0</v>
      </c>
      <c r="K14" s="245" t="n">
        <v>24</v>
      </c>
      <c r="L14" s="245" t="n">
        <v>24</v>
      </c>
      <c r="M14" s="245" t="n">
        <v>0</v>
      </c>
      <c r="N14" s="246" t="n">
        <v>0</v>
      </c>
      <c r="V14" s="0" t="n"/>
      <c r="W14" s="0" t="n"/>
    </row>
    <row r="15" hidden="1" ht="16.5" customHeight="1" s="237">
      <c r="A15" s="9" t="n">
        <v>5631</v>
      </c>
      <c r="B15" s="9" t="inlineStr">
        <is>
          <t>ZC5631</t>
        </is>
      </c>
      <c r="C15" s="29" t="inlineStr">
        <is>
          <t>지코 플레인 330TTR 3X4</t>
        </is>
      </c>
      <c r="D15" s="29" t="inlineStr">
        <is>
          <t>NRB</t>
        </is>
      </c>
      <c r="E15" s="9" t="n"/>
      <c r="F15" s="9" t="n">
        <v>180</v>
      </c>
      <c r="G15" s="245" t="n">
        <v>0</v>
      </c>
      <c r="H15" s="245" t="n">
        <v>0</v>
      </c>
      <c r="I15" s="245" t="n">
        <v>2364</v>
      </c>
      <c r="J15" s="245" t="n">
        <v>0</v>
      </c>
      <c r="K15" s="245" t="n">
        <v>2364</v>
      </c>
      <c r="L15" s="245" t="n">
        <v>2363</v>
      </c>
      <c r="M15" s="245" t="n">
        <v>0</v>
      </c>
      <c r="N15" s="246" t="n">
        <v>1</v>
      </c>
      <c r="V15" s="0" t="n"/>
      <c r="W15" s="0" t="n"/>
    </row>
    <row r="16" hidden="1" ht="16.5" customHeight="1" s="237">
      <c r="A16" s="9" t="n">
        <v>8210</v>
      </c>
      <c r="B16" s="9" t="inlineStr">
        <is>
          <t>HO8210</t>
        </is>
      </c>
      <c r="C16" s="29" t="inlineStr">
        <is>
          <t>홍차화원 플레인 350PET 4X6</t>
        </is>
      </c>
      <c r="D16" s="29" t="inlineStr">
        <is>
          <t>PET</t>
        </is>
      </c>
      <c r="E16" s="9" t="n"/>
      <c r="F16" s="9" t="n">
        <v>84</v>
      </c>
      <c r="G16" s="245" t="n">
        <v>0</v>
      </c>
      <c r="H16" s="245" t="n">
        <v>1932</v>
      </c>
      <c r="I16" s="245" t="n">
        <v>100</v>
      </c>
      <c r="J16" s="245" t="n">
        <v>0</v>
      </c>
      <c r="K16" s="245" t="n">
        <v>2032</v>
      </c>
      <c r="L16" s="245" t="n">
        <v>2032</v>
      </c>
      <c r="M16" s="245" t="n">
        <v>0</v>
      </c>
      <c r="N16" s="246" t="n">
        <v>0</v>
      </c>
      <c r="V16" s="0" t="n"/>
      <c r="W16" s="0" t="n"/>
    </row>
    <row r="17" hidden="1" ht="16.5" customHeight="1" s="237">
      <c r="A17" s="9" t="n">
        <v>8211</v>
      </c>
      <c r="B17" s="9" t="inlineStr">
        <is>
          <t>HO8211</t>
        </is>
      </c>
      <c r="C17" s="29" t="inlineStr">
        <is>
          <t>홍차화원 벛꽃 350PET 4X6</t>
        </is>
      </c>
      <c r="D17" s="29" t="inlineStr">
        <is>
          <t>PET</t>
        </is>
      </c>
      <c r="E17" s="9" t="n"/>
      <c r="F17" s="9" t="n">
        <v>84</v>
      </c>
      <c r="G17" s="245" t="n">
        <v>0</v>
      </c>
      <c r="H17" s="245" t="n">
        <v>2772</v>
      </c>
      <c r="I17" s="245" t="n">
        <v>66</v>
      </c>
      <c r="J17" s="245" t="n">
        <v>167</v>
      </c>
      <c r="K17" s="245" t="n">
        <v>3005</v>
      </c>
      <c r="L17" s="245" t="n">
        <v>3005</v>
      </c>
      <c r="M17" s="245" t="n">
        <v>0</v>
      </c>
      <c r="N17" s="246" t="n">
        <v>0</v>
      </c>
      <c r="V17" s="0" t="n"/>
      <c r="W17" s="0" t="n"/>
    </row>
    <row r="18" hidden="1" ht="16.5" customHeight="1" s="237">
      <c r="A18" s="9" t="n">
        <v>6194</v>
      </c>
      <c r="B18" s="9" t="inlineStr">
        <is>
          <t>CC6194</t>
        </is>
      </c>
      <c r="C18" s="29" t="inlineStr">
        <is>
          <t>코카콜라 355RGB X24</t>
        </is>
      </c>
      <c r="D18" s="29" t="inlineStr">
        <is>
          <t>RGB</t>
        </is>
      </c>
      <c r="E18" s="9" t="n">
        <v>36</v>
      </c>
      <c r="F18" s="9" t="n"/>
      <c r="G18" s="245" t="n">
        <v>0</v>
      </c>
      <c r="H18" s="245" t="n">
        <v>0</v>
      </c>
      <c r="I18" s="245" t="n">
        <v>31</v>
      </c>
      <c r="J18" s="245" t="n">
        <v>0</v>
      </c>
      <c r="K18" s="245" t="n">
        <v>31</v>
      </c>
      <c r="L18" s="245" t="n">
        <v>31</v>
      </c>
      <c r="M18" s="245" t="n">
        <v>0</v>
      </c>
      <c r="N18" s="246" t="n">
        <v>0</v>
      </c>
      <c r="V18" s="0" t="n"/>
      <c r="W18" s="0" t="n"/>
    </row>
    <row r="19" hidden="1" ht="16.5" customHeight="1" s="237">
      <c r="A19" s="9" t="n">
        <v>5490</v>
      </c>
      <c r="B19" s="9" t="inlineStr">
        <is>
          <t>GL5490</t>
        </is>
      </c>
      <c r="C19" s="29" t="inlineStr">
        <is>
          <t>글라소 파워씨 500PET X12</t>
        </is>
      </c>
      <c r="D19" s="29" t="inlineStr">
        <is>
          <t>글라소</t>
        </is>
      </c>
      <c r="E19" s="9" t="n">
        <v>91</v>
      </c>
      <c r="F19" s="9" t="n"/>
      <c r="G19" s="245" t="n">
        <v>0</v>
      </c>
      <c r="H19" s="245" t="n">
        <v>0</v>
      </c>
      <c r="I19" s="245" t="n">
        <v>0</v>
      </c>
      <c r="J19" s="245" t="n">
        <v>0</v>
      </c>
      <c r="K19" s="245" t="n">
        <v>0</v>
      </c>
      <c r="L19" s="245" t="n">
        <v>0</v>
      </c>
      <c r="M19" s="245" t="n">
        <v>0</v>
      </c>
      <c r="N19" s="246" t="n">
        <v>0</v>
      </c>
      <c r="V19" s="0" t="n"/>
      <c r="W19" s="0" t="n"/>
    </row>
    <row r="20" hidden="1" ht="16.5" customHeight="1" s="237">
      <c r="A20" s="9" t="n">
        <v>5492</v>
      </c>
      <c r="B20" s="9" t="inlineStr">
        <is>
          <t>GL5492</t>
        </is>
      </c>
      <c r="C20" s="29" t="inlineStr">
        <is>
          <t>글라소 에너지 500PET X12</t>
        </is>
      </c>
      <c r="D20" s="29" t="inlineStr">
        <is>
          <t>글라소</t>
        </is>
      </c>
      <c r="E20" s="9" t="n">
        <v>91</v>
      </c>
      <c r="F20" s="9" t="n"/>
      <c r="G20" s="245" t="n">
        <v>0</v>
      </c>
      <c r="H20" s="245" t="n">
        <v>0</v>
      </c>
      <c r="I20" s="245" t="n">
        <v>0</v>
      </c>
      <c r="J20" s="245" t="n">
        <v>0</v>
      </c>
      <c r="K20" s="245" t="n">
        <v>0</v>
      </c>
      <c r="L20" s="245" t="n">
        <v>0</v>
      </c>
      <c r="M20" s="245" t="n">
        <v>0</v>
      </c>
      <c r="N20" s="246" t="n">
        <v>0</v>
      </c>
      <c r="V20" s="0" t="n"/>
      <c r="W20" s="0" t="n"/>
    </row>
    <row r="21" hidden="1" ht="16.5" customHeight="1" s="237">
      <c r="A21" s="9" t="n">
        <v>5535</v>
      </c>
      <c r="B21" s="9" t="inlineStr">
        <is>
          <t>GL5535</t>
        </is>
      </c>
      <c r="C21" s="29" t="inlineStr">
        <is>
          <t>글라소 코코워터 355PET 4X6</t>
        </is>
      </c>
      <c r="D21" s="29" t="inlineStr">
        <is>
          <t>글라소</t>
        </is>
      </c>
      <c r="E21" s="9" t="n"/>
      <c r="F21" s="9" t="n">
        <v>64</v>
      </c>
      <c r="G21" s="245" t="n">
        <v>0</v>
      </c>
      <c r="H21" s="245" t="n">
        <v>0</v>
      </c>
      <c r="I21" s="245" t="n">
        <v>0</v>
      </c>
      <c r="J21" s="245" t="n">
        <v>0</v>
      </c>
      <c r="K21" s="245" t="n">
        <v>0</v>
      </c>
      <c r="L21" s="245" t="n">
        <v>0</v>
      </c>
      <c r="M21" s="245" t="n">
        <v>0</v>
      </c>
      <c r="N21" s="246" t="n">
        <v>0</v>
      </c>
      <c r="V21" s="0" t="n"/>
      <c r="W21" s="0" t="n"/>
    </row>
    <row r="22" hidden="1" ht="16.5" customHeight="1" s="237">
      <c r="A22" s="9" t="n">
        <v>5560</v>
      </c>
      <c r="B22" s="9" t="inlineStr">
        <is>
          <t>GL5560</t>
        </is>
      </c>
      <c r="C22" s="29" t="inlineStr">
        <is>
          <t>글라소 파워씨 500PET 4X6</t>
        </is>
      </c>
      <c r="D22" s="29" t="inlineStr">
        <is>
          <t>글라소</t>
        </is>
      </c>
      <c r="E22" s="9" t="n"/>
      <c r="F22" s="9" t="n">
        <v>56</v>
      </c>
      <c r="G22" s="245" t="n">
        <v>0</v>
      </c>
      <c r="H22" s="245" t="n">
        <v>1568</v>
      </c>
      <c r="I22" s="245" t="n">
        <v>129</v>
      </c>
      <c r="J22" s="245" t="n">
        <v>0</v>
      </c>
      <c r="K22" s="245" t="n">
        <v>1697</v>
      </c>
      <c r="L22" s="245" t="n">
        <v>1697</v>
      </c>
      <c r="M22" s="245" t="n">
        <v>0</v>
      </c>
      <c r="N22" s="246" t="n">
        <v>0</v>
      </c>
      <c r="V22" s="0" t="n"/>
      <c r="W22" s="0" t="n"/>
    </row>
    <row r="23" hidden="1" ht="16.5" customHeight="1" s="237">
      <c r="A23" s="9" t="n">
        <v>5561</v>
      </c>
      <c r="B23" s="9" t="inlineStr">
        <is>
          <t>GL5561</t>
        </is>
      </c>
      <c r="C23" s="29" t="inlineStr">
        <is>
          <t>글라소 에너지 500PET 4X6</t>
        </is>
      </c>
      <c r="D23" s="29" t="inlineStr">
        <is>
          <t>글라소</t>
        </is>
      </c>
      <c r="E23" s="9" t="n"/>
      <c r="F23" s="9" t="n">
        <v>56</v>
      </c>
      <c r="G23" s="245" t="n">
        <v>0</v>
      </c>
      <c r="H23" s="245" t="n">
        <v>1120</v>
      </c>
      <c r="I23" s="245" t="n">
        <v>118</v>
      </c>
      <c r="J23" s="245" t="n">
        <v>0</v>
      </c>
      <c r="K23" s="245" t="n">
        <v>1238</v>
      </c>
      <c r="L23" s="245" t="n">
        <v>1238</v>
      </c>
      <c r="M23" s="245" t="n">
        <v>0</v>
      </c>
      <c r="N23" s="246" t="n">
        <v>0</v>
      </c>
      <c r="V23" s="0" t="n"/>
      <c r="W23" s="0" t="n"/>
    </row>
    <row r="24" hidden="1" ht="16.5" customHeight="1" s="237">
      <c r="A24" s="9" t="n">
        <v>5562</v>
      </c>
      <c r="B24" s="9" t="inlineStr">
        <is>
          <t>GL5562</t>
        </is>
      </c>
      <c r="C24" s="29" t="inlineStr">
        <is>
          <t>글라소 멀티브이 500PET 4X6</t>
        </is>
      </c>
      <c r="D24" s="29" t="inlineStr">
        <is>
          <t>글라소</t>
        </is>
      </c>
      <c r="E24" s="9" t="n">
        <v>36</v>
      </c>
      <c r="F24" s="9" t="n">
        <v>56</v>
      </c>
      <c r="G24" s="245" t="n">
        <v>0</v>
      </c>
      <c r="H24" s="245" t="n">
        <v>672</v>
      </c>
      <c r="I24" s="245" t="n">
        <v>110</v>
      </c>
      <c r="J24" s="245" t="n">
        <v>0</v>
      </c>
      <c r="K24" s="245" t="n">
        <v>782</v>
      </c>
      <c r="L24" s="245" t="n">
        <v>785</v>
      </c>
      <c r="M24" s="245" t="n">
        <v>0</v>
      </c>
      <c r="N24" s="246" t="n">
        <v>-3</v>
      </c>
      <c r="V24" s="0" t="n"/>
      <c r="W24" s="0" t="n"/>
    </row>
    <row r="25" hidden="1" ht="16.5" customHeight="1" s="237">
      <c r="A25" s="9" t="n">
        <v>5563</v>
      </c>
      <c r="B25" s="9" t="inlineStr">
        <is>
          <t>GL5563</t>
        </is>
      </c>
      <c r="C25" s="29" t="inlineStr">
        <is>
          <t>글라소 XXX 500PET 4X6</t>
        </is>
      </c>
      <c r="D25" s="29" t="inlineStr">
        <is>
          <t>글라소</t>
        </is>
      </c>
      <c r="E25" s="9" t="n"/>
      <c r="F25" s="9" t="n">
        <v>56</v>
      </c>
      <c r="G25" s="245" t="n">
        <v>0</v>
      </c>
      <c r="H25" s="245" t="n">
        <v>168</v>
      </c>
      <c r="I25" s="245" t="n">
        <v>18</v>
      </c>
      <c r="J25" s="245" t="n">
        <v>0</v>
      </c>
      <c r="K25" s="245" t="n">
        <v>186</v>
      </c>
      <c r="L25" s="245" t="n">
        <v>186</v>
      </c>
      <c r="M25" s="245" t="n">
        <v>0</v>
      </c>
      <c r="N25" s="246" t="n">
        <v>0</v>
      </c>
      <c r="V25" s="0" t="n"/>
      <c r="W25" s="0" t="n"/>
    </row>
    <row r="26" hidden="1" ht="16.5" customHeight="1" s="237">
      <c r="A26" s="9" t="n">
        <v>5564</v>
      </c>
      <c r="B26" s="9" t="inlineStr">
        <is>
          <t>GL5564</t>
        </is>
      </c>
      <c r="C26" s="29" t="inlineStr">
        <is>
          <t>글라소 에센셜 500PET 4X6</t>
        </is>
      </c>
      <c r="D26" s="29" t="inlineStr">
        <is>
          <t>글라소</t>
        </is>
      </c>
      <c r="E26" s="9" t="n"/>
      <c r="F26" s="9" t="n">
        <v>56</v>
      </c>
      <c r="G26" s="245" t="n">
        <v>0</v>
      </c>
      <c r="H26" s="245" t="n">
        <v>0</v>
      </c>
      <c r="I26" s="245" t="n">
        <v>0</v>
      </c>
      <c r="J26" s="245" t="n">
        <v>0</v>
      </c>
      <c r="K26" s="245" t="n">
        <v>0</v>
      </c>
      <c r="L26" s="245" t="n">
        <v>0</v>
      </c>
      <c r="M26" s="245" t="n">
        <v>0</v>
      </c>
      <c r="N26" s="246" t="n">
        <v>0</v>
      </c>
      <c r="V26" s="0" t="n"/>
      <c r="W26" s="0" t="n"/>
    </row>
    <row r="27" hidden="1" ht="16.5" customHeight="1" s="237">
      <c r="A27" s="9" t="n">
        <v>5454</v>
      </c>
      <c r="B27" s="9" t="inlineStr">
        <is>
          <t>GL5454</t>
        </is>
      </c>
      <c r="C27" s="29" t="inlineStr">
        <is>
          <t>글라소 백포도&amp;레몬 450PET 4X6</t>
        </is>
      </c>
      <c r="D27" s="29" t="inlineStr">
        <is>
          <t>글라소</t>
        </is>
      </c>
      <c r="E27" s="9" t="n"/>
      <c r="F27" s="9" t="n">
        <v>60</v>
      </c>
      <c r="G27" s="245" t="n">
        <v>0</v>
      </c>
      <c r="H27" s="245" t="n">
        <v>0</v>
      </c>
      <c r="I27" s="245" t="n">
        <v>0</v>
      </c>
      <c r="J27" s="245" t="n">
        <v>0</v>
      </c>
      <c r="K27" s="245" t="n">
        <v>0</v>
      </c>
      <c r="L27" s="245" t="n">
        <v>0</v>
      </c>
      <c r="M27" s="245" t="n">
        <v>0</v>
      </c>
      <c r="N27" s="246" t="n">
        <v>0</v>
      </c>
      <c r="V27" s="0" t="n"/>
      <c r="W27" s="0" t="n"/>
    </row>
    <row r="28" hidden="1" ht="16.5" customHeight="1" s="237">
      <c r="A28" s="9" t="n">
        <v>5455</v>
      </c>
      <c r="B28" s="9" t="inlineStr">
        <is>
          <t>GL5455</t>
        </is>
      </c>
      <c r="C28" s="29" t="inlineStr">
        <is>
          <t>글라소 복숭아&amp;자몽 450PET 4X6</t>
        </is>
      </c>
      <c r="D28" s="29" t="inlineStr">
        <is>
          <t>글라소</t>
        </is>
      </c>
      <c r="E28" s="9" t="n"/>
      <c r="F28" s="9" t="n">
        <v>60</v>
      </c>
      <c r="G28" s="245" t="n">
        <v>0</v>
      </c>
      <c r="H28" s="245" t="n">
        <v>0</v>
      </c>
      <c r="I28" s="245" t="n">
        <v>0</v>
      </c>
      <c r="J28" s="245" t="n">
        <v>0</v>
      </c>
      <c r="K28" s="245" t="n">
        <v>0</v>
      </c>
      <c r="L28" s="245" t="n">
        <v>0</v>
      </c>
      <c r="M28" s="245" t="n">
        <v>0</v>
      </c>
      <c r="N28" s="246" t="n">
        <v>0</v>
      </c>
      <c r="V28" s="0" t="n"/>
      <c r="W28" s="0" t="n"/>
    </row>
    <row r="29" hidden="1" ht="16.5" customHeight="1" s="237">
      <c r="A29" s="9" t="n">
        <v>5568</v>
      </c>
      <c r="B29" s="9" t="inlineStr">
        <is>
          <t>GL5568</t>
        </is>
      </c>
      <c r="C29" s="29" t="inlineStr">
        <is>
          <t>글라소 지크리에이터 500PET 4X6</t>
        </is>
      </c>
      <c r="D29" s="29" t="inlineStr">
        <is>
          <t>글라소</t>
        </is>
      </c>
      <c r="E29" s="9" t="n"/>
      <c r="F29" s="9" t="n">
        <v>56</v>
      </c>
      <c r="G29" s="245" t="n">
        <v>0</v>
      </c>
      <c r="H29" s="245" t="n">
        <v>0</v>
      </c>
      <c r="I29" s="245" t="n">
        <v>0</v>
      </c>
      <c r="J29" s="245" t="n">
        <v>0</v>
      </c>
      <c r="K29" s="245" t="n">
        <v>0</v>
      </c>
      <c r="L29" s="245" t="n">
        <v>0</v>
      </c>
      <c r="M29" s="245" t="n">
        <v>0</v>
      </c>
      <c r="N29" s="246" t="n">
        <v>0</v>
      </c>
      <c r="V29" s="0" t="n"/>
      <c r="W29" s="0" t="n"/>
    </row>
    <row r="30" hidden="1" ht="16.5" customHeight="1" s="237">
      <c r="A30" s="9" t="n">
        <v>8188</v>
      </c>
      <c r="B30" s="9" t="inlineStr">
        <is>
          <t>TY8188</t>
        </is>
      </c>
      <c r="C30" s="29" t="inlineStr">
        <is>
          <t>S)태양의 마테차 500PET 4X6</t>
        </is>
      </c>
      <c r="D30" s="29" t="inlineStr">
        <is>
          <t>마테차</t>
        </is>
      </c>
      <c r="E30" s="9" t="n">
        <v>40</v>
      </c>
      <c r="F30" s="9" t="n">
        <v>63</v>
      </c>
      <c r="G30" s="245" t="n">
        <v>0</v>
      </c>
      <c r="H30" s="245" t="n">
        <v>5481</v>
      </c>
      <c r="I30" s="245" t="n">
        <v>86</v>
      </c>
      <c r="J30" s="245" t="n">
        <v>0</v>
      </c>
      <c r="K30" s="245" t="n">
        <v>5567</v>
      </c>
      <c r="L30" s="245" t="n">
        <v>5317</v>
      </c>
      <c r="M30" s="245" t="n">
        <v>252</v>
      </c>
      <c r="N30" s="246" t="n">
        <v>-2</v>
      </c>
      <c r="V30" s="0" t="n"/>
      <c r="W30" s="0" t="n"/>
    </row>
    <row r="31" hidden="1" ht="16.5" customHeight="1" s="237">
      <c r="A31" s="9" t="n">
        <v>8187</v>
      </c>
      <c r="B31" s="9" t="inlineStr">
        <is>
          <t>TY8187</t>
        </is>
      </c>
      <c r="C31" s="29" t="inlineStr">
        <is>
          <t>태양의 마테차 500PET X24</t>
        </is>
      </c>
      <c r="D31" s="29" t="inlineStr">
        <is>
          <t>마테차</t>
        </is>
      </c>
      <c r="E31" s="9" t="n"/>
      <c r="F31" s="9" t="n">
        <v>63</v>
      </c>
      <c r="G31" s="245" t="n">
        <v>0</v>
      </c>
      <c r="H31" s="245" t="n">
        <v>0</v>
      </c>
      <c r="I31" s="245" t="n">
        <v>0</v>
      </c>
      <c r="J31" s="245" t="n">
        <v>0</v>
      </c>
      <c r="K31" s="245" t="n">
        <v>0</v>
      </c>
      <c r="L31" s="245" t="n">
        <v>0</v>
      </c>
      <c r="M31" s="245" t="n">
        <v>0</v>
      </c>
      <c r="N31" s="246" t="n">
        <v>0</v>
      </c>
      <c r="V31" s="0" t="n"/>
      <c r="W31" s="0" t="n"/>
    </row>
    <row r="32" customFormat="1" s="60">
      <c r="A32" s="9" t="n">
        <v>8811</v>
      </c>
      <c r="B32" s="77" t="inlineStr">
        <is>
          <t>VS8811</t>
        </is>
      </c>
      <c r="C32" s="78" t="inlineStr">
        <is>
          <t>휘오 철원순수 500PET X20</t>
        </is>
      </c>
      <c r="D32" s="29" t="inlineStr">
        <is>
          <t>물</t>
        </is>
      </c>
      <c r="E32" s="77" t="n">
        <v>72</v>
      </c>
      <c r="F32" s="77" t="n">
        <v>96</v>
      </c>
      <c r="G32" s="247" t="n">
        <v>72</v>
      </c>
      <c r="H32" s="247" t="n">
        <v>0</v>
      </c>
      <c r="I32" s="247" t="n">
        <v>26</v>
      </c>
      <c r="J32" s="247" t="n">
        <v>0</v>
      </c>
      <c r="K32" s="247" t="n">
        <v>98</v>
      </c>
      <c r="L32" s="247" t="n">
        <v>103</v>
      </c>
      <c r="M32" s="247" t="n">
        <v>0</v>
      </c>
      <c r="N32" s="248" t="n">
        <v>-5</v>
      </c>
      <c r="P32" s="249" t="n">
        <v>1</v>
      </c>
      <c r="Q32" s="250" t="n"/>
      <c r="R32" s="250" t="n">
        <v>26</v>
      </c>
      <c r="S32" s="250" t="n"/>
      <c r="T32" s="250">
        <f>(P32*E32)+(Q32*F32)+R32+S32</f>
        <v/>
      </c>
      <c r="U32" s="250">
        <f>K32-T32</f>
        <v/>
      </c>
      <c r="V32" s="81">
        <f>SUMIF('SAP(B117)'!B:B,월마감!B:B,'SAP(B117)'!Q:Q)</f>
        <v/>
      </c>
      <c r="W32" s="251">
        <f>T32-V32</f>
        <v/>
      </c>
    </row>
    <row r="33" hidden="1" ht="16.5" customHeight="1" s="237">
      <c r="A33" s="9" t="n">
        <v>8812</v>
      </c>
      <c r="B33" s="9" t="inlineStr">
        <is>
          <t>VS8812</t>
        </is>
      </c>
      <c r="C33" s="29" t="inlineStr">
        <is>
          <t>휘오 철원순수 2.0PET X6</t>
        </is>
      </c>
      <c r="D33" s="29" t="inlineStr">
        <is>
          <t>물</t>
        </is>
      </c>
      <c r="E33" s="9" t="n">
        <v>60</v>
      </c>
      <c r="F33" s="9" t="n">
        <v>72</v>
      </c>
      <c r="G33" s="245" t="n">
        <v>180</v>
      </c>
      <c r="H33" s="245" t="n">
        <v>0</v>
      </c>
      <c r="I33" s="245" t="n">
        <v>27</v>
      </c>
      <c r="J33" s="245" t="n">
        <v>0</v>
      </c>
      <c r="K33" s="245" t="n">
        <v>207</v>
      </c>
      <c r="L33" s="245" t="n">
        <v>208</v>
      </c>
      <c r="M33" s="245" t="n">
        <v>0</v>
      </c>
      <c r="N33" s="246" t="n">
        <v>-1</v>
      </c>
      <c r="V33" s="0" t="n"/>
      <c r="W33" s="0" t="n"/>
    </row>
    <row r="34" hidden="1" ht="16.5" customHeight="1" s="237">
      <c r="A34" s="9" t="n">
        <v>8813</v>
      </c>
      <c r="B34" s="9" t="inlineStr">
        <is>
          <t>VS8813</t>
        </is>
      </c>
      <c r="C34" s="29" t="inlineStr">
        <is>
          <t>SSP)휘오 철원순수 500PET X20</t>
        </is>
      </c>
      <c r="D34" s="29" t="inlineStr">
        <is>
          <t>물</t>
        </is>
      </c>
      <c r="E34" s="9" t="n">
        <v>72</v>
      </c>
      <c r="F34" s="9" t="n"/>
      <c r="G34" s="245" t="n">
        <v>0</v>
      </c>
      <c r="H34" s="245" t="n">
        <v>0</v>
      </c>
      <c r="I34" s="245" t="n">
        <v>0</v>
      </c>
      <c r="J34" s="245" t="n">
        <v>0</v>
      </c>
      <c r="K34" s="245" t="n">
        <v>0</v>
      </c>
      <c r="L34" s="245" t="n">
        <v>0</v>
      </c>
      <c r="M34" s="245" t="n">
        <v>0</v>
      </c>
      <c r="N34" s="246" t="n">
        <v>0</v>
      </c>
      <c r="V34" s="0" t="n"/>
      <c r="W34" s="0" t="n"/>
    </row>
    <row r="35" hidden="1" ht="16.5" customHeight="1" s="237">
      <c r="A35" s="9" t="n">
        <v>8815</v>
      </c>
      <c r="B35" s="9" t="inlineStr">
        <is>
          <t>VJ8815</t>
        </is>
      </c>
      <c r="C35" s="29" t="inlineStr">
        <is>
          <t>휘오 제주V워터 500PET X20</t>
        </is>
      </c>
      <c r="D35" s="29" t="inlineStr">
        <is>
          <t>물</t>
        </is>
      </c>
      <c r="E35" s="9" t="n"/>
      <c r="F35" s="9" t="n">
        <v>112</v>
      </c>
      <c r="G35" s="245" t="n">
        <v>0</v>
      </c>
      <c r="H35" s="245" t="n">
        <v>112</v>
      </c>
      <c r="I35" s="245" t="n">
        <v>72</v>
      </c>
      <c r="J35" s="245" t="n">
        <v>0</v>
      </c>
      <c r="K35" s="245" t="n">
        <v>184</v>
      </c>
      <c r="L35" s="245" t="n">
        <v>185</v>
      </c>
      <c r="M35" s="245" t="n">
        <v>0</v>
      </c>
      <c r="N35" s="246" t="n">
        <v>0</v>
      </c>
      <c r="V35" s="0" t="n"/>
      <c r="W35" s="0" t="n"/>
    </row>
    <row r="36" hidden="1" ht="16.5" customHeight="1" s="237">
      <c r="A36" s="9" t="n">
        <v>8816</v>
      </c>
      <c r="B36" s="9" t="inlineStr">
        <is>
          <t>VJ8816</t>
        </is>
      </c>
      <c r="C36" s="29" t="inlineStr">
        <is>
          <t>휘오 제주V워터 2.0PET X6</t>
        </is>
      </c>
      <c r="D36" s="29" t="inlineStr">
        <is>
          <t>물</t>
        </is>
      </c>
      <c r="E36" s="9" t="n"/>
      <c r="F36" s="9" t="n">
        <v>100</v>
      </c>
      <c r="G36" s="245" t="n">
        <v>0</v>
      </c>
      <c r="H36" s="245" t="n">
        <v>100</v>
      </c>
      <c r="I36" s="245" t="n">
        <v>45</v>
      </c>
      <c r="J36" s="245" t="n">
        <v>0</v>
      </c>
      <c r="K36" s="245" t="n">
        <v>145</v>
      </c>
      <c r="L36" s="245" t="n">
        <v>141</v>
      </c>
      <c r="M36" s="245" t="n">
        <v>0</v>
      </c>
      <c r="N36" s="246" t="n">
        <v>4</v>
      </c>
      <c r="V36" s="0" t="n"/>
      <c r="W36" s="0" t="n"/>
    </row>
    <row r="37" hidden="1" ht="16.5" customHeight="1" s="237">
      <c r="A37" s="9" t="n">
        <v>8830</v>
      </c>
      <c r="B37" s="9" t="inlineStr">
        <is>
          <t>VJ8830</t>
        </is>
      </c>
      <c r="C37" s="29" t="inlineStr">
        <is>
          <t>휘오 제주V워터 E 2.0PET X6(5+1)</t>
        </is>
      </c>
      <c r="D37" s="29" t="inlineStr">
        <is>
          <t>물</t>
        </is>
      </c>
      <c r="E37" s="9" t="n"/>
      <c r="F37" s="9" t="n">
        <v>100</v>
      </c>
      <c r="G37" s="245" t="n">
        <v>0</v>
      </c>
      <c r="H37" s="245" t="n">
        <v>0</v>
      </c>
      <c r="I37" s="245" t="n">
        <v>0</v>
      </c>
      <c r="J37" s="245" t="n">
        <v>0</v>
      </c>
      <c r="K37" s="245" t="n">
        <v>0</v>
      </c>
      <c r="L37" s="245" t="n">
        <v>0</v>
      </c>
      <c r="M37" s="245" t="n">
        <v>0</v>
      </c>
      <c r="N37" s="246" t="n">
        <v>0</v>
      </c>
      <c r="V37" s="0" t="n"/>
      <c r="W37" s="0" t="n"/>
    </row>
    <row r="38" hidden="1" ht="16.5" customHeight="1" s="237">
      <c r="A38" s="9" t="n">
        <v>8794</v>
      </c>
      <c r="B38" s="9" t="inlineStr">
        <is>
          <t>VD8794</t>
        </is>
      </c>
      <c r="C38" s="29" t="inlineStr">
        <is>
          <t>휘오 다이아몬드SE 400PET X20</t>
        </is>
      </c>
      <c r="D38" s="29" t="inlineStr">
        <is>
          <t>물</t>
        </is>
      </c>
      <c r="E38" s="9" t="n"/>
      <c r="F38" s="9" t="n">
        <v>91</v>
      </c>
      <c r="G38" s="245" t="n">
        <v>0</v>
      </c>
      <c r="H38" s="245" t="n">
        <v>0</v>
      </c>
      <c r="I38" s="245" t="n">
        <v>0</v>
      </c>
      <c r="J38" s="245" t="n">
        <v>0</v>
      </c>
      <c r="K38" s="245" t="n">
        <v>0</v>
      </c>
      <c r="L38" s="245" t="n">
        <v>0</v>
      </c>
      <c r="M38" s="245" t="n">
        <v>0</v>
      </c>
      <c r="N38" s="246" t="n">
        <v>0</v>
      </c>
      <c r="V38" s="0" t="n"/>
      <c r="W38" s="0" t="n"/>
    </row>
    <row r="39" hidden="1" ht="15.75" customHeight="1" s="237">
      <c r="A39" s="9" t="n">
        <v>4230</v>
      </c>
      <c r="B39" s="9" t="inlineStr">
        <is>
          <t>SG4230</t>
        </is>
      </c>
      <c r="C39" s="29" t="inlineStr">
        <is>
          <t>씨그램 미네랄워터 500PET X20</t>
        </is>
      </c>
      <c r="D39" s="29" t="inlineStr">
        <is>
          <t>물</t>
        </is>
      </c>
      <c r="E39" s="9" t="n">
        <v>72</v>
      </c>
      <c r="F39" s="9" t="n">
        <v>96</v>
      </c>
      <c r="G39" s="245" t="n">
        <v>864</v>
      </c>
      <c r="H39" s="245" t="n">
        <v>0</v>
      </c>
      <c r="I39" s="245" t="n">
        <v>186</v>
      </c>
      <c r="J39" s="245" t="n">
        <v>0</v>
      </c>
      <c r="K39" s="245" t="n">
        <v>1050</v>
      </c>
      <c r="L39" s="245" t="n">
        <v>1051</v>
      </c>
      <c r="M39" s="245" t="n">
        <v>0</v>
      </c>
      <c r="N39" s="246" t="n">
        <v>-1</v>
      </c>
      <c r="V39" s="0" t="n"/>
      <c r="W39" s="0" t="n"/>
    </row>
    <row r="40">
      <c r="A40" s="9" t="n">
        <v>8702</v>
      </c>
      <c r="B40" s="66" t="inlineStr">
        <is>
          <t>VD8702</t>
        </is>
      </c>
      <c r="C40" s="67" t="inlineStr">
        <is>
          <t xml:space="preserve">S)휘오 다이아스파클링 350PET 4X6   </t>
        </is>
      </c>
      <c r="D40" s="29" t="inlineStr">
        <is>
          <t>물</t>
        </is>
      </c>
      <c r="E40" s="66" t="n"/>
      <c r="F40" s="66" t="n">
        <v>50</v>
      </c>
      <c r="G40" s="245" t="n">
        <v>0</v>
      </c>
      <c r="H40" s="245" t="n">
        <v>400</v>
      </c>
      <c r="I40" s="245" t="n">
        <v>32</v>
      </c>
      <c r="J40" s="245" t="n">
        <v>59</v>
      </c>
      <c r="K40" s="245" t="n">
        <v>491</v>
      </c>
      <c r="L40" s="245" t="n">
        <v>495</v>
      </c>
      <c r="M40" s="245" t="n">
        <v>0</v>
      </c>
      <c r="N40" s="246" t="n">
        <v>-4</v>
      </c>
      <c r="P40" s="252" t="n"/>
      <c r="Q40" s="252" t="n">
        <v>8</v>
      </c>
      <c r="R40" s="252" t="n">
        <v>32</v>
      </c>
      <c r="S40" s="252" t="n">
        <v>59</v>
      </c>
      <c r="T40" s="252">
        <f>(P40*E40)+(Q40*F40)+R40+S40</f>
        <v/>
      </c>
      <c r="U40" s="252">
        <f>K40-T40</f>
        <v/>
      </c>
      <c r="V40" s="76">
        <f>SUMIF('SAP(B117)'!B:B,월마감!B:B,'SAP(B117)'!Q:Q)</f>
        <v/>
      </c>
      <c r="W40" s="76">
        <f>T40-V40</f>
        <v/>
      </c>
    </row>
    <row r="41" hidden="1" ht="16.5" customHeight="1" s="237">
      <c r="A41" s="9" t="n">
        <v>7142</v>
      </c>
      <c r="B41" s="9" t="inlineStr">
        <is>
          <t>MM7142</t>
        </is>
      </c>
      <c r="C41" s="29" t="inlineStr">
        <is>
          <t>미닛 조이오렌지 240CAN X30</t>
        </is>
      </c>
      <c r="D41" s="29" t="inlineStr">
        <is>
          <t>비탄산캔</t>
        </is>
      </c>
      <c r="E41" s="9" t="n">
        <v>108</v>
      </c>
      <c r="F41" s="9" t="n">
        <v>144</v>
      </c>
      <c r="G41" s="245" t="n">
        <v>0</v>
      </c>
      <c r="H41" s="245" t="n">
        <v>0</v>
      </c>
      <c r="I41" s="245" t="n">
        <v>0</v>
      </c>
      <c r="J41" s="245" t="n">
        <v>0</v>
      </c>
      <c r="K41" s="245" t="n">
        <v>0</v>
      </c>
      <c r="L41" s="245" t="n">
        <v>0</v>
      </c>
      <c r="M41" s="245" t="n">
        <v>0</v>
      </c>
      <c r="N41" s="246" t="n">
        <v>0</v>
      </c>
      <c r="P41" s="0" t="n">
        <v>1</v>
      </c>
      <c r="T41" s="0">
        <f>(P41*E41)+(Q41*F41)+R41+S41</f>
        <v/>
      </c>
      <c r="U41" s="0">
        <f>K41-T41</f>
        <v/>
      </c>
      <c r="V41" s="0">
        <f>SUMIF('SAP(B117)'!B:B,월마감!B:B,'SAP(B117)'!Q:Q)</f>
        <v/>
      </c>
      <c r="W41" s="0">
        <f>T41-V41</f>
        <v/>
      </c>
    </row>
    <row r="42">
      <c r="A42" s="9" t="n">
        <v>4166</v>
      </c>
      <c r="B42" s="66" t="inlineStr">
        <is>
          <t>SW4166</t>
        </is>
      </c>
      <c r="C42" s="67" t="inlineStr">
        <is>
          <t>S)슈웹스 레몬토닉 350PET 4X6</t>
        </is>
      </c>
      <c r="D42" s="29" t="inlineStr">
        <is>
          <t>슈웹스</t>
        </is>
      </c>
      <c r="E42" s="66" t="n">
        <v>40</v>
      </c>
      <c r="F42" s="66" t="n">
        <v>50</v>
      </c>
      <c r="G42" s="245" t="n">
        <v>0</v>
      </c>
      <c r="H42" s="245" t="n">
        <v>2150</v>
      </c>
      <c r="I42" s="245" t="n">
        <v>60</v>
      </c>
      <c r="J42" s="245" t="n">
        <v>7</v>
      </c>
      <c r="K42" s="245" t="n">
        <v>2217</v>
      </c>
      <c r="L42" s="245" t="n">
        <v>1958</v>
      </c>
      <c r="M42" s="245" t="n">
        <v>250</v>
      </c>
      <c r="N42" s="246" t="n">
        <v>9</v>
      </c>
      <c r="P42" s="252" t="n"/>
      <c r="Q42" s="252" t="n">
        <v>39</v>
      </c>
      <c r="R42" s="252">
        <f>20+18+7+20</f>
        <v/>
      </c>
      <c r="S42" s="252" t="n"/>
      <c r="T42" s="252">
        <f>(P42*E42)+(Q42*F42)+R42+S42</f>
        <v/>
      </c>
      <c r="U42" s="252">
        <f>K42-T42</f>
        <v/>
      </c>
      <c r="V42" s="76">
        <f>SUMIF('SAP(B117)'!B:B,월마감!B:B,'SAP(B117)'!Q:Q)</f>
        <v/>
      </c>
      <c r="W42" s="76">
        <f>T42-V42</f>
        <v/>
      </c>
    </row>
    <row r="43" hidden="1" ht="16.5" customHeight="1" s="237">
      <c r="A43" s="9" t="n">
        <v>4167</v>
      </c>
      <c r="B43" s="9" t="inlineStr">
        <is>
          <t>SW4167</t>
        </is>
      </c>
      <c r="C43" s="29" t="inlineStr">
        <is>
          <t>S)슈웹스 그레이프토닉 350PET 4X6</t>
        </is>
      </c>
      <c r="D43" s="29" t="inlineStr">
        <is>
          <t>슈웹스</t>
        </is>
      </c>
      <c r="E43" s="9" t="n">
        <v>40</v>
      </c>
      <c r="F43" s="9" t="n">
        <v>50</v>
      </c>
      <c r="G43" s="245" t="n">
        <v>0</v>
      </c>
      <c r="H43" s="245" t="n">
        <v>0</v>
      </c>
      <c r="I43" s="245" t="n">
        <v>0</v>
      </c>
      <c r="J43" s="245" t="n">
        <v>0</v>
      </c>
      <c r="K43" s="245" t="n">
        <v>0</v>
      </c>
      <c r="L43" s="245" t="n">
        <v>0</v>
      </c>
      <c r="M43" s="245" t="n">
        <v>0</v>
      </c>
      <c r="N43" s="246" t="n">
        <v>0</v>
      </c>
      <c r="P43" s="0" t="n">
        <v>1</v>
      </c>
      <c r="T43" s="0">
        <f>(P43*E43)+(Q43*F43)+R43+S43</f>
        <v/>
      </c>
      <c r="U43" s="0">
        <f>K43-T43</f>
        <v/>
      </c>
      <c r="V43" s="0">
        <f>SUMIF('SAP(B117)'!B:B,월마감!B:B,'SAP(B117)'!Q:Q)</f>
        <v/>
      </c>
      <c r="W43" s="0">
        <f>T43-V43</f>
        <v/>
      </c>
    </row>
    <row r="44" hidden="1" ht="16.5" customHeight="1" s="237">
      <c r="A44" s="9" t="n">
        <v>4169</v>
      </c>
      <c r="B44" s="9" t="inlineStr">
        <is>
          <t>SW4169</t>
        </is>
      </c>
      <c r="C44" s="29" t="inlineStr">
        <is>
          <t>슈웹스 코스모폴리탄 350PET X24</t>
        </is>
      </c>
      <c r="D44" s="29" t="inlineStr">
        <is>
          <t>슈웹스</t>
        </is>
      </c>
      <c r="E44" s="9" t="n">
        <v>56</v>
      </c>
      <c r="F44" s="9" t="n">
        <v>50</v>
      </c>
      <c r="G44" s="245" t="n">
        <v>0</v>
      </c>
      <c r="H44" s="245" t="n">
        <v>0</v>
      </c>
      <c r="I44" s="245" t="n">
        <v>0</v>
      </c>
      <c r="J44" s="245" t="n">
        <v>0</v>
      </c>
      <c r="K44" s="245" t="n">
        <v>0</v>
      </c>
      <c r="L44" s="245" t="n">
        <v>0</v>
      </c>
      <c r="M44" s="245" t="n">
        <v>0</v>
      </c>
      <c r="N44" s="246" t="n">
        <v>0</v>
      </c>
      <c r="P44" s="0" t="n">
        <v>1</v>
      </c>
      <c r="T44" s="0">
        <f>(P44*E44)+(Q44*F44)+R44+S44</f>
        <v/>
      </c>
      <c r="U44" s="0">
        <f>K44-T44</f>
        <v/>
      </c>
      <c r="V44" s="0">
        <f>SUMIF('SAP(B117)'!B:B,월마감!B:B,'SAP(B117)'!Q:Q)</f>
        <v/>
      </c>
      <c r="W44" s="0">
        <f>T44-V44</f>
        <v/>
      </c>
    </row>
    <row r="45" hidden="1" ht="16.5" customHeight="1" s="237">
      <c r="A45" s="9" t="n">
        <v>4193</v>
      </c>
      <c r="B45" s="9" t="inlineStr">
        <is>
          <t>SG4193</t>
        </is>
      </c>
      <c r="C45" s="29" t="inlineStr">
        <is>
          <t>S)씨그램 라임350PET 4X6</t>
        </is>
      </c>
      <c r="D45" s="29" t="inlineStr">
        <is>
          <t>씨그램</t>
        </is>
      </c>
      <c r="E45" s="9" t="n">
        <v>40</v>
      </c>
      <c r="F45" s="9" t="n">
        <v>50</v>
      </c>
      <c r="G45" s="245" t="n">
        <v>0</v>
      </c>
      <c r="H45" s="245" t="n">
        <v>3900</v>
      </c>
      <c r="I45" s="245" t="n">
        <v>90</v>
      </c>
      <c r="J45" s="245" t="n">
        <v>0</v>
      </c>
      <c r="K45" s="245" t="n">
        <v>3990</v>
      </c>
      <c r="L45" s="245" t="n">
        <v>3391</v>
      </c>
      <c r="M45" s="245" t="n">
        <v>600</v>
      </c>
      <c r="N45" s="246" t="n">
        <v>-1</v>
      </c>
      <c r="P45" s="0" t="n">
        <v>1</v>
      </c>
      <c r="T45" s="0">
        <f>(P45*E45)+(Q45*F45)+R45+S45</f>
        <v/>
      </c>
      <c r="U45" s="0">
        <f>K45-T45</f>
        <v/>
      </c>
      <c r="V45" s="0">
        <f>SUMIF('SAP(B117)'!B:B,월마감!B:B,'SAP(B117)'!Q:Q)</f>
        <v/>
      </c>
      <c r="W45" s="0">
        <f>T45-V45</f>
        <v/>
      </c>
    </row>
    <row r="46" hidden="1" ht="16.5" customHeight="1" s="237">
      <c r="A46" s="9" t="n">
        <v>4196</v>
      </c>
      <c r="B46" s="9" t="inlineStr">
        <is>
          <t>SG4196</t>
        </is>
      </c>
      <c r="C46" s="29" t="inlineStr">
        <is>
          <t>S)씨그램 레몬350PET 4X6</t>
        </is>
      </c>
      <c r="D46" s="29" t="inlineStr">
        <is>
          <t>씨그램</t>
        </is>
      </c>
      <c r="E46" s="9" t="n"/>
      <c r="F46" s="9" t="n">
        <v>50</v>
      </c>
      <c r="G46" s="245" t="n">
        <v>0</v>
      </c>
      <c r="H46" s="245" t="n">
        <v>2300</v>
      </c>
      <c r="I46" s="245" t="n">
        <v>38</v>
      </c>
      <c r="J46" s="245" t="n">
        <v>0</v>
      </c>
      <c r="K46" s="245" t="n">
        <v>2338</v>
      </c>
      <c r="L46" s="245" t="n">
        <v>2037</v>
      </c>
      <c r="M46" s="245" t="n">
        <v>300</v>
      </c>
      <c r="N46" s="246" t="n">
        <v>1</v>
      </c>
      <c r="P46" s="0" t="n">
        <v>1</v>
      </c>
      <c r="T46" s="0">
        <f>(P46*E46)+(Q46*F46)+R46+S46</f>
        <v/>
      </c>
      <c r="U46" s="0">
        <f>K46-T46</f>
        <v/>
      </c>
      <c r="V46" s="0">
        <f>SUMIF('SAP(B117)'!B:B,월마감!B:B,'SAP(B117)'!Q:Q)</f>
        <v/>
      </c>
      <c r="W46" s="0">
        <f>T46-V46</f>
        <v/>
      </c>
    </row>
    <row r="47" hidden="1" ht="16.5" customHeight="1" s="237">
      <c r="A47" s="9" t="n">
        <v>7008</v>
      </c>
      <c r="B47" s="9" t="inlineStr">
        <is>
          <t>MM7008</t>
        </is>
      </c>
      <c r="C47" s="29" t="inlineStr">
        <is>
          <t>미닛 홈스타일선물세트 1.2PET 3X4</t>
        </is>
      </c>
      <c r="D47" s="29" t="inlineStr">
        <is>
          <t>주스1.5</t>
        </is>
      </c>
      <c r="E47" s="9" t="n">
        <v>40</v>
      </c>
      <c r="F47" s="9" t="n">
        <v>40</v>
      </c>
      <c r="G47" s="245" t="n">
        <v>0</v>
      </c>
      <c r="H47" s="245" t="n">
        <v>0</v>
      </c>
      <c r="I47" s="245" t="n">
        <v>0</v>
      </c>
      <c r="J47" s="245" t="n">
        <v>0</v>
      </c>
      <c r="K47" s="245" t="n">
        <v>0</v>
      </c>
      <c r="L47" s="245" t="n">
        <v>0</v>
      </c>
      <c r="M47" s="245" t="n">
        <v>0</v>
      </c>
      <c r="N47" s="246" t="n">
        <v>0</v>
      </c>
      <c r="P47" s="0" t="n">
        <v>1</v>
      </c>
      <c r="T47" s="0">
        <f>(P47*E47)+(Q47*F47)+R47+S47</f>
        <v/>
      </c>
      <c r="U47" s="0">
        <f>K47-T47</f>
        <v/>
      </c>
      <c r="V47" s="0">
        <f>SUMIF('SAP(B117)'!B:B,월마감!B:B,'SAP(B117)'!Q:Q)</f>
        <v/>
      </c>
      <c r="W47" s="0">
        <f>T47-V47</f>
        <v/>
      </c>
    </row>
    <row r="48" hidden="1" ht="16.5" customHeight="1" s="237">
      <c r="A48" s="9" t="n">
        <v>6509</v>
      </c>
      <c r="B48" s="9" t="inlineStr">
        <is>
          <t>MM6509</t>
        </is>
      </c>
      <c r="C48" s="29" t="inlineStr">
        <is>
          <t>S)미닛 오렌지 1.5PET 2X6</t>
        </is>
      </c>
      <c r="D48" s="29" t="inlineStr">
        <is>
          <t>주스1.5</t>
        </is>
      </c>
      <c r="E48" s="9" t="n">
        <v>32</v>
      </c>
      <c r="F48" s="9" t="n">
        <v>44</v>
      </c>
      <c r="G48" s="245" t="n">
        <v>0</v>
      </c>
      <c r="H48" s="245" t="n">
        <v>1628</v>
      </c>
      <c r="I48" s="245" t="n">
        <v>92</v>
      </c>
      <c r="J48" s="245" t="n">
        <v>0</v>
      </c>
      <c r="K48" s="245" t="n">
        <v>1720</v>
      </c>
      <c r="L48" s="245" t="n">
        <v>1675</v>
      </c>
      <c r="M48" s="245" t="n">
        <v>44</v>
      </c>
      <c r="N48" s="246" t="n">
        <v>1</v>
      </c>
      <c r="P48" s="0" t="n">
        <v>1</v>
      </c>
      <c r="T48" s="0">
        <f>(P48*E48)+(Q48*F48)+R48+S48</f>
        <v/>
      </c>
      <c r="U48" s="0">
        <f>K48-T48</f>
        <v/>
      </c>
      <c r="V48" s="0">
        <f>SUMIF('SAP(B117)'!B:B,월마감!B:B,'SAP(B117)'!Q:Q)</f>
        <v/>
      </c>
      <c r="W48" s="0">
        <f>T48-V48</f>
        <v/>
      </c>
    </row>
    <row r="49">
      <c r="A49" s="9" t="n">
        <v>6510</v>
      </c>
      <c r="B49" s="66" t="inlineStr">
        <is>
          <t>MM6510</t>
        </is>
      </c>
      <c r="C49" s="67" t="inlineStr">
        <is>
          <t>S)미닛 포도 1.5PET 2X6</t>
        </is>
      </c>
      <c r="D49" s="29" t="inlineStr">
        <is>
          <t>주스1.5</t>
        </is>
      </c>
      <c r="E49" s="66" t="n">
        <v>32</v>
      </c>
      <c r="F49" s="66" t="n">
        <v>44</v>
      </c>
      <c r="G49" s="245" t="n">
        <v>0</v>
      </c>
      <c r="H49" s="245" t="n">
        <v>308</v>
      </c>
      <c r="I49" s="245" t="n">
        <v>36</v>
      </c>
      <c r="J49" s="245" t="n">
        <v>0</v>
      </c>
      <c r="K49" s="245" t="n">
        <v>344</v>
      </c>
      <c r="L49" s="245" t="n">
        <v>339</v>
      </c>
      <c r="M49" s="245" t="n">
        <v>0</v>
      </c>
      <c r="N49" s="246" t="n">
        <v>5</v>
      </c>
      <c r="P49" s="252" t="n"/>
      <c r="Q49" s="252" t="n">
        <v>7</v>
      </c>
      <c r="R49" s="252" t="n">
        <v>36</v>
      </c>
      <c r="S49" s="252" t="n"/>
      <c r="T49" s="252">
        <f>(P49*E49)+(Q49*F49)+R49+S49</f>
        <v/>
      </c>
      <c r="U49" s="252">
        <f>K49-T49</f>
        <v/>
      </c>
      <c r="V49" s="76">
        <f>SUMIF('SAP(B117)'!B:B,월마감!B:B,'SAP(B117)'!Q:Q)</f>
        <v/>
      </c>
      <c r="W49" s="76">
        <f>T49-V49</f>
        <v/>
      </c>
    </row>
    <row r="50" hidden="1" ht="16.5" customHeight="1" s="237">
      <c r="A50" s="9" t="n">
        <v>6528</v>
      </c>
      <c r="B50" s="9" t="inlineStr">
        <is>
          <t>MM6528</t>
        </is>
      </c>
      <c r="C50" s="29" t="inlineStr">
        <is>
          <t>미닛 망고 1.5PET X12</t>
        </is>
      </c>
      <c r="D50" s="29" t="inlineStr">
        <is>
          <t>주스1.5</t>
        </is>
      </c>
      <c r="E50" s="9" t="n">
        <v>32</v>
      </c>
      <c r="F50" s="9" t="n">
        <v>44</v>
      </c>
      <c r="G50" s="245" t="n">
        <v>0</v>
      </c>
      <c r="H50" s="245" t="n">
        <v>44</v>
      </c>
      <c r="I50" s="245" t="n">
        <v>1</v>
      </c>
      <c r="J50" s="245" t="n">
        <v>0</v>
      </c>
      <c r="K50" s="245" t="n">
        <v>45</v>
      </c>
      <c r="L50" s="245" t="n">
        <v>45</v>
      </c>
      <c r="M50" s="245" t="n">
        <v>0</v>
      </c>
      <c r="N50" s="246" t="n">
        <v>0</v>
      </c>
      <c r="P50" s="0" t="n">
        <v>1</v>
      </c>
      <c r="T50" s="0">
        <f>(P50*E50)+(Q50*F50)+R50+S50</f>
        <v/>
      </c>
      <c r="U50" s="0">
        <f>K50-T50</f>
        <v/>
      </c>
      <c r="V50" s="0">
        <f>SUMIF('SAP(B117)'!B:B,월마감!B:B,'SAP(B117)'!Q:Q)</f>
        <v/>
      </c>
      <c r="W50" s="0">
        <f>T50-V50</f>
        <v/>
      </c>
    </row>
    <row r="51" hidden="1" ht="16.5" customHeight="1" s="237">
      <c r="A51" s="9" t="n">
        <v>7812</v>
      </c>
      <c r="B51" s="9" t="inlineStr">
        <is>
          <t>MM7812</t>
        </is>
      </c>
      <c r="C51" s="29" t="inlineStr">
        <is>
          <t>미닛 오렌지+감귤 1.5PET 6X2</t>
        </is>
      </c>
      <c r="D51" s="29" t="inlineStr">
        <is>
          <t>주스1.5</t>
        </is>
      </c>
      <c r="E51" s="9" t="n">
        <v>32</v>
      </c>
      <c r="F51" s="9" t="n">
        <v>44</v>
      </c>
      <c r="G51" s="245" t="n">
        <v>0</v>
      </c>
      <c r="H51" s="245" t="n">
        <v>0</v>
      </c>
      <c r="I51" s="245" t="n">
        <v>0</v>
      </c>
      <c r="J51" s="245" t="n">
        <v>0</v>
      </c>
      <c r="K51" s="245" t="n">
        <v>0</v>
      </c>
      <c r="L51" s="245" t="n">
        <v>0</v>
      </c>
      <c r="M51" s="245" t="n">
        <v>0</v>
      </c>
      <c r="N51" s="246" t="n">
        <v>0</v>
      </c>
      <c r="P51" s="0" t="n">
        <v>1</v>
      </c>
      <c r="T51" s="0">
        <f>(P51*E51)+(Q51*F51)+R51+S51</f>
        <v/>
      </c>
      <c r="U51" s="0">
        <f>K51-T51</f>
        <v/>
      </c>
      <c r="V51" s="0">
        <f>SUMIF('SAP(B117)'!B:B,월마감!B:B,'SAP(B117)'!Q:Q)</f>
        <v/>
      </c>
      <c r="W51" s="0">
        <f>T51-V51</f>
        <v/>
      </c>
    </row>
    <row r="52" hidden="1" ht="16.5" customHeight="1" s="237">
      <c r="A52" s="9" t="n">
        <v>7896</v>
      </c>
      <c r="B52" s="9" t="inlineStr">
        <is>
          <t>MM7896</t>
        </is>
      </c>
      <c r="C52" s="29" t="inlineStr">
        <is>
          <t>미닛 오렌+포도+알로+망고 1.5PET 3X4</t>
        </is>
      </c>
      <c r="D52" s="29" t="inlineStr">
        <is>
          <t>주스1.5</t>
        </is>
      </c>
      <c r="E52" s="9" t="n"/>
      <c r="F52" s="9" t="n">
        <v>32</v>
      </c>
      <c r="G52" s="245" t="n">
        <v>0</v>
      </c>
      <c r="H52" s="245" t="n">
        <v>0</v>
      </c>
      <c r="I52" s="245" t="n">
        <v>0</v>
      </c>
      <c r="J52" s="245" t="n">
        <v>0</v>
      </c>
      <c r="K52" s="245" t="n">
        <v>0</v>
      </c>
      <c r="L52" s="245" t="n">
        <v>0</v>
      </c>
      <c r="M52" s="245" t="n">
        <v>0</v>
      </c>
      <c r="N52" s="246" t="n">
        <v>0</v>
      </c>
      <c r="P52" s="0" t="n">
        <v>1</v>
      </c>
      <c r="T52" s="0">
        <f>(P52*E52)+(Q52*F52)+R52+S52</f>
        <v/>
      </c>
      <c r="U52" s="0">
        <f>K52-T52</f>
        <v/>
      </c>
      <c r="V52" s="0">
        <f>SUMIF('SAP(B117)'!B:B,월마감!B:B,'SAP(B117)'!Q:Q)</f>
        <v/>
      </c>
      <c r="W52" s="0">
        <f>T52-V52</f>
        <v/>
      </c>
    </row>
    <row r="53" hidden="1" ht="16.5" customHeight="1" s="237">
      <c r="A53" s="9" t="n">
        <v>7900</v>
      </c>
      <c r="B53" s="9" t="inlineStr">
        <is>
          <t>MM7900</t>
        </is>
      </c>
      <c r="C53" s="31" t="inlineStr">
        <is>
          <t>미닛 오50%2+포40%+알로 1.5PETX4</t>
        </is>
      </c>
      <c r="D53" s="29" t="inlineStr">
        <is>
          <t>주스1.5</t>
        </is>
      </c>
      <c r="E53" s="9" t="n">
        <v>32</v>
      </c>
      <c r="F53" s="9" t="n">
        <v>44</v>
      </c>
      <c r="G53" s="245" t="n">
        <v>0</v>
      </c>
      <c r="H53" s="245" t="n">
        <v>0</v>
      </c>
      <c r="I53" s="245" t="n">
        <v>0</v>
      </c>
      <c r="J53" s="245" t="n">
        <v>0</v>
      </c>
      <c r="K53" s="245" t="n">
        <v>0</v>
      </c>
      <c r="L53" s="245" t="n">
        <v>0</v>
      </c>
      <c r="M53" s="245" t="n">
        <v>0</v>
      </c>
      <c r="N53" s="246" t="n">
        <v>0</v>
      </c>
      <c r="P53" s="0" t="n">
        <v>1</v>
      </c>
      <c r="T53" s="0">
        <f>(P53*E53)+(Q53*F53)+R53+S53</f>
        <v/>
      </c>
      <c r="U53" s="0">
        <f>K53-T53</f>
        <v/>
      </c>
      <c r="V53" s="0">
        <f>SUMIF('SAP(B117)'!B:B,월마감!B:B,'SAP(B117)'!Q:Q)</f>
        <v/>
      </c>
      <c r="W53" s="0">
        <f>T53-V53</f>
        <v/>
      </c>
    </row>
    <row r="54" hidden="1" ht="16.5" customHeight="1" s="237">
      <c r="A54" s="9" t="n">
        <v>6700</v>
      </c>
      <c r="B54" s="9" t="inlineStr">
        <is>
          <t>MM6700</t>
        </is>
      </c>
      <c r="C54" s="29" t="inlineStr">
        <is>
          <t>미닛 오렌지 350PET X24</t>
        </is>
      </c>
      <c r="D54" s="29" t="inlineStr">
        <is>
          <t>주스350PET</t>
        </is>
      </c>
      <c r="E54" s="9" t="n">
        <v>64</v>
      </c>
      <c r="F54" s="9" t="n"/>
      <c r="G54" s="245" t="n">
        <v>0</v>
      </c>
      <c r="H54" s="245" t="n">
        <v>0</v>
      </c>
      <c r="I54" s="245" t="n">
        <v>0</v>
      </c>
      <c r="J54" s="245" t="n">
        <v>0</v>
      </c>
      <c r="K54" s="245" t="n">
        <v>0</v>
      </c>
      <c r="L54" s="245" t="n">
        <v>0</v>
      </c>
      <c r="M54" s="245" t="n">
        <v>0</v>
      </c>
      <c r="N54" s="246" t="n">
        <v>0</v>
      </c>
      <c r="P54" s="0" t="n">
        <v>1</v>
      </c>
      <c r="T54" s="0">
        <f>(P54*E54)+(Q54*F54)+R54+S54</f>
        <v/>
      </c>
      <c r="U54" s="0">
        <f>K54-T54</f>
        <v/>
      </c>
      <c r="V54" s="0">
        <f>SUMIF('SAP(B117)'!B:B,월마감!B:B,'SAP(B117)'!Q:Q)</f>
        <v/>
      </c>
      <c r="W54" s="0">
        <f>T54-V54</f>
        <v/>
      </c>
    </row>
    <row r="55" hidden="1" ht="16.5" customHeight="1" s="237">
      <c r="A55" s="9" t="n">
        <v>6705</v>
      </c>
      <c r="B55" s="9" t="inlineStr">
        <is>
          <t>MM6705</t>
        </is>
      </c>
      <c r="C55" s="29" t="inlineStr">
        <is>
          <t>S)미닛 오렌지 350PET 4X6</t>
        </is>
      </c>
      <c r="D55" s="29" t="inlineStr">
        <is>
          <t>주스350PET</t>
        </is>
      </c>
      <c r="E55" s="9" t="n">
        <v>64</v>
      </c>
      <c r="F55" s="9" t="n">
        <v>60</v>
      </c>
      <c r="G55" s="245" t="n">
        <v>0</v>
      </c>
      <c r="H55" s="245" t="n">
        <v>1380</v>
      </c>
      <c r="I55" s="245" t="n">
        <v>112</v>
      </c>
      <c r="J55" s="245" t="n">
        <v>0</v>
      </c>
      <c r="K55" s="245" t="n">
        <v>1492</v>
      </c>
      <c r="L55" s="245" t="n">
        <v>1434</v>
      </c>
      <c r="M55" s="245" t="n">
        <v>60</v>
      </c>
      <c r="N55" s="246" t="n">
        <v>-2</v>
      </c>
      <c r="P55" s="0" t="n">
        <v>1</v>
      </c>
      <c r="T55" s="0">
        <f>(P55*E55)+(Q55*F55)+R55+S55</f>
        <v/>
      </c>
      <c r="U55" s="0">
        <f>K55-T55</f>
        <v/>
      </c>
      <c r="V55" s="0">
        <f>SUMIF('SAP(B117)'!B:B,월마감!B:B,'SAP(B117)'!Q:Q)</f>
        <v/>
      </c>
      <c r="W55" s="0">
        <f>T55-V55</f>
        <v/>
      </c>
    </row>
    <row r="56" hidden="1" ht="16.5" customHeight="1" s="237">
      <c r="A56" s="9" t="n">
        <v>7007</v>
      </c>
      <c r="B56" s="9" t="inlineStr">
        <is>
          <t>MM7007</t>
        </is>
      </c>
      <c r="C56" s="29" t="inlineStr">
        <is>
          <t>S)미닛 홈스타일오렌지 300PET 4X6</t>
        </is>
      </c>
      <c r="D56" s="29" t="inlineStr">
        <is>
          <t>주스350PET</t>
        </is>
      </c>
      <c r="E56" s="9" t="n"/>
      <c r="F56" s="9" t="n">
        <v>60</v>
      </c>
      <c r="G56" s="245" t="n">
        <v>0</v>
      </c>
      <c r="H56" s="245" t="n">
        <v>480</v>
      </c>
      <c r="I56" s="245" t="n">
        <v>31</v>
      </c>
      <c r="J56" s="245" t="n">
        <v>0</v>
      </c>
      <c r="K56" s="245" t="n">
        <v>511</v>
      </c>
      <c r="L56" s="245" t="n">
        <v>512</v>
      </c>
      <c r="M56" s="245" t="n">
        <v>0</v>
      </c>
      <c r="N56" s="246" t="n">
        <v>-1</v>
      </c>
      <c r="P56" s="0" t="n">
        <v>1</v>
      </c>
      <c r="T56" s="0">
        <f>(P56*E56)+(Q56*F56)+R56+S56</f>
        <v/>
      </c>
      <c r="U56" s="0">
        <f>K56-T56</f>
        <v/>
      </c>
      <c r="V56" s="0">
        <f>SUMIF('SAP(B117)'!B:B,월마감!B:B,'SAP(B117)'!Q:Q)</f>
        <v/>
      </c>
      <c r="W56" s="0">
        <f>T56-V56</f>
        <v/>
      </c>
    </row>
    <row r="57" hidden="1" ht="16.5" customHeight="1" s="237">
      <c r="A57" s="9" t="n">
        <v>7005</v>
      </c>
      <c r="B57" s="9" t="inlineStr">
        <is>
          <t>MM7005</t>
        </is>
      </c>
      <c r="C57" s="29" t="inlineStr">
        <is>
          <t>S)미닛 홈스타일자몽 300PET 4X6</t>
        </is>
      </c>
      <c r="D57" s="29" t="inlineStr">
        <is>
          <t>주스350PET</t>
        </is>
      </c>
      <c r="E57" s="9" t="n"/>
      <c r="F57" s="9" t="n">
        <v>60</v>
      </c>
      <c r="G57" s="245" t="n">
        <v>0</v>
      </c>
      <c r="H57" s="245" t="n">
        <v>720</v>
      </c>
      <c r="I57" s="245" t="n">
        <v>102</v>
      </c>
      <c r="J57" s="245" t="n">
        <v>0</v>
      </c>
      <c r="K57" s="245" t="n">
        <v>822</v>
      </c>
      <c r="L57" s="245" t="n">
        <v>762</v>
      </c>
      <c r="M57" s="245" t="n">
        <v>60</v>
      </c>
      <c r="N57" s="246" t="n">
        <v>0</v>
      </c>
      <c r="P57" s="0" t="n">
        <v>1</v>
      </c>
      <c r="T57" s="0">
        <f>(P57*E57)+(Q57*F57)+R57+S57</f>
        <v/>
      </c>
      <c r="U57" s="0">
        <f>K57-T57</f>
        <v/>
      </c>
      <c r="V57" s="0">
        <f>SUMIF('SAP(B117)'!B:B,월마감!B:B,'SAP(B117)'!Q:Q)</f>
        <v/>
      </c>
      <c r="W57" s="0">
        <f>T57-V57</f>
        <v/>
      </c>
    </row>
    <row r="58" hidden="1" ht="16.5" customHeight="1" s="237">
      <c r="A58" s="9" t="n">
        <v>7004</v>
      </c>
      <c r="B58" s="9" t="inlineStr">
        <is>
          <t>MM7004</t>
        </is>
      </c>
      <c r="C58" s="29" t="inlineStr">
        <is>
          <t>미닛 홈스타일자몽 300PET X24</t>
        </is>
      </c>
      <c r="D58" s="29" t="inlineStr">
        <is>
          <t>주스350PET</t>
        </is>
      </c>
      <c r="E58" s="9" t="n"/>
      <c r="F58" s="9" t="n">
        <v>91</v>
      </c>
      <c r="G58" s="245" t="n">
        <v>0</v>
      </c>
      <c r="H58" s="245" t="n">
        <v>0</v>
      </c>
      <c r="I58" s="245" t="n">
        <v>0</v>
      </c>
      <c r="J58" s="245" t="n">
        <v>0</v>
      </c>
      <c r="K58" s="245" t="n">
        <v>0</v>
      </c>
      <c r="L58" s="245" t="n">
        <v>0</v>
      </c>
      <c r="M58" s="245" t="n">
        <v>0</v>
      </c>
      <c r="N58" s="246" t="n">
        <v>0</v>
      </c>
      <c r="P58" s="0" t="n">
        <v>1</v>
      </c>
      <c r="T58" s="0">
        <f>(P58*E58)+(Q58*F58)+R58+S58</f>
        <v/>
      </c>
      <c r="U58" s="0">
        <f>K58-T58</f>
        <v/>
      </c>
      <c r="V58" s="0">
        <f>SUMIF('SAP(B117)'!B:B,월마감!B:B,'SAP(B117)'!Q:Q)</f>
        <v/>
      </c>
      <c r="W58" s="0">
        <f>T58-V58</f>
        <v/>
      </c>
    </row>
    <row r="59" hidden="1" ht="16.5" customHeight="1" s="237">
      <c r="A59" s="9" t="n">
        <v>7003</v>
      </c>
      <c r="B59" s="9" t="inlineStr">
        <is>
          <t>MM7003</t>
        </is>
      </c>
      <c r="C59" s="29" t="inlineStr">
        <is>
          <t>미닛 홈스타일오렌지 300PET X24</t>
        </is>
      </c>
      <c r="D59" s="29" t="inlineStr">
        <is>
          <t>주스350PET</t>
        </is>
      </c>
      <c r="E59" s="9" t="n"/>
      <c r="F59" s="9" t="n">
        <v>72</v>
      </c>
      <c r="G59" s="245" t="n">
        <v>0</v>
      </c>
      <c r="H59" s="245" t="n">
        <v>0</v>
      </c>
      <c r="I59" s="245" t="n">
        <v>0</v>
      </c>
      <c r="J59" s="245" t="n">
        <v>0</v>
      </c>
      <c r="K59" s="245" t="n">
        <v>0</v>
      </c>
      <c r="L59" s="245" t="n">
        <v>0</v>
      </c>
      <c r="M59" s="245" t="n">
        <v>0</v>
      </c>
      <c r="N59" s="246" t="n">
        <v>0</v>
      </c>
      <c r="P59" s="0" t="n">
        <v>1</v>
      </c>
      <c r="T59" s="0">
        <f>(P59*E59)+(Q59*F59)+R59+S59</f>
        <v/>
      </c>
      <c r="U59" s="0">
        <f>K59-T59</f>
        <v/>
      </c>
      <c r="V59" s="0">
        <f>SUMIF('SAP(B117)'!B:B,월마감!B:B,'SAP(B117)'!Q:Q)</f>
        <v/>
      </c>
      <c r="W59" s="0">
        <f>T59-V59</f>
        <v/>
      </c>
    </row>
    <row r="60" hidden="1" ht="16.5" customHeight="1" s="237">
      <c r="A60" s="30" t="inlineStr">
        <is>
          <t>0008</t>
        </is>
      </c>
      <c r="B60" s="9" t="inlineStr">
        <is>
          <t>MM0008</t>
        </is>
      </c>
      <c r="C60" s="29" t="inlineStr">
        <is>
          <t>MM 오리진 레몬 300PET 4X6</t>
        </is>
      </c>
      <c r="D60" s="29" t="inlineStr">
        <is>
          <t>주스350PET</t>
        </is>
      </c>
      <c r="E60" s="9" t="n"/>
      <c r="F60" s="9" t="n">
        <v>60</v>
      </c>
      <c r="G60" s="245" t="n">
        <v>0</v>
      </c>
      <c r="H60" s="245" t="n">
        <v>420</v>
      </c>
      <c r="I60" s="245" t="n">
        <v>40</v>
      </c>
      <c r="J60" s="245" t="n">
        <v>0</v>
      </c>
      <c r="K60" s="245" t="n">
        <v>460</v>
      </c>
      <c r="L60" s="245" t="n">
        <v>460</v>
      </c>
      <c r="M60" s="245" t="n">
        <v>0</v>
      </c>
      <c r="N60" s="246" t="n">
        <v>0</v>
      </c>
      <c r="P60" s="0" t="n">
        <v>1</v>
      </c>
      <c r="T60" s="0">
        <f>(P60*E60)+(Q60*F60)+R60+S60</f>
        <v/>
      </c>
      <c r="U60" s="0">
        <f>K60-T60</f>
        <v/>
      </c>
      <c r="V60" s="0">
        <f>SUMIF('SAP(B117)'!B:B,월마감!B:B,'SAP(B117)'!Q:Q)</f>
        <v/>
      </c>
      <c r="W60" s="0">
        <f>T60-V60</f>
        <v/>
      </c>
    </row>
    <row r="61" hidden="1" ht="16.5" customHeight="1" s="237">
      <c r="A61" s="30" t="inlineStr">
        <is>
          <t>0005</t>
        </is>
      </c>
      <c r="B61" s="9" t="inlineStr">
        <is>
          <t>MM0005</t>
        </is>
      </c>
      <c r="C61" s="29" t="inlineStr">
        <is>
          <t>MM 오리진 자몽 300PET X24</t>
        </is>
      </c>
      <c r="D61" s="29" t="inlineStr">
        <is>
          <t>주스350PET</t>
        </is>
      </c>
      <c r="E61" s="9" t="n"/>
      <c r="F61" s="9" t="n">
        <v>91</v>
      </c>
      <c r="G61" s="245" t="n">
        <v>0</v>
      </c>
      <c r="H61" s="245" t="n">
        <v>0</v>
      </c>
      <c r="I61" s="245" t="n">
        <v>45</v>
      </c>
      <c r="J61" s="245" t="n">
        <v>0</v>
      </c>
      <c r="K61" s="245" t="n">
        <v>45</v>
      </c>
      <c r="L61" s="245" t="n">
        <v>45</v>
      </c>
      <c r="M61" s="245" t="n">
        <v>0</v>
      </c>
      <c r="N61" s="246" t="n">
        <v>0</v>
      </c>
      <c r="P61" s="0" t="n">
        <v>1</v>
      </c>
      <c r="T61" s="0">
        <f>(P61*E61)+(Q61*F61)+R61+S61</f>
        <v/>
      </c>
      <c r="U61" s="0">
        <f>K61-T61</f>
        <v/>
      </c>
      <c r="V61" s="0">
        <f>SUMIF('SAP(B117)'!B:B,월마감!B:B,'SAP(B117)'!Q:Q)</f>
        <v/>
      </c>
      <c r="W61" s="0">
        <f>T61-V61</f>
        <v/>
      </c>
    </row>
    <row r="62" hidden="1" ht="16.5" customHeight="1" s="237">
      <c r="A62" s="9" t="n">
        <v>8422</v>
      </c>
      <c r="B62" s="9" t="inlineStr">
        <is>
          <t>MM8422</t>
        </is>
      </c>
      <c r="C62" s="29" t="inlineStr">
        <is>
          <t>미닛 알로에 350PET X24</t>
        </is>
      </c>
      <c r="D62" s="29" t="inlineStr">
        <is>
          <t>주스350PET</t>
        </is>
      </c>
      <c r="E62" s="9" t="n">
        <v>64</v>
      </c>
      <c r="F62" s="9" t="n">
        <v>80</v>
      </c>
      <c r="G62" s="245" t="n">
        <v>0</v>
      </c>
      <c r="H62" s="245" t="n">
        <v>0</v>
      </c>
      <c r="I62" s="245" t="n">
        <v>16</v>
      </c>
      <c r="J62" s="245" t="n">
        <v>0</v>
      </c>
      <c r="K62" s="245" t="n">
        <v>16</v>
      </c>
      <c r="L62" s="245" t="n">
        <v>18</v>
      </c>
      <c r="M62" s="245" t="n">
        <v>0</v>
      </c>
      <c r="N62" s="246" t="n">
        <v>-2</v>
      </c>
      <c r="P62" s="0" t="n">
        <v>1</v>
      </c>
      <c r="T62" s="0">
        <f>(P62*E62)+(Q62*F62)+R62+S62</f>
        <v/>
      </c>
      <c r="U62" s="0">
        <f>K62-T62</f>
        <v/>
      </c>
      <c r="V62" s="0">
        <f>SUMIF('SAP(B117)'!B:B,월마감!B:B,'SAP(B117)'!Q:Q)</f>
        <v/>
      </c>
      <c r="W62" s="0">
        <f>T62-V62</f>
        <v/>
      </c>
    </row>
    <row r="63" hidden="1" ht="16.5" customHeight="1" s="237">
      <c r="A63" s="9" t="n">
        <v>5325</v>
      </c>
      <c r="B63" s="9" t="inlineStr">
        <is>
          <t>MM5325</t>
        </is>
      </c>
      <c r="C63" s="29" t="inlineStr">
        <is>
          <t>S)미닛 퓨레망고 300PET 4X6</t>
        </is>
      </c>
      <c r="D63" s="29" t="inlineStr">
        <is>
          <t>주스350PET</t>
        </is>
      </c>
      <c r="E63" s="9" t="n"/>
      <c r="F63" s="9" t="n">
        <v>60</v>
      </c>
      <c r="G63" s="245" t="n">
        <v>0</v>
      </c>
      <c r="H63" s="245" t="n">
        <v>0</v>
      </c>
      <c r="I63" s="245" t="n">
        <v>0</v>
      </c>
      <c r="J63" s="245" t="n">
        <v>0</v>
      </c>
      <c r="K63" s="245" t="n">
        <v>0</v>
      </c>
      <c r="L63" s="245" t="n">
        <v>0</v>
      </c>
      <c r="M63" s="245" t="n">
        <v>0</v>
      </c>
      <c r="N63" s="246" t="n">
        <v>0</v>
      </c>
      <c r="P63" s="0" t="n">
        <v>1</v>
      </c>
      <c r="T63" s="0">
        <f>(P63*E63)+(Q63*F63)+R63+S63</f>
        <v/>
      </c>
      <c r="U63" s="0">
        <f>K63-T63</f>
        <v/>
      </c>
      <c r="V63" s="0">
        <f>SUMIF('SAP(B117)'!B:B,월마감!B:B,'SAP(B117)'!Q:Q)</f>
        <v/>
      </c>
      <c r="W63" s="0">
        <f>T63-V63</f>
        <v/>
      </c>
    </row>
    <row r="64" hidden="1" ht="16.5" customHeight="1" s="237">
      <c r="A64" s="9" t="n">
        <v>771</v>
      </c>
      <c r="B64" s="9" t="inlineStr">
        <is>
          <t>GD7687</t>
        </is>
      </c>
      <c r="C64" s="29" t="inlineStr">
        <is>
          <t>골든드랍 나는오리지날 175CAN X30</t>
        </is>
      </c>
      <c r="D64" s="29" t="inlineStr">
        <is>
          <t>커피175캔</t>
        </is>
      </c>
      <c r="E64" s="9" t="n">
        <v>126</v>
      </c>
      <c r="F64" s="9" t="n">
        <v>156</v>
      </c>
      <c r="G64" s="245" t="n">
        <v>0</v>
      </c>
      <c r="H64" s="245" t="n">
        <v>0</v>
      </c>
      <c r="I64" s="245" t="n">
        <v>0</v>
      </c>
      <c r="J64" s="245" t="n">
        <v>0</v>
      </c>
      <c r="K64" s="245" t="n">
        <v>0</v>
      </c>
      <c r="L64" s="245" t="n">
        <v>0</v>
      </c>
      <c r="M64" s="245" t="n">
        <v>0</v>
      </c>
      <c r="N64" s="246" t="n">
        <v>0</v>
      </c>
      <c r="P64" s="0" t="n">
        <v>1</v>
      </c>
      <c r="T64" s="0">
        <f>(P64*E64)+(Q64*F64)+R64+S64</f>
        <v/>
      </c>
      <c r="U64" s="0">
        <f>K64-T64</f>
        <v/>
      </c>
      <c r="V64" s="0">
        <f>SUMIF('SAP(B117)'!B:B,월마감!B:B,'SAP(B117)'!Q:Q)</f>
        <v/>
      </c>
      <c r="W64" s="0">
        <f>T64-V64</f>
        <v/>
      </c>
    </row>
    <row r="65" hidden="1" ht="16.5" customHeight="1" s="237">
      <c r="A65" s="9" t="n">
        <v>4877</v>
      </c>
      <c r="B65" s="9" t="inlineStr">
        <is>
          <t>GG4877</t>
        </is>
      </c>
      <c r="C65" s="29" t="inlineStr">
        <is>
          <t>조지아 오리지널 175CAN X30</t>
        </is>
      </c>
      <c r="D65" s="29" t="inlineStr">
        <is>
          <t>커피175캔</t>
        </is>
      </c>
      <c r="E65" s="9" t="n">
        <v>126</v>
      </c>
      <c r="F65" s="9" t="n"/>
      <c r="G65" s="245" t="n">
        <v>0</v>
      </c>
      <c r="H65" s="245" t="n">
        <v>0</v>
      </c>
      <c r="I65" s="245" t="n">
        <v>0</v>
      </c>
      <c r="J65" s="245" t="n">
        <v>0</v>
      </c>
      <c r="K65" s="245" t="n">
        <v>0</v>
      </c>
      <c r="L65" s="245" t="n">
        <v>0</v>
      </c>
      <c r="M65" s="245" t="n">
        <v>0</v>
      </c>
      <c r="N65" s="246" t="n">
        <v>0</v>
      </c>
      <c r="P65" s="0" t="n">
        <v>1</v>
      </c>
      <c r="T65" s="0">
        <f>(P65*E65)+(Q65*F65)+R65+S65</f>
        <v/>
      </c>
      <c r="U65" s="0">
        <f>K65-T65</f>
        <v/>
      </c>
      <c r="V65" s="0">
        <f>SUMIF('SAP(B117)'!B:B,월마감!B:B,'SAP(B117)'!Q:Q)</f>
        <v/>
      </c>
      <c r="W65" s="0">
        <f>T65-V65</f>
        <v/>
      </c>
    </row>
    <row r="66" hidden="1" ht="16.5" customHeight="1" s="237">
      <c r="A66" s="9" t="n">
        <v>4971</v>
      </c>
      <c r="B66" s="9" t="inlineStr">
        <is>
          <t>GG4971</t>
        </is>
      </c>
      <c r="C66" s="29" t="inlineStr">
        <is>
          <t>조지아 리틀카페 175CAN X30</t>
        </is>
      </c>
      <c r="D66" s="29" t="inlineStr">
        <is>
          <t>커피175캔</t>
        </is>
      </c>
      <c r="E66" s="9" t="n">
        <v>126</v>
      </c>
      <c r="F66" s="9" t="n"/>
      <c r="G66" s="245" t="n">
        <v>0</v>
      </c>
      <c r="H66" s="245" t="n">
        <v>0</v>
      </c>
      <c r="I66" s="245" t="n">
        <v>0</v>
      </c>
      <c r="J66" s="245" t="n">
        <v>0</v>
      </c>
      <c r="K66" s="245" t="n">
        <v>0</v>
      </c>
      <c r="L66" s="245" t="n">
        <v>0</v>
      </c>
      <c r="M66" s="245" t="n">
        <v>0</v>
      </c>
      <c r="N66" s="246" t="n">
        <v>0</v>
      </c>
      <c r="P66" s="0" t="n">
        <v>1</v>
      </c>
      <c r="T66" s="0">
        <f>(P66*E66)+(Q66*F66)+R66+S66</f>
        <v/>
      </c>
      <c r="U66" s="0">
        <f>K66-T66</f>
        <v/>
      </c>
      <c r="V66" s="0">
        <f>SUMIF('SAP(B117)'!B:B,월마감!B:B,'SAP(B117)'!Q:Q)</f>
        <v/>
      </c>
      <c r="W66" s="0">
        <f>T66-V66</f>
        <v/>
      </c>
    </row>
    <row r="67" hidden="1" ht="16.5" customHeight="1" s="237">
      <c r="A67" s="9" t="n">
        <v>4972</v>
      </c>
      <c r="B67" s="9" t="inlineStr">
        <is>
          <t>GG4972</t>
        </is>
      </c>
      <c r="C67" s="29" t="inlineStr">
        <is>
          <t>조지아 리틀카페 175CAN 5X6</t>
        </is>
      </c>
      <c r="D67" s="29" t="inlineStr">
        <is>
          <t>커피175캔</t>
        </is>
      </c>
      <c r="E67" s="9" t="n">
        <v>126</v>
      </c>
      <c r="F67" s="9" t="n">
        <v>156</v>
      </c>
      <c r="G67" s="245" t="n">
        <v>0</v>
      </c>
      <c r="H67" s="245" t="n">
        <v>0</v>
      </c>
      <c r="I67" s="245" t="n">
        <v>0</v>
      </c>
      <c r="J67" s="245" t="n">
        <v>0</v>
      </c>
      <c r="K67" s="245" t="n">
        <v>0</v>
      </c>
      <c r="L67" s="245" t="n">
        <v>0</v>
      </c>
      <c r="M67" s="245" t="n">
        <v>0</v>
      </c>
      <c r="N67" s="246" t="n">
        <v>0</v>
      </c>
      <c r="P67" s="0" t="n">
        <v>1</v>
      </c>
      <c r="T67" s="0">
        <f>(P67*E67)+(Q67*F67)+R67+S67</f>
        <v/>
      </c>
      <c r="U67" s="0">
        <f>K67-T67</f>
        <v/>
      </c>
      <c r="V67" s="0">
        <f>SUMIF('SAP(B117)'!B:B,월마감!B:B,'SAP(B117)'!Q:Q)</f>
        <v/>
      </c>
      <c r="W67" s="0">
        <f>T67-V67</f>
        <v/>
      </c>
    </row>
    <row r="68" hidden="1" ht="16.5" customHeight="1" s="237">
      <c r="A68" s="9" t="n">
        <v>4973</v>
      </c>
      <c r="B68" s="9" t="inlineStr">
        <is>
          <t>GG4973</t>
        </is>
      </c>
      <c r="C68" s="29" t="inlineStr">
        <is>
          <t>조지아 리틀카페 200CAN X30</t>
        </is>
      </c>
      <c r="D68" s="29" t="inlineStr">
        <is>
          <t>커피200캔</t>
        </is>
      </c>
      <c r="E68" s="9" t="n">
        <v>108</v>
      </c>
      <c r="F68" s="9" t="n"/>
      <c r="G68" s="245" t="n">
        <v>0</v>
      </c>
      <c r="H68" s="245" t="n">
        <v>0</v>
      </c>
      <c r="I68" s="245" t="n">
        <v>0</v>
      </c>
      <c r="J68" s="245" t="n">
        <v>0</v>
      </c>
      <c r="K68" s="245" t="n">
        <v>0</v>
      </c>
      <c r="L68" s="245" t="n">
        <v>0</v>
      </c>
      <c r="M68" s="245" t="n">
        <v>0</v>
      </c>
      <c r="N68" s="246" t="n">
        <v>0</v>
      </c>
      <c r="P68" s="0" t="n">
        <v>1</v>
      </c>
      <c r="T68" s="0">
        <f>(P68*E68)+(Q68*F68)+R68+S68</f>
        <v/>
      </c>
      <c r="U68" s="0">
        <f>K68-T68</f>
        <v/>
      </c>
      <c r="V68" s="0">
        <f>SUMIF('SAP(B117)'!B:B,월마감!B:B,'SAP(B117)'!Q:Q)</f>
        <v/>
      </c>
      <c r="W68" s="0">
        <f>T68-V68</f>
        <v/>
      </c>
    </row>
    <row r="69" hidden="1" ht="16.5" customHeight="1" s="237">
      <c r="A69" s="9" t="n">
        <v>4974</v>
      </c>
      <c r="B69" s="9" t="inlineStr">
        <is>
          <t>GG4974</t>
        </is>
      </c>
      <c r="C69" s="29" t="inlineStr">
        <is>
          <t>조지아 리틀카페 200CAN 5X6</t>
        </is>
      </c>
      <c r="D69" s="29" t="inlineStr">
        <is>
          <t>커피200캔</t>
        </is>
      </c>
      <c r="E69" s="9" t="n">
        <v>108</v>
      </c>
      <c r="F69" s="9" t="n">
        <v>144</v>
      </c>
      <c r="G69" s="245" t="n">
        <v>0</v>
      </c>
      <c r="H69" s="245" t="n">
        <v>0</v>
      </c>
      <c r="I69" s="245" t="n">
        <v>0</v>
      </c>
      <c r="J69" s="245" t="n">
        <v>0</v>
      </c>
      <c r="K69" s="245" t="n">
        <v>0</v>
      </c>
      <c r="L69" s="245" t="n">
        <v>0</v>
      </c>
      <c r="M69" s="245" t="n">
        <v>0</v>
      </c>
      <c r="N69" s="246" t="n">
        <v>0</v>
      </c>
      <c r="P69" s="0" t="n">
        <v>1</v>
      </c>
      <c r="T69" s="0">
        <f>(P69*E69)+(Q69*F69)+R69+S69</f>
        <v/>
      </c>
      <c r="U69" s="0">
        <f>K69-T69</f>
        <v/>
      </c>
      <c r="V69" s="0">
        <f>SUMIF('SAP(B117)'!B:B,월마감!B:B,'SAP(B117)'!Q:Q)</f>
        <v/>
      </c>
      <c r="W69" s="0">
        <f>T69-V69</f>
        <v/>
      </c>
    </row>
    <row r="70" customFormat="1" s="60">
      <c r="A70" s="9" t="n">
        <v>8264</v>
      </c>
      <c r="B70" s="77" t="inlineStr">
        <is>
          <t>GG8264</t>
        </is>
      </c>
      <c r="C70" s="78" t="inlineStr">
        <is>
          <t>조지아 카페마일드 200CAN 5X6</t>
        </is>
      </c>
      <c r="D70" s="29" t="inlineStr">
        <is>
          <t>커피200캔</t>
        </is>
      </c>
      <c r="E70" s="77" t="n">
        <v>108</v>
      </c>
      <c r="F70" s="77" t="n">
        <v>144</v>
      </c>
      <c r="G70" s="247" t="n">
        <v>0</v>
      </c>
      <c r="H70" s="247" t="n">
        <v>1440</v>
      </c>
      <c r="I70" s="247" t="n">
        <v>74</v>
      </c>
      <c r="J70" s="247" t="n">
        <v>0</v>
      </c>
      <c r="K70" s="247" t="n">
        <v>1514</v>
      </c>
      <c r="L70" s="247" t="n">
        <v>1518</v>
      </c>
      <c r="M70" s="247" t="n">
        <v>0</v>
      </c>
      <c r="N70" s="248" t="n">
        <v>-4</v>
      </c>
      <c r="P70" s="250" t="n"/>
      <c r="Q70" s="250" t="n">
        <v>10</v>
      </c>
      <c r="R70" s="250">
        <f>12+18+13+31</f>
        <v/>
      </c>
      <c r="S70" s="250" t="n"/>
      <c r="T70" s="250">
        <f>(P70*E70)+(Q70*F70)+R70+S70</f>
        <v/>
      </c>
      <c r="U70" s="250">
        <f>K70-T70</f>
        <v/>
      </c>
      <c r="V70" s="81">
        <f>SUMIF('SAP(B117)'!B:B,월마감!B:B,'SAP(B117)'!Q:Q)</f>
        <v/>
      </c>
      <c r="W70" s="81">
        <f>T70-V70</f>
        <v/>
      </c>
    </row>
    <row r="71" hidden="1" ht="16.5" customHeight="1" s="237">
      <c r="A71" s="9" t="n">
        <v>8099</v>
      </c>
      <c r="B71" s="9" t="inlineStr">
        <is>
          <t>GG8099</t>
        </is>
      </c>
      <c r="C71" s="29" t="inlineStr">
        <is>
          <t>조지아 고티카라떼 200CAN 5X6</t>
        </is>
      </c>
      <c r="D71" s="29" t="inlineStr">
        <is>
          <t>커피200캔</t>
        </is>
      </c>
      <c r="E71" s="9" t="n"/>
      <c r="F71" s="9" t="n">
        <v>144</v>
      </c>
      <c r="G71" s="245" t="n">
        <v>0</v>
      </c>
      <c r="H71" s="245" t="n">
        <v>0</v>
      </c>
      <c r="I71" s="245" t="n">
        <v>0</v>
      </c>
      <c r="J71" s="245" t="n">
        <v>0</v>
      </c>
      <c r="K71" s="245" t="n">
        <v>0</v>
      </c>
      <c r="L71" s="245" t="n">
        <v>0</v>
      </c>
      <c r="M71" s="245" t="n">
        <v>0</v>
      </c>
      <c r="N71" s="246" t="n">
        <v>0</v>
      </c>
      <c r="P71" s="0" t="n">
        <v>1</v>
      </c>
      <c r="T71" s="0">
        <f>(P71*E71)+(Q71*F71)+R71+S71</f>
        <v/>
      </c>
      <c r="U71" s="0">
        <f>K71-T71</f>
        <v/>
      </c>
      <c r="V71" s="0">
        <f>SUMIF('SAP(B117)'!B:B,월마감!B:B,'SAP(B117)'!Q:Q)</f>
        <v/>
      </c>
      <c r="W71" s="0">
        <f>T71-V71</f>
        <v/>
      </c>
    </row>
    <row r="72" hidden="1" ht="16.5" customHeight="1" s="237">
      <c r="A72" s="9" t="n">
        <v>4868</v>
      </c>
      <c r="B72" s="9" t="inlineStr">
        <is>
          <t>GG4868</t>
        </is>
      </c>
      <c r="C72" s="29" t="inlineStr">
        <is>
          <t>조지아 오리지널 240CAN X30</t>
        </is>
      </c>
      <c r="D72" s="29" t="inlineStr">
        <is>
          <t>커피240캔</t>
        </is>
      </c>
      <c r="E72" s="9" t="n">
        <v>99</v>
      </c>
      <c r="F72" s="9" t="n"/>
      <c r="G72" s="245" t="n">
        <v>0</v>
      </c>
      <c r="H72" s="245" t="n">
        <v>0</v>
      </c>
      <c r="I72" s="245" t="n">
        <v>0</v>
      </c>
      <c r="J72" s="245" t="n">
        <v>0</v>
      </c>
      <c r="K72" s="245" t="n">
        <v>0</v>
      </c>
      <c r="L72" s="245" t="n">
        <v>0</v>
      </c>
      <c r="M72" s="245" t="n">
        <v>0</v>
      </c>
      <c r="N72" s="246" t="n">
        <v>0</v>
      </c>
      <c r="P72" s="0" t="n">
        <v>1</v>
      </c>
      <c r="T72" s="0">
        <f>(P72*E72)+(Q72*F72)+R72+S72</f>
        <v/>
      </c>
      <c r="U72" s="0">
        <f>K72-T72</f>
        <v/>
      </c>
      <c r="V72" s="0">
        <f>SUMIF('SAP(B117)'!B:B,월마감!B:B,'SAP(B117)'!Q:Q)</f>
        <v/>
      </c>
      <c r="W72" s="0">
        <f>T72-V72</f>
        <v/>
      </c>
    </row>
    <row r="73" hidden="1" ht="16.5" customHeight="1" s="237">
      <c r="A73" s="9" t="n">
        <v>4869</v>
      </c>
      <c r="B73" s="9" t="inlineStr">
        <is>
          <t>GG4869</t>
        </is>
      </c>
      <c r="C73" s="29" t="inlineStr">
        <is>
          <t>조지아 카페라테 240CAN X30</t>
        </is>
      </c>
      <c r="D73" s="29" t="inlineStr">
        <is>
          <t>커피240캔</t>
        </is>
      </c>
      <c r="E73" s="9" t="n">
        <v>99</v>
      </c>
      <c r="F73" s="9" t="n"/>
      <c r="G73" s="245" t="n">
        <v>0</v>
      </c>
      <c r="H73" s="245" t="n">
        <v>0</v>
      </c>
      <c r="I73" s="245" t="n">
        <v>0</v>
      </c>
      <c r="J73" s="245" t="n">
        <v>0</v>
      </c>
      <c r="K73" s="245" t="n">
        <v>0</v>
      </c>
      <c r="L73" s="245" t="n">
        <v>0</v>
      </c>
      <c r="M73" s="245" t="n">
        <v>0</v>
      </c>
      <c r="N73" s="246" t="n">
        <v>0</v>
      </c>
      <c r="P73" s="0" t="n">
        <v>1</v>
      </c>
      <c r="T73" s="0">
        <f>(P73*E73)+(Q73*F73)+R73+S73</f>
        <v/>
      </c>
      <c r="U73" s="0">
        <f>K73-T73</f>
        <v/>
      </c>
      <c r="V73" s="0">
        <f>SUMIF('SAP(B117)'!B:B,월마감!B:B,'SAP(B117)'!Q:Q)</f>
        <v/>
      </c>
      <c r="W73" s="0">
        <f>T73-V73</f>
        <v/>
      </c>
    </row>
    <row r="74" hidden="1" ht="16.5" customHeight="1" s="237">
      <c r="A74" s="9" t="n">
        <v>4872</v>
      </c>
      <c r="B74" s="9" t="inlineStr">
        <is>
          <t>GG4872</t>
        </is>
      </c>
      <c r="C74" s="29" t="inlineStr">
        <is>
          <t>조지아 오리지널 240CAN 5X6</t>
        </is>
      </c>
      <c r="D74" s="29" t="inlineStr">
        <is>
          <t>커피240캔</t>
        </is>
      </c>
      <c r="E74" s="9" t="n">
        <v>99</v>
      </c>
      <c r="F74" s="9" t="n">
        <v>132</v>
      </c>
      <c r="G74" s="245" t="n">
        <v>0</v>
      </c>
      <c r="H74" s="245" t="n">
        <v>5016</v>
      </c>
      <c r="I74" s="245" t="n">
        <v>278</v>
      </c>
      <c r="J74" s="245" t="n">
        <v>0</v>
      </c>
      <c r="K74" s="245" t="n">
        <v>5294</v>
      </c>
      <c r="L74" s="245" t="n">
        <v>2922</v>
      </c>
      <c r="M74" s="245" t="n">
        <v>2376</v>
      </c>
      <c r="N74" s="246" t="n">
        <v>-3</v>
      </c>
      <c r="P74" s="0" t="n">
        <v>1</v>
      </c>
      <c r="T74" s="0">
        <f>(P74*E74)+(Q74*F74)+R74+S74</f>
        <v/>
      </c>
      <c r="U74" s="0">
        <f>K74-T74</f>
        <v/>
      </c>
      <c r="V74" s="0">
        <f>SUMIF('SAP(B117)'!B:B,월마감!B:B,'SAP(B117)'!Q:Q)</f>
        <v/>
      </c>
      <c r="W74" s="0">
        <f>T74-V74</f>
        <v/>
      </c>
    </row>
    <row r="75" hidden="1" ht="16.5" customHeight="1" s="237">
      <c r="A75" s="9" t="n">
        <v>4879</v>
      </c>
      <c r="B75" s="9" t="inlineStr">
        <is>
          <t>GG4879</t>
        </is>
      </c>
      <c r="C75" s="29" t="inlineStr">
        <is>
          <t>조지아 카페라테 240CAN 5X6</t>
        </is>
      </c>
      <c r="D75" s="29" t="inlineStr">
        <is>
          <t>커피240캔</t>
        </is>
      </c>
      <c r="E75" s="9" t="n">
        <v>99</v>
      </c>
      <c r="F75" s="9" t="n">
        <v>132</v>
      </c>
      <c r="G75" s="245" t="n">
        <v>0</v>
      </c>
      <c r="H75" s="245" t="n">
        <v>3036</v>
      </c>
      <c r="I75" s="245" t="n">
        <v>94</v>
      </c>
      <c r="J75" s="245" t="n">
        <v>33</v>
      </c>
      <c r="K75" s="245" t="n">
        <v>3163</v>
      </c>
      <c r="L75" s="245" t="n">
        <v>3165</v>
      </c>
      <c r="M75" s="245" t="n">
        <v>0</v>
      </c>
      <c r="N75" s="246" t="n">
        <v>-1</v>
      </c>
      <c r="P75" s="0" t="n">
        <v>1</v>
      </c>
      <c r="T75" s="0">
        <f>(P75*E75)+(Q75*F75)+R75+S75</f>
        <v/>
      </c>
      <c r="U75" s="0">
        <f>K75-T75</f>
        <v/>
      </c>
      <c r="V75" s="0">
        <f>SUMIF('SAP(B117)'!B:B,월마감!B:B,'SAP(B117)'!Q:Q)</f>
        <v/>
      </c>
      <c r="W75" s="0">
        <f>T75-V75</f>
        <v/>
      </c>
    </row>
    <row r="76" hidden="1" ht="16.5" customHeight="1" s="237">
      <c r="A76" s="9" t="n">
        <v>4885</v>
      </c>
      <c r="B76" s="9" t="inlineStr">
        <is>
          <t>GG4885</t>
        </is>
      </c>
      <c r="C76" s="29" t="inlineStr">
        <is>
          <t>조지아 맥스 240CAN X30</t>
        </is>
      </c>
      <c r="D76" s="29" t="inlineStr">
        <is>
          <t>커피240캔</t>
        </is>
      </c>
      <c r="E76" s="9" t="n">
        <v>99</v>
      </c>
      <c r="F76" s="9" t="n"/>
      <c r="G76" s="245" t="n">
        <v>0</v>
      </c>
      <c r="H76" s="245" t="n">
        <v>0</v>
      </c>
      <c r="I76" s="245" t="n">
        <v>0</v>
      </c>
      <c r="J76" s="245" t="n">
        <v>0</v>
      </c>
      <c r="K76" s="245" t="n">
        <v>0</v>
      </c>
      <c r="L76" s="245" t="n">
        <v>0</v>
      </c>
      <c r="M76" s="245" t="n">
        <v>0</v>
      </c>
      <c r="N76" s="246" t="n">
        <v>0</v>
      </c>
      <c r="P76" s="0" t="n">
        <v>1</v>
      </c>
      <c r="T76" s="0">
        <f>(P76*E76)+(Q76*F76)+R76+S76</f>
        <v/>
      </c>
      <c r="U76" s="0">
        <f>K76-T76</f>
        <v/>
      </c>
      <c r="V76" s="0">
        <f>SUMIF('SAP(B117)'!B:B,월마감!B:B,'SAP(B117)'!Q:Q)</f>
        <v/>
      </c>
      <c r="W76" s="0">
        <f>T76-V76</f>
        <v/>
      </c>
    </row>
    <row r="77" hidden="1" ht="16.5" customHeight="1" s="237">
      <c r="A77" s="9" t="n">
        <v>4899</v>
      </c>
      <c r="B77" s="9" t="inlineStr">
        <is>
          <t>GG4899</t>
        </is>
      </c>
      <c r="C77" s="29" t="inlineStr">
        <is>
          <t>조지아 맥스 240CAN 5X6</t>
        </is>
      </c>
      <c r="D77" s="29" t="inlineStr">
        <is>
          <t>커피240캔</t>
        </is>
      </c>
      <c r="E77" s="9" t="n">
        <v>99</v>
      </c>
      <c r="F77" s="9" t="n">
        <v>132</v>
      </c>
      <c r="G77" s="245" t="n">
        <v>0</v>
      </c>
      <c r="H77" s="245" t="n">
        <v>2508</v>
      </c>
      <c r="I77" s="245" t="n">
        <v>388</v>
      </c>
      <c r="J77" s="245" t="n">
        <v>0</v>
      </c>
      <c r="K77" s="245" t="n">
        <v>2896</v>
      </c>
      <c r="L77" s="245" t="n">
        <v>2896</v>
      </c>
      <c r="M77" s="245" t="n">
        <v>0</v>
      </c>
      <c r="N77" s="246" t="n">
        <v>0</v>
      </c>
      <c r="P77" s="0" t="n">
        <v>1</v>
      </c>
      <c r="T77" s="0">
        <f>(P77*E77)+(Q77*F77)+R77+S77</f>
        <v/>
      </c>
      <c r="U77" s="0">
        <f>K77-T77</f>
        <v/>
      </c>
      <c r="V77" s="0">
        <f>SUMIF('SAP(B117)'!B:B,월마감!B:B,'SAP(B117)'!Q:Q)</f>
        <v/>
      </c>
      <c r="W77" s="0">
        <f>T77-V77</f>
        <v/>
      </c>
    </row>
    <row r="78" hidden="1" ht="16.5" customHeight="1" s="237">
      <c r="A78" s="9" t="n">
        <v>4978</v>
      </c>
      <c r="B78" s="9" t="inlineStr">
        <is>
          <t>GG4978</t>
        </is>
      </c>
      <c r="C78" s="29" t="inlineStr">
        <is>
          <t>조지아 카라멜마끼 240CAN X30</t>
        </is>
      </c>
      <c r="D78" s="29" t="inlineStr">
        <is>
          <t>커피240캔</t>
        </is>
      </c>
      <c r="E78" s="9" t="n">
        <v>99</v>
      </c>
      <c r="F78" s="9" t="n"/>
      <c r="G78" s="245" t="n">
        <v>0</v>
      </c>
      <c r="H78" s="245" t="n">
        <v>0</v>
      </c>
      <c r="I78" s="245" t="n">
        <v>0</v>
      </c>
      <c r="J78" s="245" t="n">
        <v>0</v>
      </c>
      <c r="K78" s="245" t="n">
        <v>0</v>
      </c>
      <c r="L78" s="245" t="n">
        <v>0</v>
      </c>
      <c r="M78" s="245" t="n">
        <v>0</v>
      </c>
      <c r="N78" s="246" t="n">
        <v>0</v>
      </c>
      <c r="P78" s="0" t="n">
        <v>1</v>
      </c>
      <c r="T78" s="0">
        <f>(P78*E78)+(Q78*F78)+R78+S78</f>
        <v/>
      </c>
      <c r="U78" s="0">
        <f>K78-T78</f>
        <v/>
      </c>
      <c r="V78" s="0">
        <f>SUMIF('SAP(B117)'!B:B,월마감!B:B,'SAP(B117)'!Q:Q)</f>
        <v/>
      </c>
      <c r="W78" s="0">
        <f>T78-V78</f>
        <v/>
      </c>
    </row>
    <row r="79" hidden="1" ht="16.5" customHeight="1" s="237">
      <c r="A79" s="9" t="n">
        <v>4982</v>
      </c>
      <c r="B79" s="9" t="inlineStr">
        <is>
          <t>GG4982</t>
        </is>
      </c>
      <c r="C79" s="29" t="inlineStr">
        <is>
          <t>조지아 카페오레 240CAN X30</t>
        </is>
      </c>
      <c r="D79" s="29" t="inlineStr">
        <is>
          <t>커피240캔</t>
        </is>
      </c>
      <c r="E79" s="9" t="n">
        <v>99</v>
      </c>
      <c r="F79" s="9" t="n"/>
      <c r="G79" s="245" t="n">
        <v>0</v>
      </c>
      <c r="H79" s="245" t="n">
        <v>0</v>
      </c>
      <c r="I79" s="245" t="n">
        <v>0</v>
      </c>
      <c r="J79" s="245" t="n">
        <v>0</v>
      </c>
      <c r="K79" s="245" t="n">
        <v>0</v>
      </c>
      <c r="L79" s="245" t="n">
        <v>0</v>
      </c>
      <c r="M79" s="245" t="n">
        <v>0</v>
      </c>
      <c r="N79" s="246" t="n">
        <v>0</v>
      </c>
      <c r="P79" s="0" t="n">
        <v>1</v>
      </c>
      <c r="T79" s="0">
        <f>(P79*E79)+(Q79*F79)+R79+S79</f>
        <v/>
      </c>
      <c r="U79" s="0">
        <f>K79-T79</f>
        <v/>
      </c>
      <c r="V79" s="0">
        <f>SUMIF('SAP(B117)'!B:B,월마감!B:B,'SAP(B117)'!Q:Q)</f>
        <v/>
      </c>
      <c r="W79" s="0">
        <f>T79-V79</f>
        <v/>
      </c>
    </row>
    <row r="80" hidden="1" ht="16.5" customHeight="1" s="237">
      <c r="A80" s="9" t="n">
        <v>4983</v>
      </c>
      <c r="B80" s="9" t="inlineStr">
        <is>
          <t>GG4983</t>
        </is>
      </c>
      <c r="C80" s="29" t="inlineStr">
        <is>
          <t>조지아 카페오레 240CAN 5X6</t>
        </is>
      </c>
      <c r="D80" s="29" t="inlineStr">
        <is>
          <t>커피240캔</t>
        </is>
      </c>
      <c r="E80" s="9" t="n">
        <v>99</v>
      </c>
      <c r="F80" s="9" t="n">
        <v>132</v>
      </c>
      <c r="G80" s="245" t="n">
        <v>0</v>
      </c>
      <c r="H80" s="245" t="n">
        <v>0</v>
      </c>
      <c r="I80" s="245" t="n">
        <v>0</v>
      </c>
      <c r="J80" s="245" t="n">
        <v>0</v>
      </c>
      <c r="K80" s="245" t="n">
        <v>0</v>
      </c>
      <c r="L80" s="245" t="n">
        <v>0</v>
      </c>
      <c r="M80" s="245" t="n">
        <v>0</v>
      </c>
      <c r="N80" s="246" t="n">
        <v>0</v>
      </c>
      <c r="P80" s="0" t="n">
        <v>1</v>
      </c>
      <c r="T80" s="0">
        <f>(P80*E80)+(Q80*F80)+R80+S80</f>
        <v/>
      </c>
      <c r="U80" s="0">
        <f>K80-T80</f>
        <v/>
      </c>
      <c r="V80" s="0">
        <f>SUMIF('SAP(B117)'!B:B,월마감!B:B,'SAP(B117)'!Q:Q)</f>
        <v/>
      </c>
      <c r="W80" s="0">
        <f>T80-V80</f>
        <v/>
      </c>
    </row>
    <row r="81" hidden="1" ht="16.5" customHeight="1" s="237">
      <c r="A81" s="9" t="n">
        <v>8146</v>
      </c>
      <c r="B81" s="9" t="inlineStr">
        <is>
          <t>GG8146</t>
        </is>
      </c>
      <c r="C81" s="29" t="inlineStr">
        <is>
          <t>S)조지아 EMB더블랙 270BTC 4X6</t>
        </is>
      </c>
      <c r="D81" s="29" t="inlineStr">
        <is>
          <t>커피270</t>
        </is>
      </c>
      <c r="E81" s="9" t="n"/>
      <c r="F81" s="9" t="n">
        <v>88</v>
      </c>
      <c r="G81" s="245" t="n">
        <v>0</v>
      </c>
      <c r="H81" s="245" t="n">
        <v>0</v>
      </c>
      <c r="I81" s="245" t="n">
        <v>0</v>
      </c>
      <c r="J81" s="245" t="n">
        <v>0</v>
      </c>
      <c r="K81" s="245" t="n">
        <v>0</v>
      </c>
      <c r="L81" s="245" t="n">
        <v>0</v>
      </c>
      <c r="M81" s="245" t="n">
        <v>0</v>
      </c>
      <c r="N81" s="246" t="n">
        <v>0</v>
      </c>
      <c r="P81" s="0" t="n">
        <v>1</v>
      </c>
      <c r="T81" s="0">
        <f>(P81*E81)+(Q81*F81)+R81+S81</f>
        <v/>
      </c>
      <c r="U81" s="0">
        <f>K81-T81</f>
        <v/>
      </c>
      <c r="V81" s="0">
        <f>SUMIF('SAP(B117)'!B:B,월마감!B:B,'SAP(B117)'!Q:Q)</f>
        <v/>
      </c>
      <c r="W81" s="0">
        <f>T81-V81</f>
        <v/>
      </c>
    </row>
    <row r="82" hidden="1" ht="16.5" customHeight="1" s="237">
      <c r="A82" s="9" t="n">
        <v>8147</v>
      </c>
      <c r="B82" s="9" t="inlineStr">
        <is>
          <t>GG8147</t>
        </is>
      </c>
      <c r="C82" s="29" t="inlineStr">
        <is>
          <t>S)조지아 EMB에스 270BTC 4X6</t>
        </is>
      </c>
      <c r="D82" s="29" t="inlineStr">
        <is>
          <t>커피270</t>
        </is>
      </c>
      <c r="E82" s="9" t="n"/>
      <c r="F82" s="9" t="n">
        <v>88</v>
      </c>
      <c r="G82" s="245" t="n">
        <v>0</v>
      </c>
      <c r="H82" s="245" t="n">
        <v>0</v>
      </c>
      <c r="I82" s="245" t="n">
        <v>0</v>
      </c>
      <c r="J82" s="245" t="n">
        <v>0</v>
      </c>
      <c r="K82" s="245" t="n">
        <v>0</v>
      </c>
      <c r="L82" s="245" t="n">
        <v>0</v>
      </c>
      <c r="M82" s="245" t="n">
        <v>0</v>
      </c>
      <c r="N82" s="246" t="n">
        <v>0</v>
      </c>
      <c r="P82" s="0" t="n">
        <v>1</v>
      </c>
      <c r="T82" s="0">
        <f>(P82*E82)+(Q82*F82)+R82+S82</f>
        <v/>
      </c>
      <c r="U82" s="0">
        <f>K82-T82</f>
        <v/>
      </c>
      <c r="V82" s="0">
        <f>SUMIF('SAP(B117)'!B:B,월마감!B:B,'SAP(B117)'!Q:Q)</f>
        <v/>
      </c>
      <c r="W82" s="0">
        <f>T82-V82</f>
        <v/>
      </c>
    </row>
    <row r="83" hidden="1" ht="16.5" customHeight="1" s="237">
      <c r="A83" s="9" t="n">
        <v>8148</v>
      </c>
      <c r="B83" s="9" t="inlineStr">
        <is>
          <t>GG8148</t>
        </is>
      </c>
      <c r="C83" s="29" t="inlineStr">
        <is>
          <t>S)조지아 EMB라떼 270BTC 4X6</t>
        </is>
      </c>
      <c r="D83" s="29" t="inlineStr">
        <is>
          <t>커피270</t>
        </is>
      </c>
      <c r="E83" s="9" t="n"/>
      <c r="F83" s="9" t="n">
        <v>88</v>
      </c>
      <c r="G83" s="245" t="n">
        <v>0</v>
      </c>
      <c r="H83" s="245" t="n">
        <v>0</v>
      </c>
      <c r="I83" s="245" t="n">
        <v>0</v>
      </c>
      <c r="J83" s="245" t="n">
        <v>0</v>
      </c>
      <c r="K83" s="245" t="n">
        <v>0</v>
      </c>
      <c r="L83" s="245" t="n">
        <v>0</v>
      </c>
      <c r="M83" s="245" t="n">
        <v>0</v>
      </c>
      <c r="N83" s="246" t="n">
        <v>0</v>
      </c>
      <c r="P83" s="0" t="n">
        <v>1</v>
      </c>
      <c r="T83" s="0">
        <f>(P83*E83)+(Q83*F83)+R83+S83</f>
        <v/>
      </c>
      <c r="U83" s="0">
        <f>K83-T83</f>
        <v/>
      </c>
      <c r="V83" s="0">
        <f>SUMIF('SAP(B117)'!B:B,월마감!B:B,'SAP(B117)'!Q:Q)</f>
        <v/>
      </c>
      <c r="W83" s="0">
        <f>T83-V83</f>
        <v/>
      </c>
    </row>
    <row r="84" customFormat="1" s="60">
      <c r="A84" s="9" t="n">
        <v>8082</v>
      </c>
      <c r="B84" s="77" t="inlineStr">
        <is>
          <t>GG8082</t>
        </is>
      </c>
      <c r="C84" s="78" t="inlineStr">
        <is>
          <t>S)조지아 고티카블랙 270BTC 4X6</t>
        </is>
      </c>
      <c r="D84" s="29" t="inlineStr">
        <is>
          <t>커피270</t>
        </is>
      </c>
      <c r="E84" s="77" t="n"/>
      <c r="F84" s="77" t="n">
        <v>88</v>
      </c>
      <c r="G84" s="247" t="n">
        <v>0</v>
      </c>
      <c r="H84" s="247" t="n">
        <v>1936</v>
      </c>
      <c r="I84" s="247" t="n">
        <v>208</v>
      </c>
      <c r="J84" s="247" t="n">
        <v>0</v>
      </c>
      <c r="K84" s="247" t="n">
        <v>2144</v>
      </c>
      <c r="L84" s="247" t="n">
        <v>2050</v>
      </c>
      <c r="M84" s="247" t="n">
        <v>88</v>
      </c>
      <c r="N84" s="248" t="n">
        <v>6</v>
      </c>
      <c r="P84" s="250" t="n"/>
      <c r="Q84" s="250">
        <f>10+12</f>
        <v/>
      </c>
      <c r="R84" s="250">
        <f>36+48+59+62</f>
        <v/>
      </c>
      <c r="S84" s="250" t="n"/>
      <c r="T84" s="250">
        <f>(P84*E84)+(Q84*F84)+R84+S84</f>
        <v/>
      </c>
      <c r="U84" s="250">
        <f>K84-T84</f>
        <v/>
      </c>
      <c r="V84" s="81">
        <f>SUMIF('SAP(B117)'!B:B,월마감!B:B,'SAP(B117)'!Q:Q)</f>
        <v/>
      </c>
      <c r="W84" s="81">
        <f>T84-V84</f>
        <v/>
      </c>
    </row>
    <row r="85" hidden="1" ht="16.5" customHeight="1" s="237">
      <c r="A85" s="9" t="n">
        <v>8084</v>
      </c>
      <c r="B85" s="9" t="inlineStr">
        <is>
          <t>GG8084</t>
        </is>
      </c>
      <c r="C85" s="29" t="inlineStr">
        <is>
          <t>S)조지아 고티카라떼 270BTC 4X6</t>
        </is>
      </c>
      <c r="D85" s="29" t="inlineStr">
        <is>
          <t>커피270</t>
        </is>
      </c>
      <c r="E85" s="9" t="n">
        <v>40</v>
      </c>
      <c r="F85" s="9" t="n">
        <v>88</v>
      </c>
      <c r="G85" s="245" t="n">
        <v>0</v>
      </c>
      <c r="H85" s="245" t="n">
        <v>0</v>
      </c>
      <c r="I85" s="245" t="n">
        <v>0</v>
      </c>
      <c r="J85" s="245" t="n">
        <v>0</v>
      </c>
      <c r="K85" s="245" t="n">
        <v>0</v>
      </c>
      <c r="L85" s="245" t="n">
        <v>0</v>
      </c>
      <c r="M85" s="245" t="n">
        <v>0</v>
      </c>
      <c r="N85" s="246" t="n">
        <v>0</v>
      </c>
      <c r="P85" s="0" t="n">
        <v>1</v>
      </c>
      <c r="T85" s="0">
        <f>(P85*E85)+(Q85*F85)+R85+S85</f>
        <v/>
      </c>
      <c r="U85" s="0">
        <f>K85-T85</f>
        <v/>
      </c>
      <c r="V85" s="0">
        <f>SUMIF('SAP(B117)'!B:B,월마감!B:B,'SAP(B117)'!Q:Q)</f>
        <v/>
      </c>
      <c r="W85" s="0">
        <f>T85-V85</f>
        <v/>
      </c>
    </row>
    <row r="86" hidden="1" ht="16.5" customHeight="1" s="237">
      <c r="A86" s="9" t="n">
        <v>8086</v>
      </c>
      <c r="B86" s="9" t="inlineStr">
        <is>
          <t>GG8086</t>
        </is>
      </c>
      <c r="C86" s="29" t="inlineStr">
        <is>
          <t>S)조지아 고티카아메 270BTC 4X6</t>
        </is>
      </c>
      <c r="D86" s="29" t="inlineStr">
        <is>
          <t>커피270</t>
        </is>
      </c>
      <c r="E86" s="9" t="n"/>
      <c r="F86" s="9" t="n">
        <v>88</v>
      </c>
      <c r="G86" s="245" t="n">
        <v>0</v>
      </c>
      <c r="H86" s="245" t="n">
        <v>968</v>
      </c>
      <c r="I86" s="245" t="n">
        <v>190</v>
      </c>
      <c r="J86" s="245" t="n">
        <v>0</v>
      </c>
      <c r="K86" s="245" t="n">
        <v>1158</v>
      </c>
      <c r="L86" s="245" t="n">
        <v>1158</v>
      </c>
      <c r="M86" s="245" t="n">
        <v>0</v>
      </c>
      <c r="N86" s="246" t="n">
        <v>0</v>
      </c>
      <c r="P86" s="0" t="n">
        <v>1</v>
      </c>
      <c r="T86" s="0">
        <f>(P86*E86)+(Q86*F86)+R86+S86</f>
        <v/>
      </c>
      <c r="U86" s="0">
        <f>K86-T86</f>
        <v/>
      </c>
      <c r="V86" s="0">
        <f>SUMIF('SAP(B117)'!B:B,월마감!B:B,'SAP(B117)'!Q:Q)</f>
        <v/>
      </c>
      <c r="W86" s="0">
        <f>T86-V86</f>
        <v/>
      </c>
    </row>
    <row r="87" hidden="1" ht="16.5" customHeight="1" s="237">
      <c r="A87" s="9" t="n">
        <v>8167</v>
      </c>
      <c r="B87" s="9" t="inlineStr">
        <is>
          <t>GG8167</t>
        </is>
      </c>
      <c r="C87" s="29" t="inlineStr">
        <is>
          <t>S)고티카 마스터스 라떼270B 4X6</t>
        </is>
      </c>
      <c r="D87" s="29" t="inlineStr">
        <is>
          <t>커피270</t>
        </is>
      </c>
      <c r="E87" s="9" t="n"/>
      <c r="F87" s="9" t="n">
        <v>88</v>
      </c>
      <c r="G87" s="245" t="n">
        <v>0</v>
      </c>
      <c r="H87" s="245" t="n">
        <v>968</v>
      </c>
      <c r="I87" s="245" t="n">
        <v>202</v>
      </c>
      <c r="J87" s="245" t="n">
        <v>0</v>
      </c>
      <c r="K87" s="245" t="n">
        <v>1170</v>
      </c>
      <c r="L87" s="245" t="n">
        <v>1085</v>
      </c>
      <c r="M87" s="245" t="n">
        <v>88</v>
      </c>
      <c r="N87" s="246" t="n">
        <v>-3</v>
      </c>
      <c r="P87" s="0" t="n">
        <v>1</v>
      </c>
      <c r="T87" s="0">
        <f>(P87*E87)+(Q87*F87)+R87+S87</f>
        <v/>
      </c>
      <c r="U87" s="0">
        <f>K87-T87</f>
        <v/>
      </c>
      <c r="V87" s="0">
        <f>SUMIF('SAP(B117)'!B:B,월마감!B:B,'SAP(B117)'!Q:Q)</f>
        <v/>
      </c>
      <c r="W87" s="0">
        <f>T87-V87</f>
        <v/>
      </c>
    </row>
    <row r="88" hidden="1" ht="16.5" customHeight="1" s="237">
      <c r="A88" s="9" t="n">
        <v>8085</v>
      </c>
      <c r="B88" s="9" t="inlineStr">
        <is>
          <t>GG8085</t>
        </is>
      </c>
      <c r="C88" s="29" t="inlineStr">
        <is>
          <t>조지아 고티카아메 270BTC X20</t>
        </is>
      </c>
      <c r="D88" s="29" t="inlineStr">
        <is>
          <t>커피270</t>
        </is>
      </c>
      <c r="E88" s="9" t="n"/>
      <c r="F88" s="9" t="n">
        <v>110</v>
      </c>
      <c r="G88" s="245" t="n">
        <v>0</v>
      </c>
      <c r="H88" s="245" t="n">
        <v>0</v>
      </c>
      <c r="I88" s="245" t="n">
        <v>0</v>
      </c>
      <c r="J88" s="245" t="n">
        <v>0</v>
      </c>
      <c r="K88" s="245" t="n">
        <v>0</v>
      </c>
      <c r="L88" s="245" t="n">
        <v>0</v>
      </c>
      <c r="M88" s="245" t="n">
        <v>0</v>
      </c>
      <c r="N88" s="246" t="n">
        <v>0</v>
      </c>
      <c r="P88" s="0" t="n">
        <v>1</v>
      </c>
      <c r="T88" s="0">
        <f>(P88*E88)+(Q88*F88)+R88+S88</f>
        <v/>
      </c>
      <c r="U88" s="0">
        <f>K88-T88</f>
        <v/>
      </c>
      <c r="V88" s="0">
        <f>SUMIF('SAP(B117)'!B:B,월마감!B:B,'SAP(B117)'!Q:Q)</f>
        <v/>
      </c>
      <c r="W88" s="0">
        <f>T88-V88</f>
        <v/>
      </c>
    </row>
    <row r="89" hidden="1" ht="16.5" customHeight="1" s="237">
      <c r="A89" s="9" t="n">
        <v>8072</v>
      </c>
      <c r="B89" s="9" t="inlineStr">
        <is>
          <t>GG8072</t>
        </is>
      </c>
      <c r="C89" s="29" t="inlineStr">
        <is>
          <t>S)조지아 고티카블랙 390BTC 4X6</t>
        </is>
      </c>
      <c r="D89" s="29" t="inlineStr">
        <is>
          <t>커피390</t>
        </is>
      </c>
      <c r="E89" s="9" t="n"/>
      <c r="F89" s="9" t="n">
        <v>64</v>
      </c>
      <c r="G89" s="245" t="n">
        <v>0</v>
      </c>
      <c r="H89" s="245" t="n">
        <v>1024</v>
      </c>
      <c r="I89" s="245" t="n">
        <v>61</v>
      </c>
      <c r="J89" s="245" t="n">
        <v>0</v>
      </c>
      <c r="K89" s="245" t="n">
        <v>1085</v>
      </c>
      <c r="L89" s="245" t="n">
        <v>1083</v>
      </c>
      <c r="M89" s="245" t="n">
        <v>0</v>
      </c>
      <c r="N89" s="246" t="n">
        <v>2</v>
      </c>
      <c r="P89" s="0" t="n">
        <v>1</v>
      </c>
      <c r="T89" s="0">
        <f>(P89*E89)+(Q89*F89)+R89+S89</f>
        <v/>
      </c>
      <c r="U89" s="0">
        <f>K89-T89</f>
        <v/>
      </c>
      <c r="V89" s="0">
        <f>SUMIF('SAP(B117)'!B:B,월마감!B:B,'SAP(B117)'!Q:Q)</f>
        <v/>
      </c>
      <c r="W89" s="0">
        <f>T89-V89</f>
        <v/>
      </c>
    </row>
    <row r="90" customFormat="1" s="60">
      <c r="A90" s="9" t="n">
        <v>8074</v>
      </c>
      <c r="B90" s="77" t="inlineStr">
        <is>
          <t>GG8074</t>
        </is>
      </c>
      <c r="C90" s="78" t="inlineStr">
        <is>
          <t>S)조지아 고티카아메 390BTC 4X6</t>
        </is>
      </c>
      <c r="D90" s="29" t="inlineStr">
        <is>
          <t>커피390</t>
        </is>
      </c>
      <c r="E90" s="77" t="n"/>
      <c r="F90" s="77" t="n">
        <v>64</v>
      </c>
      <c r="G90" s="247" t="n">
        <v>0</v>
      </c>
      <c r="H90" s="247" t="n">
        <v>704</v>
      </c>
      <c r="I90" s="247" t="n">
        <v>64</v>
      </c>
      <c r="J90" s="247" t="n">
        <v>0</v>
      </c>
      <c r="K90" s="247" t="n">
        <v>768</v>
      </c>
      <c r="L90" s="247" t="n">
        <v>772</v>
      </c>
      <c r="M90" s="247" t="n">
        <v>0</v>
      </c>
      <c r="N90" s="248" t="n">
        <v>-4</v>
      </c>
      <c r="P90" s="250" t="n"/>
      <c r="Q90" s="250" t="n">
        <v>11</v>
      </c>
      <c r="R90" s="250">
        <f>42+22</f>
        <v/>
      </c>
      <c r="S90" s="250" t="n"/>
      <c r="T90" s="250">
        <f>(P90*E90)+(Q90*F90)+R90+S90</f>
        <v/>
      </c>
      <c r="U90" s="250">
        <f>K90-T90</f>
        <v/>
      </c>
      <c r="V90" s="81">
        <f>SUMIF('SAP(B117)'!B:B,월마감!B:B,'SAP(B117)'!Q:Q)</f>
        <v/>
      </c>
      <c r="W90" s="81">
        <f>T90-V90</f>
        <v/>
      </c>
    </row>
    <row r="91">
      <c r="A91" s="9" t="inlineStr">
        <is>
          <t>GG8143</t>
        </is>
      </c>
      <c r="B91" s="66" t="inlineStr">
        <is>
          <t>GG8143</t>
        </is>
      </c>
      <c r="C91" s="67" t="inlineStr">
        <is>
          <t>S)고티카 마스터스 라떼390B 4X6</t>
        </is>
      </c>
      <c r="D91" s="29" t="inlineStr">
        <is>
          <t>커피390</t>
        </is>
      </c>
      <c r="E91" s="66" t="n"/>
      <c r="F91" s="66" t="n">
        <v>64</v>
      </c>
      <c r="G91" s="245" t="n">
        <v>0</v>
      </c>
      <c r="H91" s="245" t="n">
        <v>64</v>
      </c>
      <c r="I91" s="245" t="n">
        <v>79</v>
      </c>
      <c r="J91" s="245" t="n">
        <v>13</v>
      </c>
      <c r="K91" s="245" t="n">
        <v>156</v>
      </c>
      <c r="L91" s="245" t="n">
        <v>145</v>
      </c>
      <c r="M91" s="245" t="n">
        <v>0</v>
      </c>
      <c r="N91" s="246" t="n">
        <v>11</v>
      </c>
      <c r="P91" s="252" t="n"/>
      <c r="Q91" s="252" t="n">
        <v>1</v>
      </c>
      <c r="R91" s="252">
        <f>50+18+11</f>
        <v/>
      </c>
      <c r="S91" s="252" t="n"/>
      <c r="T91" s="252">
        <f>(P91*E91)+(Q91*F91)+R91+S91</f>
        <v/>
      </c>
      <c r="U91" s="252">
        <f>K91-T91</f>
        <v/>
      </c>
      <c r="V91" s="76">
        <f>SUMIF('SAP(B117)'!B:B,월마감!B:B,'SAP(B117)'!Q:Q)</f>
        <v/>
      </c>
      <c r="W91" s="76">
        <f>T91-V91</f>
        <v/>
      </c>
    </row>
    <row r="92" hidden="1" ht="16.5" customHeight="1" s="237">
      <c r="A92" s="9" t="n">
        <v>62</v>
      </c>
      <c r="B92" s="9" t="inlineStr">
        <is>
          <t>CC0062</t>
        </is>
      </c>
      <c r="C92" s="29" t="inlineStr">
        <is>
          <t>QSR)코카콜라 1.25PET X12</t>
        </is>
      </c>
      <c r="D92" s="29" t="inlineStr">
        <is>
          <t>탄산1.25PET</t>
        </is>
      </c>
      <c r="E92" s="9" t="n"/>
      <c r="F92" s="9" t="n"/>
      <c r="G92" s="245" t="n">
        <v>0</v>
      </c>
      <c r="H92" s="245" t="n">
        <v>0</v>
      </c>
      <c r="I92" s="245" t="n">
        <v>0</v>
      </c>
      <c r="J92" s="245" t="n">
        <v>0</v>
      </c>
      <c r="K92" s="245" t="n">
        <v>0</v>
      </c>
      <c r="L92" s="245" t="n">
        <v>0</v>
      </c>
      <c r="M92" s="245" t="n">
        <v>0</v>
      </c>
      <c r="N92" s="246" t="n">
        <v>0</v>
      </c>
      <c r="P92" s="0" t="n">
        <v>1</v>
      </c>
      <c r="T92" s="0">
        <f>(P92*E92)+(Q92*F92)+R92+S92</f>
        <v/>
      </c>
      <c r="U92" s="0">
        <f>K92-T92</f>
        <v/>
      </c>
      <c r="V92" s="0">
        <f>SUMIF('SAP(B117)'!B:B,월마감!B:B,'SAP(B117)'!Q:Q)</f>
        <v/>
      </c>
      <c r="W92" s="0">
        <f>T92-V92</f>
        <v/>
      </c>
    </row>
    <row r="93" hidden="1" ht="16.5" customHeight="1" s="237">
      <c r="A93" s="9" t="n">
        <v>5618</v>
      </c>
      <c r="B93" s="9" t="inlineStr">
        <is>
          <t>CT5618</t>
        </is>
      </c>
      <c r="C93" s="29" t="inlineStr">
        <is>
          <t>코크+환타오렌지 1.25PET 6X2</t>
        </is>
      </c>
      <c r="D93" s="29" t="inlineStr">
        <is>
          <t>탄산1.25PET</t>
        </is>
      </c>
      <c r="E93" s="9" t="n"/>
      <c r="F93" s="9" t="n">
        <v>44</v>
      </c>
      <c r="G93" s="245" t="n">
        <v>0</v>
      </c>
      <c r="H93" s="245" t="n">
        <v>0</v>
      </c>
      <c r="I93" s="245" t="n">
        <v>0</v>
      </c>
      <c r="J93" s="245" t="n">
        <v>0</v>
      </c>
      <c r="K93" s="245" t="n">
        <v>0</v>
      </c>
      <c r="L93" s="245" t="n">
        <v>0</v>
      </c>
      <c r="M93" s="245" t="n">
        <v>0</v>
      </c>
      <c r="N93" s="246" t="n">
        <v>0</v>
      </c>
      <c r="P93" s="0" t="n">
        <v>1</v>
      </c>
      <c r="T93" s="0">
        <f>(P93*E93)+(Q93*F93)+R93+S93</f>
        <v/>
      </c>
      <c r="U93" s="0">
        <f>K93-T93</f>
        <v/>
      </c>
      <c r="V93" s="0">
        <f>SUMIF('SAP(B117)'!B:B,월마감!B:B,'SAP(B117)'!Q:Q)</f>
        <v/>
      </c>
      <c r="W93" s="0">
        <f>T93-V93</f>
        <v/>
      </c>
    </row>
    <row r="94" hidden="1" ht="16.5" customHeight="1" s="237">
      <c r="A94" s="9" t="n">
        <v>4549</v>
      </c>
      <c r="B94" s="9" t="inlineStr">
        <is>
          <t>AB4549</t>
        </is>
      </c>
      <c r="C94" s="29" t="inlineStr">
        <is>
          <t>암바사 1.5PET X12</t>
        </is>
      </c>
      <c r="D94" s="29" t="inlineStr">
        <is>
          <t>탄산1.5PET</t>
        </is>
      </c>
      <c r="E94" s="9" t="n">
        <v>32</v>
      </c>
      <c r="F94" s="9" t="n">
        <v>44</v>
      </c>
      <c r="G94" s="245" t="n">
        <v>0</v>
      </c>
      <c r="H94" s="245" t="n">
        <v>0</v>
      </c>
      <c r="I94" s="245" t="n">
        <v>0</v>
      </c>
      <c r="J94" s="245" t="n">
        <v>0</v>
      </c>
      <c r="K94" s="245" t="n">
        <v>0</v>
      </c>
      <c r="L94" s="245" t="n">
        <v>0</v>
      </c>
      <c r="M94" s="245" t="n">
        <v>0</v>
      </c>
      <c r="N94" s="246" t="n">
        <v>0</v>
      </c>
      <c r="P94" s="0" t="n">
        <v>1</v>
      </c>
      <c r="T94" s="0">
        <f>(P94*E94)+(Q94*F94)+R94+S94</f>
        <v/>
      </c>
      <c r="U94" s="0">
        <f>K94-T94</f>
        <v/>
      </c>
      <c r="V94" s="0">
        <f>SUMIF('SAP(B117)'!B:B,월마감!B:B,'SAP(B117)'!Q:Q)</f>
        <v/>
      </c>
      <c r="W94" s="0">
        <f>T94-V94</f>
        <v/>
      </c>
    </row>
    <row r="95" hidden="1" ht="16.5" customHeight="1" s="237">
      <c r="A95" s="9" t="n">
        <v>6309</v>
      </c>
      <c r="B95" s="9" t="inlineStr">
        <is>
          <t>CC6309</t>
        </is>
      </c>
      <c r="C95" s="29" t="inlineStr">
        <is>
          <t>코카콜라 1.5PET X12</t>
        </is>
      </c>
      <c r="D95" s="29" t="inlineStr">
        <is>
          <t>탄산1.5PET</t>
        </is>
      </c>
      <c r="E95" s="9" t="n">
        <v>40</v>
      </c>
      <c r="F95" s="9" t="n">
        <v>44</v>
      </c>
      <c r="G95" s="245" t="n">
        <v>0</v>
      </c>
      <c r="H95" s="245" t="n">
        <v>0</v>
      </c>
      <c r="I95" s="245" t="n">
        <v>0</v>
      </c>
      <c r="J95" s="245" t="n">
        <v>0</v>
      </c>
      <c r="K95" s="245" t="n">
        <v>0</v>
      </c>
      <c r="L95" s="245" t="n">
        <v>0</v>
      </c>
      <c r="M95" s="245" t="n">
        <v>0</v>
      </c>
      <c r="N95" s="246" t="n">
        <v>0</v>
      </c>
      <c r="P95" s="0" t="n">
        <v>1</v>
      </c>
      <c r="T95" s="0">
        <f>(P95*E95)+(Q95*F95)+R95+S95</f>
        <v/>
      </c>
      <c r="U95" s="0">
        <f>K95-T95</f>
        <v/>
      </c>
      <c r="V95" s="0">
        <f>SUMIF('SAP(B117)'!B:B,월마감!B:B,'SAP(B117)'!Q:Q)</f>
        <v/>
      </c>
      <c r="W95" s="0">
        <f>T95-V95</f>
        <v/>
      </c>
    </row>
    <row r="96" hidden="1" ht="16.5" customHeight="1" s="237">
      <c r="A96" s="9" t="n">
        <v>6335</v>
      </c>
      <c r="B96" s="9" t="inlineStr">
        <is>
          <t>FT6335</t>
        </is>
      </c>
      <c r="C96" s="29" t="inlineStr">
        <is>
          <t>환타 파인 1.5PET X12</t>
        </is>
      </c>
      <c r="D96" s="29" t="inlineStr">
        <is>
          <t>탄산1.5PET</t>
        </is>
      </c>
      <c r="E96" s="9" t="n">
        <v>32</v>
      </c>
      <c r="F96" s="9" t="n"/>
      <c r="G96" s="245" t="n">
        <v>0</v>
      </c>
      <c r="H96" s="245" t="n">
        <v>0</v>
      </c>
      <c r="I96" s="245" t="n">
        <v>16</v>
      </c>
      <c r="J96" s="245" t="n">
        <v>0</v>
      </c>
      <c r="K96" s="245" t="n">
        <v>16</v>
      </c>
      <c r="L96" s="245" t="n">
        <v>16</v>
      </c>
      <c r="M96" s="245" t="n">
        <v>0</v>
      </c>
      <c r="N96" s="246" t="n">
        <v>0</v>
      </c>
      <c r="P96" s="0" t="n">
        <v>1</v>
      </c>
      <c r="T96" s="0">
        <f>(P96*E96)+(Q96*F96)+R96+S96</f>
        <v/>
      </c>
      <c r="U96" s="0">
        <f>K96-T96</f>
        <v/>
      </c>
      <c r="V96" s="0">
        <f>SUMIF('SAP(B117)'!B:B,월마감!B:B,'SAP(B117)'!Q:Q)</f>
        <v/>
      </c>
      <c r="W96" s="0">
        <f>T96-V96</f>
        <v/>
      </c>
    </row>
    <row r="97" hidden="1" ht="16.5" customHeight="1" s="237">
      <c r="A97" s="9" t="n">
        <v>6344</v>
      </c>
      <c r="B97" s="9" t="inlineStr">
        <is>
          <t>FT6344</t>
        </is>
      </c>
      <c r="C97" s="29" t="inlineStr">
        <is>
          <t>환타 오렌지 1.5PET X12</t>
        </is>
      </c>
      <c r="D97" s="29" t="inlineStr">
        <is>
          <t>탄산1.5PET</t>
        </is>
      </c>
      <c r="E97" s="9" t="n">
        <v>32</v>
      </c>
      <c r="F97" s="9" t="n"/>
      <c r="G97" s="245" t="n">
        <v>0</v>
      </c>
      <c r="H97" s="245" t="n">
        <v>0</v>
      </c>
      <c r="I97" s="245" t="n">
        <v>0</v>
      </c>
      <c r="J97" s="245" t="n">
        <v>0</v>
      </c>
      <c r="K97" s="245" t="n">
        <v>0</v>
      </c>
      <c r="L97" s="245" t="n">
        <v>0</v>
      </c>
      <c r="M97" s="245" t="n">
        <v>0</v>
      </c>
      <c r="N97" s="246" t="n">
        <v>0</v>
      </c>
      <c r="P97" s="0" t="n">
        <v>1</v>
      </c>
      <c r="T97" s="0">
        <f>(P97*E97)+(Q97*F97)+R97+S97</f>
        <v/>
      </c>
      <c r="U97" s="0">
        <f>K97-T97</f>
        <v/>
      </c>
      <c r="V97" s="0">
        <f>SUMIF('SAP(B117)'!B:B,월마감!B:B,'SAP(B117)'!Q:Q)</f>
        <v/>
      </c>
      <c r="W97" s="0">
        <f>T97-V97</f>
        <v/>
      </c>
    </row>
    <row r="98" hidden="1" ht="16.5" customHeight="1" s="237">
      <c r="A98" s="9" t="n">
        <v>7532</v>
      </c>
      <c r="B98" s="9" t="inlineStr">
        <is>
          <t>CC7532</t>
        </is>
      </c>
      <c r="C98" s="29" t="inlineStr">
        <is>
          <t>코크제로 1.5PET X12</t>
        </is>
      </c>
      <c r="D98" s="29" t="inlineStr">
        <is>
          <t>탄산1.5PET</t>
        </is>
      </c>
      <c r="E98" s="9" t="n">
        <v>40</v>
      </c>
      <c r="F98" s="9" t="n"/>
      <c r="G98" s="245" t="n">
        <v>0</v>
      </c>
      <c r="H98" s="245" t="n">
        <v>0</v>
      </c>
      <c r="I98" s="245" t="n">
        <v>28</v>
      </c>
      <c r="J98" s="245" t="n">
        <v>0</v>
      </c>
      <c r="K98" s="245" t="n">
        <v>28</v>
      </c>
      <c r="L98" s="245" t="n">
        <v>30</v>
      </c>
      <c r="M98" s="245" t="n">
        <v>0</v>
      </c>
      <c r="N98" s="246" t="n">
        <v>-2</v>
      </c>
      <c r="P98" s="0" t="n">
        <v>1</v>
      </c>
      <c r="T98" s="0">
        <f>(P98*E98)+(Q98*F98)+R98+S98</f>
        <v/>
      </c>
      <c r="U98" s="0">
        <f>K98-T98</f>
        <v/>
      </c>
      <c r="V98" s="0">
        <f>SUMIF('SAP(B117)'!B:B,월마감!B:B,'SAP(B117)'!Q:Q)</f>
        <v/>
      </c>
      <c r="W98" s="0">
        <f>T98-V98</f>
        <v/>
      </c>
    </row>
    <row r="99" hidden="1" ht="16.5" customHeight="1" s="237">
      <c r="A99" s="9" t="n">
        <v>6120</v>
      </c>
      <c r="B99" s="9" t="inlineStr">
        <is>
          <t>SP6120</t>
        </is>
      </c>
      <c r="C99" s="29" t="inlineStr">
        <is>
          <t>S)스프라이트 1.5PET 2X6</t>
        </is>
      </c>
      <c r="D99" s="29" t="inlineStr">
        <is>
          <t>탄산1.5PET</t>
        </is>
      </c>
      <c r="E99" s="9" t="n">
        <v>32</v>
      </c>
      <c r="F99" s="9" t="n">
        <v>44</v>
      </c>
      <c r="G99" s="245" t="n">
        <v>0</v>
      </c>
      <c r="H99" s="245" t="n">
        <v>572</v>
      </c>
      <c r="I99" s="245" t="n">
        <v>48</v>
      </c>
      <c r="J99" s="245" t="n">
        <v>0</v>
      </c>
      <c r="K99" s="245" t="n">
        <v>620</v>
      </c>
      <c r="L99" s="245" t="n">
        <v>533</v>
      </c>
      <c r="M99" s="245" t="n">
        <v>88</v>
      </c>
      <c r="N99" s="246" t="n">
        <v>-1</v>
      </c>
      <c r="P99" s="0" t="n">
        <v>1</v>
      </c>
      <c r="T99" s="0">
        <f>(P99*E99)+(Q99*F99)+R99+S99</f>
        <v/>
      </c>
      <c r="U99" s="0">
        <f>K99-T99</f>
        <v/>
      </c>
      <c r="V99" s="0">
        <f>SUMIF('SAP(B117)'!B:B,월마감!B:B,'SAP(B117)'!Q:Q)</f>
        <v/>
      </c>
      <c r="W99" s="0">
        <f>T99-V99</f>
        <v/>
      </c>
    </row>
    <row r="100" hidden="1" ht="16.5" customHeight="1" s="237">
      <c r="A100" s="9" t="n">
        <v>6349</v>
      </c>
      <c r="B100" s="9" t="inlineStr">
        <is>
          <t>FT6349</t>
        </is>
      </c>
      <c r="C100" s="29" t="inlineStr">
        <is>
          <t>S)환타 오렌지 1.5PET 2X6</t>
        </is>
      </c>
      <c r="D100" s="29" t="inlineStr">
        <is>
          <t>탄산1.5PET</t>
        </is>
      </c>
      <c r="E100" s="9" t="n">
        <v>32</v>
      </c>
      <c r="F100" s="9" t="n">
        <v>33</v>
      </c>
      <c r="G100" s="245" t="n">
        <v>0</v>
      </c>
      <c r="H100" s="245" t="n">
        <v>2277</v>
      </c>
      <c r="I100" s="245" t="n">
        <v>66</v>
      </c>
      <c r="J100" s="245" t="n">
        <v>0</v>
      </c>
      <c r="K100" s="245" t="n">
        <v>2343</v>
      </c>
      <c r="L100" s="245" t="n">
        <v>1914</v>
      </c>
      <c r="M100" s="245" t="n">
        <v>429</v>
      </c>
      <c r="N100" s="246" t="n">
        <v>0</v>
      </c>
      <c r="P100" s="0" t="n">
        <v>1</v>
      </c>
      <c r="T100" s="0">
        <f>(P100*E100)+(Q100*F100)+R100+S100</f>
        <v/>
      </c>
      <c r="U100" s="0">
        <f>K100-T100</f>
        <v/>
      </c>
      <c r="V100" s="0">
        <f>SUMIF('SAP(B117)'!B:B,월마감!B:B,'SAP(B117)'!Q:Q)</f>
        <v/>
      </c>
      <c r="W100" s="0">
        <f>T100-V100</f>
        <v/>
      </c>
    </row>
    <row r="101" hidden="1" ht="16.5" customHeight="1" s="237">
      <c r="A101" s="9" t="n">
        <v>7923</v>
      </c>
      <c r="B101" s="9" t="inlineStr">
        <is>
          <t>CC7923</t>
        </is>
      </c>
      <c r="C101" s="29" t="inlineStr">
        <is>
          <t>S)코카콜라 1.5PET 2X6</t>
        </is>
      </c>
      <c r="D101" s="29" t="inlineStr">
        <is>
          <t>탄산1.5PET</t>
        </is>
      </c>
      <c r="E101" s="9" t="n">
        <v>32</v>
      </c>
      <c r="F101" s="9" t="n">
        <v>44</v>
      </c>
      <c r="G101" s="245" t="n">
        <v>0</v>
      </c>
      <c r="H101" s="245" t="n">
        <v>7788</v>
      </c>
      <c r="I101" s="245" t="n">
        <v>34</v>
      </c>
      <c r="J101" s="245" t="n">
        <v>0</v>
      </c>
      <c r="K101" s="245" t="n">
        <v>7822</v>
      </c>
      <c r="L101" s="245" t="n">
        <v>5315</v>
      </c>
      <c r="M101" s="245" t="n">
        <v>2508</v>
      </c>
      <c r="N101" s="246" t="n">
        <v>-1</v>
      </c>
      <c r="P101" s="0" t="n">
        <v>1</v>
      </c>
      <c r="T101" s="0">
        <f>(P101*E101)+(Q101*F101)+R101+S101</f>
        <v/>
      </c>
      <c r="U101" s="0">
        <f>K101-T101</f>
        <v/>
      </c>
      <c r="V101" s="0">
        <f>SUMIF('SAP(B117)'!B:B,월마감!B:B,'SAP(B117)'!Q:Q)</f>
        <v/>
      </c>
      <c r="W101" s="0">
        <f>T101-V101</f>
        <v/>
      </c>
    </row>
    <row r="102" hidden="1" ht="16.5" customHeight="1" s="237">
      <c r="A102" s="9" t="n">
        <v>4487</v>
      </c>
      <c r="B102" s="9" t="inlineStr">
        <is>
          <t>CT4487</t>
        </is>
      </c>
      <c r="C102" s="29" t="inlineStr">
        <is>
          <t>코크+환타오렌지 1.5PET 6X2</t>
        </is>
      </c>
      <c r="D102" s="29" t="inlineStr">
        <is>
          <t>탄산1.5PET</t>
        </is>
      </c>
      <c r="E102" s="9" t="n">
        <v>32</v>
      </c>
      <c r="F102" s="9" t="n">
        <v>44</v>
      </c>
      <c r="G102" s="245" t="n">
        <v>0</v>
      </c>
      <c r="H102" s="245" t="n">
        <v>0</v>
      </c>
      <c r="I102" s="245" t="n">
        <v>0</v>
      </c>
      <c r="J102" s="245" t="n">
        <v>0</v>
      </c>
      <c r="K102" s="245" t="n">
        <v>0</v>
      </c>
      <c r="L102" s="245" t="n">
        <v>0</v>
      </c>
      <c r="M102" s="245" t="n">
        <v>0</v>
      </c>
      <c r="N102" s="246" t="n">
        <v>0</v>
      </c>
      <c r="P102" s="0" t="n">
        <v>1</v>
      </c>
      <c r="T102" s="0">
        <f>(P102*E102)+(Q102*F102)+R102+S102</f>
        <v/>
      </c>
      <c r="U102" s="0">
        <f>K102-T102</f>
        <v/>
      </c>
      <c r="V102" s="0">
        <f>SUMIF('SAP(B117)'!B:B,월마감!B:B,'SAP(B117)'!Q:Q)</f>
        <v/>
      </c>
      <c r="W102" s="0">
        <f>T102-V102</f>
        <v/>
      </c>
    </row>
    <row r="103" hidden="1" ht="16.5" customHeight="1" s="237">
      <c r="A103" s="9" t="n">
        <v>4488</v>
      </c>
      <c r="B103" s="9" t="inlineStr">
        <is>
          <t>CT4488</t>
        </is>
      </c>
      <c r="C103" s="29" t="inlineStr">
        <is>
          <t>코크+스프 1.5PET 6X2</t>
        </is>
      </c>
      <c r="D103" s="29" t="inlineStr">
        <is>
          <t>탄산1.5PET</t>
        </is>
      </c>
      <c r="E103" s="9" t="n">
        <v>32</v>
      </c>
      <c r="F103" s="9" t="n">
        <v>44</v>
      </c>
      <c r="G103" s="245" t="n">
        <v>0</v>
      </c>
      <c r="H103" s="245" t="n">
        <v>0</v>
      </c>
      <c r="I103" s="245" t="n">
        <v>0</v>
      </c>
      <c r="J103" s="245" t="n">
        <v>0</v>
      </c>
      <c r="K103" s="245" t="n">
        <v>0</v>
      </c>
      <c r="L103" s="245" t="n">
        <v>0</v>
      </c>
      <c r="M103" s="245" t="n">
        <v>0</v>
      </c>
      <c r="N103" s="246" t="n">
        <v>0</v>
      </c>
      <c r="P103" s="0" t="n">
        <v>1</v>
      </c>
      <c r="T103" s="0">
        <f>(P103*E103)+(Q103*F103)+R103+S103</f>
        <v/>
      </c>
      <c r="U103" s="0">
        <f>K103-T103</f>
        <v/>
      </c>
      <c r="V103" s="0">
        <f>SUMIF('SAP(B117)'!B:B,월마감!B:B,'SAP(B117)'!Q:Q)</f>
        <v/>
      </c>
      <c r="W103" s="0">
        <f>T103-V103</f>
        <v/>
      </c>
    </row>
    <row r="104" hidden="1" ht="16.5" customHeight="1" s="237">
      <c r="A104" s="9" t="n">
        <v>2440</v>
      </c>
      <c r="B104" s="9" t="inlineStr">
        <is>
          <t>CC2440</t>
        </is>
      </c>
      <c r="C104" s="29" t="inlineStr">
        <is>
          <t>코카콜라 185CAN 5X6</t>
        </is>
      </c>
      <c r="D104" s="29" t="inlineStr">
        <is>
          <t>탄산185캔</t>
        </is>
      </c>
      <c r="E104" s="9" t="n">
        <v>126</v>
      </c>
      <c r="F104" s="9" t="n">
        <v>156</v>
      </c>
      <c r="G104" s="245" t="n">
        <v>0</v>
      </c>
      <c r="H104" s="245" t="n">
        <v>0</v>
      </c>
      <c r="I104" s="245" t="n">
        <v>0</v>
      </c>
      <c r="J104" s="245" t="n">
        <v>0</v>
      </c>
      <c r="K104" s="245" t="n">
        <v>0</v>
      </c>
      <c r="L104" s="245" t="n">
        <v>0</v>
      </c>
      <c r="M104" s="245" t="n">
        <v>0</v>
      </c>
      <c r="N104" s="246" t="n">
        <v>0</v>
      </c>
      <c r="P104" s="0" t="n">
        <v>1</v>
      </c>
      <c r="T104" s="0">
        <f>(P104*E104)+(Q104*F104)+R104+S104</f>
        <v/>
      </c>
      <c r="U104" s="0">
        <f>K104-T104</f>
        <v/>
      </c>
      <c r="V104" s="0">
        <f>SUMIF('SAP(B117)'!B:B,월마감!B:B,'SAP(B117)'!Q:Q)</f>
        <v/>
      </c>
      <c r="W104" s="0">
        <f>T104-V104</f>
        <v/>
      </c>
    </row>
    <row r="105" hidden="1" ht="16.5" customHeight="1" s="237">
      <c r="A105" s="9" t="n">
        <v>2441</v>
      </c>
      <c r="B105" s="9" t="inlineStr">
        <is>
          <t>FT2441</t>
        </is>
      </c>
      <c r="C105" s="29" t="inlineStr">
        <is>
          <t>환타 오렌지 185CAN 5X6</t>
        </is>
      </c>
      <c r="D105" s="29" t="inlineStr">
        <is>
          <t>탄산185캔</t>
        </is>
      </c>
      <c r="E105" s="9" t="n">
        <v>126</v>
      </c>
      <c r="F105" s="9" t="n">
        <v>156</v>
      </c>
      <c r="G105" s="245" t="n">
        <v>0</v>
      </c>
      <c r="H105" s="245" t="n">
        <v>0</v>
      </c>
      <c r="I105" s="245" t="n">
        <v>0</v>
      </c>
      <c r="J105" s="245" t="n">
        <v>0</v>
      </c>
      <c r="K105" s="245" t="n">
        <v>0</v>
      </c>
      <c r="L105" s="245" t="n">
        <v>0</v>
      </c>
      <c r="M105" s="245" t="n">
        <v>0</v>
      </c>
      <c r="N105" s="246" t="n">
        <v>0</v>
      </c>
      <c r="P105" s="0" t="n">
        <v>1</v>
      </c>
      <c r="T105" s="0">
        <f>(P105*E105)+(Q105*F105)+R105+S105</f>
        <v/>
      </c>
      <c r="U105" s="0">
        <f>K105-T105</f>
        <v/>
      </c>
      <c r="V105" s="0">
        <f>SUMIF('SAP(B117)'!B:B,월마감!B:B,'SAP(B117)'!Q:Q)</f>
        <v/>
      </c>
      <c r="W105" s="0">
        <f>T105-V105</f>
        <v/>
      </c>
    </row>
    <row r="106" hidden="1" ht="16.5" customHeight="1" s="237">
      <c r="A106" s="9" t="n">
        <v>2443</v>
      </c>
      <c r="B106" s="9" t="inlineStr">
        <is>
          <t>SP2443</t>
        </is>
      </c>
      <c r="C106" s="29" t="inlineStr">
        <is>
          <t>스프라이트 185CAN 5X6</t>
        </is>
      </c>
      <c r="D106" s="29" t="inlineStr">
        <is>
          <t>탄산185캔</t>
        </is>
      </c>
      <c r="E106" s="9" t="n">
        <v>126</v>
      </c>
      <c r="F106" s="9" t="n">
        <v>156</v>
      </c>
      <c r="G106" s="245" t="n">
        <v>0</v>
      </c>
      <c r="H106" s="245" t="n">
        <v>0</v>
      </c>
      <c r="I106" s="245" t="n">
        <v>0</v>
      </c>
      <c r="J106" s="245" t="n">
        <v>0</v>
      </c>
      <c r="K106" s="245" t="n">
        <v>0</v>
      </c>
      <c r="L106" s="245" t="n">
        <v>0</v>
      </c>
      <c r="M106" s="245" t="n">
        <v>0</v>
      </c>
      <c r="N106" s="246" t="n">
        <v>0</v>
      </c>
      <c r="P106" s="0" t="n">
        <v>1</v>
      </c>
      <c r="T106" s="0">
        <f>(P106*E106)+(Q106*F106)+R106+S106</f>
        <v/>
      </c>
      <c r="U106" s="0">
        <f>K106-T106</f>
        <v/>
      </c>
      <c r="V106" s="0">
        <f>SUMIF('SAP(B117)'!B:B,월마감!B:B,'SAP(B117)'!Q:Q)</f>
        <v/>
      </c>
      <c r="W106" s="0">
        <f>T106-V106</f>
        <v/>
      </c>
    </row>
    <row r="107" hidden="1" ht="16.5" customHeight="1" s="237">
      <c r="A107" s="9" t="n">
        <v>2437</v>
      </c>
      <c r="B107" s="9" t="inlineStr">
        <is>
          <t>SP2437</t>
        </is>
      </c>
      <c r="C107" s="29" t="inlineStr">
        <is>
          <t>스프라이트 185CAN X30</t>
        </is>
      </c>
      <c r="D107" s="29" t="inlineStr">
        <is>
          <t>탄산185캔</t>
        </is>
      </c>
      <c r="E107" s="9" t="n">
        <v>126</v>
      </c>
      <c r="F107" s="9" t="n">
        <v>156</v>
      </c>
      <c r="G107" s="245" t="n">
        <v>0</v>
      </c>
      <c r="H107" s="245" t="n">
        <v>0</v>
      </c>
      <c r="I107" s="245" t="n">
        <v>0</v>
      </c>
      <c r="J107" s="245" t="n">
        <v>0</v>
      </c>
      <c r="K107" s="245" t="n">
        <v>0</v>
      </c>
      <c r="L107" s="245" t="n">
        <v>0</v>
      </c>
      <c r="M107" s="245" t="n">
        <v>0</v>
      </c>
      <c r="N107" s="246" t="n">
        <v>0</v>
      </c>
      <c r="P107" s="0" t="n">
        <v>1</v>
      </c>
      <c r="T107" s="0">
        <f>(P107*E107)+(Q107*F107)+R107+S107</f>
        <v/>
      </c>
      <c r="U107" s="0">
        <f>K107-T107</f>
        <v/>
      </c>
      <c r="V107" s="0">
        <f>SUMIF('SAP(B117)'!B:B,월마감!B:B,'SAP(B117)'!Q:Q)</f>
        <v/>
      </c>
      <c r="W107" s="0">
        <f>T107-V107</f>
        <v/>
      </c>
    </row>
    <row r="108" hidden="1" ht="16.5" customHeight="1" s="237">
      <c r="A108" s="9" t="n">
        <v>4857</v>
      </c>
      <c r="B108" s="9" t="inlineStr">
        <is>
          <t>CC4857</t>
        </is>
      </c>
      <c r="C108" s="29" t="inlineStr">
        <is>
          <t>SSP)코카콜라 210CAN X30</t>
        </is>
      </c>
      <c r="D108" s="29" t="inlineStr">
        <is>
          <t>탄산210캔</t>
        </is>
      </c>
      <c r="E108" s="9" t="n">
        <v>108</v>
      </c>
      <c r="F108" s="9" t="n"/>
      <c r="G108" s="245" t="n">
        <v>0</v>
      </c>
      <c r="H108" s="245" t="n">
        <v>0</v>
      </c>
      <c r="I108" s="245" t="n">
        <v>0</v>
      </c>
      <c r="J108" s="245" t="n">
        <v>0</v>
      </c>
      <c r="K108" s="245" t="n">
        <v>0</v>
      </c>
      <c r="L108" s="245" t="n">
        <v>0</v>
      </c>
      <c r="M108" s="245" t="n">
        <v>0</v>
      </c>
      <c r="N108" s="246" t="n">
        <v>0</v>
      </c>
      <c r="P108" s="0" t="n">
        <v>1</v>
      </c>
      <c r="T108" s="0">
        <f>(P108*E108)+(Q108*F108)+R108+S108</f>
        <v/>
      </c>
      <c r="U108" s="0">
        <f>K108-T108</f>
        <v/>
      </c>
      <c r="V108" s="0">
        <f>SUMIF('SAP(B117)'!B:B,월마감!B:B,'SAP(B117)'!Q:Q)</f>
        <v/>
      </c>
      <c r="W108" s="0">
        <f>T108-V108</f>
        <v/>
      </c>
    </row>
    <row r="109" customFormat="1" s="60">
      <c r="A109" s="9" t="n">
        <v>4861</v>
      </c>
      <c r="B109" s="77" t="inlineStr">
        <is>
          <t>CC4861</t>
        </is>
      </c>
      <c r="C109" s="78" t="inlineStr">
        <is>
          <t>코카콜라 210CAN 5X6</t>
        </is>
      </c>
      <c r="D109" s="29" t="inlineStr">
        <is>
          <t>탄산210캔</t>
        </is>
      </c>
      <c r="E109" s="77" t="n"/>
      <c r="F109" s="77" t="n">
        <v>132</v>
      </c>
      <c r="G109" s="247" t="n">
        <v>0</v>
      </c>
      <c r="H109" s="247" t="n">
        <v>792</v>
      </c>
      <c r="I109" s="247" t="n">
        <v>86</v>
      </c>
      <c r="J109" s="247" t="n">
        <v>0</v>
      </c>
      <c r="K109" s="247" t="n">
        <v>878</v>
      </c>
      <c r="L109" s="247" t="n">
        <v>872</v>
      </c>
      <c r="M109" s="247" t="n">
        <v>0</v>
      </c>
      <c r="N109" s="248" t="n">
        <v>6</v>
      </c>
      <c r="P109" s="250" t="n"/>
      <c r="Q109" s="250" t="n">
        <v>6</v>
      </c>
      <c r="R109" s="250">
        <f>44+42</f>
        <v/>
      </c>
      <c r="S109" s="250" t="n"/>
      <c r="T109" s="250">
        <f>(P109*E109)+(Q109*F109)+R109+S109</f>
        <v/>
      </c>
      <c r="U109" s="250">
        <f>K109-T109</f>
        <v/>
      </c>
      <c r="V109" s="81">
        <f>SUMIF('SAP(B117)'!B:B,월마감!B:B,'SAP(B117)'!Q:Q)</f>
        <v/>
      </c>
      <c r="W109" s="81">
        <f>T109-V109</f>
        <v/>
      </c>
    </row>
    <row r="110" hidden="1" ht="16.5" customHeight="1" s="237">
      <c r="A110" s="9" t="n">
        <v>4862</v>
      </c>
      <c r="B110" s="9" t="inlineStr">
        <is>
          <t>FT4862</t>
        </is>
      </c>
      <c r="C110" s="29" t="inlineStr">
        <is>
          <t>환타 오렌지 210CAN 5X6</t>
        </is>
      </c>
      <c r="D110" s="29" t="inlineStr">
        <is>
          <t>탄산210캔</t>
        </is>
      </c>
      <c r="E110" s="9" t="n"/>
      <c r="F110" s="9" t="n">
        <v>132</v>
      </c>
      <c r="G110" s="245" t="n">
        <v>0</v>
      </c>
      <c r="H110" s="245" t="n">
        <v>0</v>
      </c>
      <c r="I110" s="245" t="n">
        <v>0</v>
      </c>
      <c r="J110" s="245" t="n">
        <v>0</v>
      </c>
      <c r="K110" s="245" t="n">
        <v>0</v>
      </c>
      <c r="L110" s="245" t="n">
        <v>0</v>
      </c>
      <c r="M110" s="245" t="n">
        <v>0</v>
      </c>
      <c r="N110" s="246" t="n">
        <v>0</v>
      </c>
      <c r="P110" s="0" t="n">
        <v>1</v>
      </c>
      <c r="T110" s="0">
        <f>(P110*E110)+(Q110*F110)+R110+S110</f>
        <v/>
      </c>
      <c r="U110" s="0">
        <f>K110-T110</f>
        <v/>
      </c>
      <c r="V110" s="0">
        <f>SUMIF('SAP(B117)'!B:B,월마감!B:B,'SAP(B117)'!Q:Q)</f>
        <v/>
      </c>
      <c r="W110" s="0">
        <f>T110-V110</f>
        <v/>
      </c>
    </row>
    <row r="111" hidden="1" ht="16.5" customHeight="1" s="237">
      <c r="A111" s="9" t="n">
        <v>4863</v>
      </c>
      <c r="B111" s="9" t="inlineStr">
        <is>
          <t>SP4863</t>
        </is>
      </c>
      <c r="C111" s="29" t="inlineStr">
        <is>
          <t>스프라이트 210CAN 5X6</t>
        </is>
      </c>
      <c r="D111" s="29" t="inlineStr">
        <is>
          <t>탄산210캔</t>
        </is>
      </c>
      <c r="E111" s="9" t="n">
        <v>108</v>
      </c>
      <c r="F111" s="9" t="n"/>
      <c r="G111" s="245" t="n">
        <v>0</v>
      </c>
      <c r="H111" s="245" t="n">
        <v>0</v>
      </c>
      <c r="I111" s="245" t="n">
        <v>0</v>
      </c>
      <c r="J111" s="245" t="n">
        <v>0</v>
      </c>
      <c r="K111" s="245" t="n">
        <v>0</v>
      </c>
      <c r="L111" s="245" t="n">
        <v>0</v>
      </c>
      <c r="M111" s="245" t="n">
        <v>0</v>
      </c>
      <c r="N111" s="246" t="n">
        <v>0</v>
      </c>
      <c r="P111" s="0" t="n">
        <v>1</v>
      </c>
      <c r="T111" s="0">
        <f>(P111*E111)+(Q111*F111)+R111+S111</f>
        <v/>
      </c>
      <c r="U111" s="0">
        <f>K111-T111</f>
        <v/>
      </c>
      <c r="V111" s="0">
        <f>SUMIF('SAP(B117)'!B:B,월마감!B:B,'SAP(B117)'!Q:Q)</f>
        <v/>
      </c>
      <c r="W111" s="0">
        <f>T111-V111</f>
        <v/>
      </c>
    </row>
    <row r="112" hidden="1" ht="16.5" customHeight="1" s="237">
      <c r="A112" s="9" t="inlineStr">
        <is>
          <t>CC5701</t>
        </is>
      </c>
      <c r="B112" s="9" t="inlineStr">
        <is>
          <t>CC5701</t>
        </is>
      </c>
      <c r="C112" s="29" t="inlineStr">
        <is>
          <t>코카콜라 골드 250BTC X24</t>
        </is>
      </c>
      <c r="D112" s="29" t="inlineStr">
        <is>
          <t>탄산245캔</t>
        </is>
      </c>
      <c r="E112" s="9" t="n">
        <v>72</v>
      </c>
      <c r="F112" s="9" t="n"/>
      <c r="G112" s="245" t="n">
        <v>0</v>
      </c>
      <c r="H112" s="245" t="n">
        <v>0</v>
      </c>
      <c r="I112" s="245" t="n">
        <v>14</v>
      </c>
      <c r="J112" s="245" t="n">
        <v>0</v>
      </c>
      <c r="K112" s="245" t="n">
        <v>14</v>
      </c>
      <c r="L112" s="245" t="n">
        <v>14</v>
      </c>
      <c r="M112" s="245" t="n">
        <v>0</v>
      </c>
      <c r="N112" s="246" t="n">
        <v>0</v>
      </c>
      <c r="P112" s="0" t="n">
        <v>1</v>
      </c>
      <c r="T112" s="0">
        <f>(P112*E112)+(Q112*F112)+R112+S112</f>
        <v/>
      </c>
      <c r="U112" s="0">
        <f>K112-T112</f>
        <v/>
      </c>
      <c r="V112" s="0">
        <f>SUMIF('SAP(B117)'!B:B,월마감!B:B,'SAP(B117)'!Q:Q)</f>
        <v/>
      </c>
      <c r="W112" s="0">
        <f>T112-V112</f>
        <v/>
      </c>
    </row>
    <row r="113" hidden="1" ht="16.5" customHeight="1" s="237">
      <c r="A113" s="9" t="n">
        <v>1300</v>
      </c>
      <c r="B113" s="9" t="inlineStr">
        <is>
          <t>CC1300</t>
        </is>
      </c>
      <c r="C113" s="29" t="inlineStr">
        <is>
          <t>코카콜라 250CAN 5X6</t>
        </is>
      </c>
      <c r="D113" s="29" t="inlineStr">
        <is>
          <t>탄산245캔</t>
        </is>
      </c>
      <c r="E113" s="9" t="n">
        <v>99</v>
      </c>
      <c r="F113" s="9" t="n">
        <v>132</v>
      </c>
      <c r="G113" s="245" t="n">
        <v>0</v>
      </c>
      <c r="H113" s="245" t="n">
        <v>5148</v>
      </c>
      <c r="I113" s="245" t="n">
        <v>263</v>
      </c>
      <c r="J113" s="245" t="n">
        <v>0</v>
      </c>
      <c r="K113" s="245" t="n">
        <v>5411</v>
      </c>
      <c r="L113" s="245" t="n">
        <v>4489</v>
      </c>
      <c r="M113" s="245" t="n">
        <v>924</v>
      </c>
      <c r="N113" s="246" t="n">
        <v>-2</v>
      </c>
      <c r="P113" s="0" t="n">
        <v>1</v>
      </c>
      <c r="T113" s="0">
        <f>(P113*E113)+(Q113*F113)+R113+S113</f>
        <v/>
      </c>
      <c r="U113" s="0">
        <f>K113-T113</f>
        <v/>
      </c>
      <c r="V113" s="0">
        <f>SUMIF('SAP(B117)'!B:B,월마감!B:B,'SAP(B117)'!Q:Q)</f>
        <v/>
      </c>
      <c r="W113" s="0">
        <f>T113-V113</f>
        <v/>
      </c>
    </row>
    <row r="114" hidden="1" ht="16.5" customHeight="1" s="237">
      <c r="A114" s="9" t="n">
        <v>3392</v>
      </c>
      <c r="B114" s="9" t="inlineStr">
        <is>
          <t>CC3392</t>
        </is>
      </c>
      <c r="C114" s="29" t="inlineStr">
        <is>
          <t>체리코크 250CAN X30</t>
        </is>
      </c>
      <c r="D114" s="29" t="inlineStr">
        <is>
          <t>탄산250캔</t>
        </is>
      </c>
      <c r="E114" s="9" t="n">
        <v>99</v>
      </c>
      <c r="F114" s="9" t="n"/>
      <c r="G114" s="245" t="n">
        <v>0</v>
      </c>
      <c r="H114" s="245" t="n">
        <v>0</v>
      </c>
      <c r="I114" s="245" t="n">
        <v>0</v>
      </c>
      <c r="J114" s="245" t="n">
        <v>0</v>
      </c>
      <c r="K114" s="245" t="n">
        <v>0</v>
      </c>
      <c r="L114" s="245" t="n">
        <v>0</v>
      </c>
      <c r="M114" s="245" t="n">
        <v>0</v>
      </c>
      <c r="N114" s="246" t="n">
        <v>0</v>
      </c>
      <c r="P114" s="0" t="n">
        <v>1</v>
      </c>
      <c r="T114" s="0">
        <f>(P114*E114)+(Q114*F114)+R114+S114</f>
        <v/>
      </c>
      <c r="U114" s="0">
        <f>K114-T114</f>
        <v/>
      </c>
      <c r="V114" s="0">
        <f>SUMIF('SAP(B117)'!B:B,월마감!B:B,'SAP(B117)'!Q:Q)</f>
        <v/>
      </c>
      <c r="W114" s="0">
        <f>T114-V114</f>
        <v/>
      </c>
    </row>
    <row r="115" hidden="1" ht="16.5" customHeight="1" s="237">
      <c r="A115" s="9" t="n">
        <v>4660</v>
      </c>
      <c r="B115" s="9" t="inlineStr">
        <is>
          <t>CC4660</t>
        </is>
      </c>
      <c r="C115" s="29" t="inlineStr">
        <is>
          <t>코카콜라 폴라베어 250CAN 5X6</t>
        </is>
      </c>
      <c r="D115" s="29" t="inlineStr">
        <is>
          <t>탄산250캔</t>
        </is>
      </c>
      <c r="E115" s="9" t="n">
        <v>99</v>
      </c>
      <c r="F115" s="9" t="n">
        <v>132</v>
      </c>
      <c r="G115" s="245" t="n">
        <v>0</v>
      </c>
      <c r="H115" s="245" t="n">
        <v>0</v>
      </c>
      <c r="I115" s="245" t="n">
        <v>0</v>
      </c>
      <c r="J115" s="245" t="n">
        <v>0</v>
      </c>
      <c r="K115" s="245" t="n">
        <v>0</v>
      </c>
      <c r="L115" s="245" t="n">
        <v>0</v>
      </c>
      <c r="M115" s="245" t="n">
        <v>0</v>
      </c>
      <c r="N115" s="246" t="n">
        <v>0</v>
      </c>
      <c r="P115" s="0" t="n">
        <v>1</v>
      </c>
      <c r="T115" s="0">
        <f>(P115*E115)+(Q115*F115)+R115+S115</f>
        <v/>
      </c>
      <c r="U115" s="0">
        <f>K115-T115</f>
        <v/>
      </c>
      <c r="V115" s="0">
        <f>SUMIF('SAP(B117)'!B:B,월마감!B:B,'SAP(B117)'!Q:Q)</f>
        <v/>
      </c>
      <c r="W115" s="0">
        <f>T115-V115</f>
        <v/>
      </c>
    </row>
    <row r="116">
      <c r="A116" s="9" t="n">
        <v>4823</v>
      </c>
      <c r="B116" s="66" t="inlineStr">
        <is>
          <t>FT4823</t>
        </is>
      </c>
      <c r="C116" s="67" t="inlineStr">
        <is>
          <t>환타 오렌지 250CAN 5X6</t>
        </is>
      </c>
      <c r="D116" s="29" t="inlineStr">
        <is>
          <t>탄산250캔</t>
        </is>
      </c>
      <c r="E116" s="66" t="n">
        <v>99</v>
      </c>
      <c r="F116" s="66" t="n">
        <v>132</v>
      </c>
      <c r="G116" s="245" t="n">
        <v>297</v>
      </c>
      <c r="H116" s="245" t="n">
        <v>1320</v>
      </c>
      <c r="I116" s="245" t="n">
        <v>292</v>
      </c>
      <c r="J116" s="245" t="n">
        <v>0</v>
      </c>
      <c r="K116" s="245" t="n">
        <v>1909</v>
      </c>
      <c r="L116" s="245" t="n">
        <v>1901</v>
      </c>
      <c r="M116" s="245" t="n">
        <v>0</v>
      </c>
      <c r="N116" s="246" t="n">
        <v>8</v>
      </c>
      <c r="P116" s="252" t="n">
        <v>3</v>
      </c>
      <c r="Q116" s="252" t="n">
        <v>10</v>
      </c>
      <c r="R116" s="252">
        <f>40+48+56+96+19+33</f>
        <v/>
      </c>
      <c r="S116" s="252" t="n"/>
      <c r="T116" s="252">
        <f>(P116*E116)+(Q116*F116)+R116+S116</f>
        <v/>
      </c>
      <c r="U116" s="252">
        <f>K116-T116</f>
        <v/>
      </c>
      <c r="V116" s="76">
        <f>SUMIF('SAP(B117)'!B:B,월마감!B:B,'SAP(B117)'!Q:Q)</f>
        <v/>
      </c>
      <c r="W116" s="76">
        <f>T116-V116</f>
        <v/>
      </c>
    </row>
    <row r="117" hidden="1" ht="16.5" customHeight="1" s="237">
      <c r="A117" s="9" t="n">
        <v>4833</v>
      </c>
      <c r="B117" s="9" t="inlineStr">
        <is>
          <t>AB4833</t>
        </is>
      </c>
      <c r="C117" s="29" t="inlineStr">
        <is>
          <t>암바사 250CAN 5X6</t>
        </is>
      </c>
      <c r="D117" s="29" t="inlineStr">
        <is>
          <t>탄산250캔</t>
        </is>
      </c>
      <c r="E117" s="9" t="n">
        <v>99</v>
      </c>
      <c r="F117" s="9" t="n">
        <v>132</v>
      </c>
      <c r="G117" s="245" t="n">
        <v>0</v>
      </c>
      <c r="H117" s="245" t="n">
        <v>0</v>
      </c>
      <c r="I117" s="245" t="n">
        <v>80</v>
      </c>
      <c r="J117" s="245" t="n">
        <v>0</v>
      </c>
      <c r="K117" s="245" t="n">
        <v>80</v>
      </c>
      <c r="L117" s="245" t="n">
        <v>81</v>
      </c>
      <c r="M117" s="245" t="n">
        <v>0</v>
      </c>
      <c r="N117" s="246" t="n">
        <v>-1</v>
      </c>
      <c r="P117" s="0" t="n">
        <v>1</v>
      </c>
      <c r="T117" s="0">
        <f>(P117*E117)+(Q117*F117)+R117+S117</f>
        <v/>
      </c>
      <c r="U117" s="0">
        <f>K117-T117</f>
        <v/>
      </c>
      <c r="V117" s="0">
        <f>SUMIF('SAP(B117)'!B:B,월마감!B:B,'SAP(B117)'!Q:Q)</f>
        <v/>
      </c>
      <c r="W117" s="0">
        <f>T117-V117</f>
        <v/>
      </c>
    </row>
    <row r="118" hidden="1" ht="16.5" customHeight="1" s="237">
      <c r="A118" s="9" t="n">
        <v>4834</v>
      </c>
      <c r="B118" s="9" t="inlineStr">
        <is>
          <t>AB4834</t>
        </is>
      </c>
      <c r="C118" s="29" t="inlineStr">
        <is>
          <t>암바사 250CAN X30</t>
        </is>
      </c>
      <c r="D118" s="29" t="inlineStr">
        <is>
          <t>탄산250캔</t>
        </is>
      </c>
      <c r="E118" s="9" t="n">
        <v>99</v>
      </c>
      <c r="F118" s="9" t="n">
        <v>132</v>
      </c>
      <c r="G118" s="245" t="n">
        <v>0</v>
      </c>
      <c r="H118" s="245" t="n">
        <v>0</v>
      </c>
      <c r="I118" s="245" t="n">
        <v>0</v>
      </c>
      <c r="J118" s="245" t="n">
        <v>0</v>
      </c>
      <c r="K118" s="245" t="n">
        <v>0</v>
      </c>
      <c r="L118" s="245" t="n">
        <v>0</v>
      </c>
      <c r="M118" s="245" t="n">
        <v>0</v>
      </c>
      <c r="N118" s="246" t="n">
        <v>0</v>
      </c>
      <c r="P118" s="0" t="n">
        <v>1</v>
      </c>
      <c r="T118" s="0">
        <f>(P118*E118)+(Q118*F118)+R118+S118</f>
        <v/>
      </c>
      <c r="U118" s="0">
        <f>K118-T118</f>
        <v/>
      </c>
      <c r="V118" s="0">
        <f>SUMIF('SAP(B117)'!B:B,월마감!B:B,'SAP(B117)'!Q:Q)</f>
        <v/>
      </c>
      <c r="W118" s="0">
        <f>T118-V118</f>
        <v/>
      </c>
    </row>
    <row r="119" hidden="1" ht="16.5" customHeight="1" s="237">
      <c r="A119" s="9" t="n">
        <v>4835</v>
      </c>
      <c r="B119" s="9" t="inlineStr">
        <is>
          <t>CC4835</t>
        </is>
      </c>
      <c r="C119" s="29" t="inlineStr">
        <is>
          <t>코카콜라 250CAN X30</t>
        </is>
      </c>
      <c r="D119" s="29" t="inlineStr">
        <is>
          <t>탄산250캔</t>
        </is>
      </c>
      <c r="E119" s="9" t="n">
        <v>99</v>
      </c>
      <c r="F119" s="9" t="n"/>
      <c r="G119" s="245" t="n">
        <v>0</v>
      </c>
      <c r="H119" s="245" t="n">
        <v>0</v>
      </c>
      <c r="I119" s="245" t="n">
        <v>0</v>
      </c>
      <c r="J119" s="245" t="n">
        <v>0</v>
      </c>
      <c r="K119" s="245" t="n">
        <v>0</v>
      </c>
      <c r="L119" s="245" t="n">
        <v>0</v>
      </c>
      <c r="M119" s="245" t="n">
        <v>0</v>
      </c>
      <c r="N119" s="246" t="n">
        <v>0</v>
      </c>
      <c r="P119" s="0" t="n">
        <v>1</v>
      </c>
      <c r="T119" s="0">
        <f>(P119*E119)+(Q119*F119)+R119+S119</f>
        <v/>
      </c>
      <c r="U119" s="0">
        <f>K119-T119</f>
        <v/>
      </c>
      <c r="V119" s="0">
        <f>SUMIF('SAP(B117)'!B:B,월마감!B:B,'SAP(B117)'!Q:Q)</f>
        <v/>
      </c>
      <c r="W119" s="0">
        <f>T119-V119</f>
        <v/>
      </c>
    </row>
    <row r="120" hidden="1" ht="16.5" customHeight="1" s="237">
      <c r="A120" s="9" t="n">
        <v>4893</v>
      </c>
      <c r="B120" s="9" t="inlineStr">
        <is>
          <t>CC4893</t>
        </is>
      </c>
      <c r="C120" s="29" t="inlineStr">
        <is>
          <t>코크라이트 250CAN X30</t>
        </is>
      </c>
      <c r="D120" s="29" t="inlineStr">
        <is>
          <t>탄산250캔</t>
        </is>
      </c>
      <c r="E120" s="9" t="n">
        <v>99</v>
      </c>
      <c r="F120" s="9" t="n"/>
      <c r="G120" s="245" t="n">
        <v>0</v>
      </c>
      <c r="H120" s="245" t="n">
        <v>0</v>
      </c>
      <c r="I120" s="245" t="n">
        <v>45</v>
      </c>
      <c r="J120" s="245" t="n">
        <v>0</v>
      </c>
      <c r="K120" s="245" t="n">
        <v>45</v>
      </c>
      <c r="L120" s="245" t="n">
        <v>45</v>
      </c>
      <c r="M120" s="245" t="n">
        <v>0</v>
      </c>
      <c r="N120" s="246" t="n">
        <v>0</v>
      </c>
      <c r="P120" s="0" t="n">
        <v>1</v>
      </c>
      <c r="T120" s="0">
        <f>(P120*E120)+(Q120*F120)+R120+S120</f>
        <v/>
      </c>
      <c r="U120" s="0">
        <f>K120-T120</f>
        <v/>
      </c>
      <c r="V120" s="0">
        <f>SUMIF('SAP(B117)'!B:B,월마감!B:B,'SAP(B117)'!Q:Q)</f>
        <v/>
      </c>
      <c r="W120" s="0">
        <f>T120-V120</f>
        <v/>
      </c>
    </row>
    <row r="121" hidden="1" ht="16.5" customHeight="1" s="237">
      <c r="A121" s="9" t="n">
        <v>4943</v>
      </c>
      <c r="B121" s="9" t="inlineStr">
        <is>
          <t>FT4943</t>
        </is>
      </c>
      <c r="C121" s="29" t="inlineStr">
        <is>
          <t>환타 오렌지 250CAN X30</t>
        </is>
      </c>
      <c r="D121" s="29" t="inlineStr">
        <is>
          <t>탄산250캔</t>
        </is>
      </c>
      <c r="E121" s="9" t="n">
        <v>99</v>
      </c>
      <c r="F121" s="9" t="n"/>
      <c r="G121" s="245" t="n">
        <v>0</v>
      </c>
      <c r="H121" s="245" t="n">
        <v>0</v>
      </c>
      <c r="I121" s="245" t="n">
        <v>0</v>
      </c>
      <c r="J121" s="245" t="n">
        <v>0</v>
      </c>
      <c r="K121" s="245" t="n">
        <v>0</v>
      </c>
      <c r="L121" s="245" t="n">
        <v>0</v>
      </c>
      <c r="M121" s="245" t="n">
        <v>0</v>
      </c>
      <c r="N121" s="246" t="n">
        <v>0</v>
      </c>
      <c r="P121" s="0" t="n">
        <v>1</v>
      </c>
      <c r="T121" s="0">
        <f>(P121*E121)+(Q121*F121)+R121+S121</f>
        <v/>
      </c>
      <c r="U121" s="0">
        <f>K121-T121</f>
        <v/>
      </c>
      <c r="V121" s="0">
        <f>SUMIF('SAP(B117)'!B:B,월마감!B:B,'SAP(B117)'!Q:Q)</f>
        <v/>
      </c>
      <c r="W121" s="0">
        <f>T121-V121</f>
        <v/>
      </c>
    </row>
    <row r="122">
      <c r="A122" s="9" t="n">
        <v>5312</v>
      </c>
      <c r="B122" s="66" t="inlineStr">
        <is>
          <t>FT5312</t>
        </is>
      </c>
      <c r="C122" s="67" t="inlineStr">
        <is>
          <t>환타 파인 250CAN 5X6</t>
        </is>
      </c>
      <c r="D122" s="29" t="inlineStr">
        <is>
          <t>탄산250캔</t>
        </is>
      </c>
      <c r="E122" s="66" t="n">
        <v>99</v>
      </c>
      <c r="F122" s="66" t="n">
        <v>132</v>
      </c>
      <c r="G122" s="245" t="n">
        <v>0</v>
      </c>
      <c r="H122" s="245" t="n">
        <v>0</v>
      </c>
      <c r="I122" s="245" t="n">
        <v>85</v>
      </c>
      <c r="J122" s="245" t="n">
        <v>0</v>
      </c>
      <c r="K122" s="245" t="n">
        <v>85</v>
      </c>
      <c r="L122" s="245" t="n">
        <v>90</v>
      </c>
      <c r="M122" s="245" t="n">
        <v>0</v>
      </c>
      <c r="N122" s="246" t="n">
        <v>-5</v>
      </c>
      <c r="P122" s="252" t="n"/>
      <c r="Q122" s="252" t="n"/>
      <c r="R122" s="252">
        <f>62+23</f>
        <v/>
      </c>
      <c r="S122" s="252" t="n"/>
      <c r="T122" s="252">
        <f>(P122*E122)+(Q122*F122)+R122+S122</f>
        <v/>
      </c>
      <c r="U122" s="252">
        <f>K122-T122</f>
        <v/>
      </c>
      <c r="V122" s="76">
        <f>SUMIF('SAP(B117)'!B:B,월마감!B:B,'SAP(B117)'!Q:Q)</f>
        <v/>
      </c>
      <c r="W122" s="76">
        <f>T122-V122</f>
        <v/>
      </c>
    </row>
    <row r="123" hidden="1" ht="16.5" customHeight="1" s="237">
      <c r="A123" s="9" t="n">
        <v>6110</v>
      </c>
      <c r="B123" s="9" t="inlineStr">
        <is>
          <t>SP6110</t>
        </is>
      </c>
      <c r="C123" s="29" t="inlineStr">
        <is>
          <t>스프라이트 250CAN X30</t>
        </is>
      </c>
      <c r="D123" s="29" t="inlineStr">
        <is>
          <t>탄산250캔</t>
        </is>
      </c>
      <c r="E123" s="9" t="n">
        <v>99</v>
      </c>
      <c r="F123" s="9" t="n"/>
      <c r="G123" s="245" t="n">
        <v>0</v>
      </c>
      <c r="H123" s="245" t="n">
        <v>0</v>
      </c>
      <c r="I123" s="245" t="n">
        <v>0</v>
      </c>
      <c r="J123" s="245" t="n">
        <v>0</v>
      </c>
      <c r="K123" s="245" t="n">
        <v>0</v>
      </c>
      <c r="L123" s="245" t="n">
        <v>0</v>
      </c>
      <c r="M123" s="245" t="n">
        <v>0</v>
      </c>
      <c r="N123" s="246" t="n">
        <v>0</v>
      </c>
      <c r="P123" s="0" t="n">
        <v>1</v>
      </c>
      <c r="T123" s="0">
        <f>(P123*E123)+(Q123*F123)+R123+S123</f>
        <v/>
      </c>
      <c r="U123" s="0">
        <f>K123-T123</f>
        <v/>
      </c>
      <c r="V123" s="0">
        <f>SUMIF('SAP(B117)'!B:B,월마감!B:B,'SAP(B117)'!Q:Q)</f>
        <v/>
      </c>
      <c r="W123" s="0">
        <f>T123-V123</f>
        <v/>
      </c>
    </row>
    <row r="124">
      <c r="A124" s="9" t="n">
        <v>6111</v>
      </c>
      <c r="B124" s="66" t="inlineStr">
        <is>
          <t>SP6111</t>
        </is>
      </c>
      <c r="C124" s="67" t="inlineStr">
        <is>
          <t>스프라이트 250CAN 5X6</t>
        </is>
      </c>
      <c r="D124" s="29" t="inlineStr">
        <is>
          <t>탄산250캔</t>
        </is>
      </c>
      <c r="E124" s="66" t="n">
        <v>99</v>
      </c>
      <c r="F124" s="66" t="n">
        <v>132</v>
      </c>
      <c r="G124" s="245" t="n">
        <v>0</v>
      </c>
      <c r="H124" s="245" t="n">
        <v>2244</v>
      </c>
      <c r="I124" s="245" t="n">
        <v>380</v>
      </c>
      <c r="J124" s="245" t="n">
        <v>7</v>
      </c>
      <c r="K124" s="245" t="n">
        <v>2631</v>
      </c>
      <c r="L124" s="245" t="n">
        <v>2625</v>
      </c>
      <c r="M124" s="245" t="n">
        <v>0</v>
      </c>
      <c r="N124" s="246" t="n">
        <v>6</v>
      </c>
      <c r="P124" s="252" t="n"/>
      <c r="Q124" s="252">
        <f>7+10</f>
        <v/>
      </c>
      <c r="R124" s="252">
        <f>12+25+126+103+114</f>
        <v/>
      </c>
      <c r="S124" s="252" t="n"/>
      <c r="T124" s="252">
        <f>(P124*E124)+(Q124*F124)+R124+S124</f>
        <v/>
      </c>
      <c r="U124" s="252">
        <f>K124-T124</f>
        <v/>
      </c>
      <c r="V124" s="76">
        <f>SUMIF('SAP(B117)'!B:B,월마감!B:B,'SAP(B117)'!Q:Q)</f>
        <v/>
      </c>
      <c r="W124" s="76">
        <f>T124-V124</f>
        <v/>
      </c>
    </row>
    <row r="125" hidden="1" ht="16.5" customHeight="1" s="237">
      <c r="A125" s="9" t="n">
        <v>6778</v>
      </c>
      <c r="B125" s="9" t="inlineStr">
        <is>
          <t>FT6778</t>
        </is>
      </c>
      <c r="C125" s="29" t="inlineStr">
        <is>
          <t>환타 스트로베리 250CAN 5X6</t>
        </is>
      </c>
      <c r="D125" s="29" t="inlineStr">
        <is>
          <t>탄산250캔</t>
        </is>
      </c>
      <c r="E125" s="9" t="n">
        <v>99</v>
      </c>
      <c r="F125" s="9" t="n">
        <v>132</v>
      </c>
      <c r="G125" s="245" t="n">
        <v>0</v>
      </c>
      <c r="H125" s="245" t="n">
        <v>0</v>
      </c>
      <c r="I125" s="245" t="n">
        <v>0</v>
      </c>
      <c r="J125" s="245" t="n">
        <v>0</v>
      </c>
      <c r="K125" s="245" t="n">
        <v>0</v>
      </c>
      <c r="L125" s="245" t="n">
        <v>0</v>
      </c>
      <c r="M125" s="245" t="n">
        <v>0</v>
      </c>
      <c r="N125" s="246" t="n">
        <v>0</v>
      </c>
      <c r="P125" s="0" t="n">
        <v>1</v>
      </c>
      <c r="T125" s="0">
        <f>(P125*E125)+(Q125*F125)+R125+S125</f>
        <v/>
      </c>
      <c r="U125" s="0">
        <f>K125-T125</f>
        <v/>
      </c>
      <c r="V125" s="0">
        <f>SUMIF('SAP(B117)'!B:B,월마감!B:B,'SAP(B117)'!Q:Q)</f>
        <v/>
      </c>
      <c r="W125" s="0">
        <f>T125-V125</f>
        <v/>
      </c>
    </row>
    <row r="126" hidden="1" ht="16.5" customHeight="1" s="237">
      <c r="A126" s="9" t="n">
        <v>8272</v>
      </c>
      <c r="B126" s="9" t="inlineStr">
        <is>
          <t>CC8272</t>
        </is>
      </c>
      <c r="C126" s="29" t="inlineStr">
        <is>
          <t>코크제로 250CAN X30</t>
        </is>
      </c>
      <c r="D126" s="29" t="inlineStr">
        <is>
          <t>탄산250캔</t>
        </is>
      </c>
      <c r="E126" s="9" t="n">
        <v>99</v>
      </c>
      <c r="F126" s="9" t="n">
        <v>132</v>
      </c>
      <c r="G126" s="245" t="n">
        <v>0</v>
      </c>
      <c r="H126" s="245" t="n">
        <v>0</v>
      </c>
      <c r="I126" s="245" t="n">
        <v>0</v>
      </c>
      <c r="J126" s="245" t="n">
        <v>0</v>
      </c>
      <c r="K126" s="245" t="n">
        <v>0</v>
      </c>
      <c r="L126" s="245" t="n">
        <v>0</v>
      </c>
      <c r="M126" s="245" t="n">
        <v>0</v>
      </c>
      <c r="N126" s="246" t="n">
        <v>0</v>
      </c>
      <c r="P126" s="0" t="n">
        <v>1</v>
      </c>
      <c r="T126" s="0">
        <f>(P126*E126)+(Q126*F126)+R126+S126</f>
        <v/>
      </c>
      <c r="U126" s="0">
        <f>K126-T126</f>
        <v/>
      </c>
      <c r="V126" s="0">
        <f>SUMIF('SAP(B117)'!B:B,월마감!B:B,'SAP(B117)'!Q:Q)</f>
        <v/>
      </c>
      <c r="W126" s="0">
        <f>T126-V126</f>
        <v/>
      </c>
    </row>
    <row r="127" hidden="1" ht="16.5" customHeight="1" s="237">
      <c r="A127" s="9" t="n">
        <v>8273</v>
      </c>
      <c r="B127" s="9" t="inlineStr">
        <is>
          <t>CC8273</t>
        </is>
      </c>
      <c r="C127" s="29" t="inlineStr">
        <is>
          <t>코크제로 250CAN 5X6</t>
        </is>
      </c>
      <c r="D127" s="29" t="inlineStr">
        <is>
          <t>탄산250캔</t>
        </is>
      </c>
      <c r="E127" s="9" t="n">
        <v>99</v>
      </c>
      <c r="F127" s="9" t="n">
        <v>132</v>
      </c>
      <c r="G127" s="245" t="n">
        <v>0</v>
      </c>
      <c r="H127" s="245" t="n">
        <v>528</v>
      </c>
      <c r="I127" s="245" t="n">
        <v>452</v>
      </c>
      <c r="J127" s="245" t="n">
        <v>0</v>
      </c>
      <c r="K127" s="245" t="n">
        <v>980</v>
      </c>
      <c r="L127" s="245" t="n">
        <v>982</v>
      </c>
      <c r="M127" s="245" t="n">
        <v>0</v>
      </c>
      <c r="N127" s="246" t="n">
        <v>-2</v>
      </c>
      <c r="P127" s="0" t="n">
        <v>1</v>
      </c>
      <c r="T127" s="0">
        <f>(P127*E127)+(Q127*F127)+R127+S127</f>
        <v/>
      </c>
      <c r="U127" s="0">
        <f>K127-T127</f>
        <v/>
      </c>
      <c r="V127" s="0">
        <f>SUMIF('SAP(B117)'!B:B,월마감!B:B,'SAP(B117)'!Q:Q)</f>
        <v/>
      </c>
      <c r="W127" s="0">
        <f>T127-V127</f>
        <v/>
      </c>
    </row>
    <row r="128" customFormat="1" s="60">
      <c r="A128" s="9" t="n">
        <v>4226</v>
      </c>
      <c r="B128" s="77" t="inlineStr">
        <is>
          <t>AB4226</t>
        </is>
      </c>
      <c r="C128" s="78" t="inlineStr">
        <is>
          <t>암바사 350PET 4X6</t>
        </is>
      </c>
      <c r="D128" s="29" t="inlineStr">
        <is>
          <t>탄산300</t>
        </is>
      </c>
      <c r="E128" s="77" t="n"/>
      <c r="F128" s="77" t="n">
        <v>60</v>
      </c>
      <c r="G128" s="247" t="n">
        <v>0</v>
      </c>
      <c r="H128" s="247" t="n">
        <v>720</v>
      </c>
      <c r="I128" s="247" t="n">
        <v>39</v>
      </c>
      <c r="J128" s="247" t="n">
        <v>0</v>
      </c>
      <c r="K128" s="247" t="n">
        <v>759</v>
      </c>
      <c r="L128" s="247" t="n">
        <v>763</v>
      </c>
      <c r="M128" s="247" t="n">
        <v>0</v>
      </c>
      <c r="N128" s="248" t="n">
        <v>-4</v>
      </c>
      <c r="P128" s="250" t="n"/>
      <c r="Q128" s="250">
        <f>8+4</f>
        <v/>
      </c>
      <c r="R128" s="250">
        <f>28+12</f>
        <v/>
      </c>
      <c r="S128" s="250" t="n"/>
      <c r="T128" s="250">
        <f>(P128*E128)+(Q128*F128)+R128+S128</f>
        <v/>
      </c>
      <c r="U128" s="250">
        <f>K128-T128</f>
        <v/>
      </c>
      <c r="V128" s="81">
        <f>SUMIF('SAP(B117)'!B:B,월마감!B:B,'SAP(B117)'!Q:Q)</f>
        <v/>
      </c>
      <c r="W128" s="81">
        <f>T128-V128</f>
        <v/>
      </c>
    </row>
    <row r="129" hidden="1" ht="16.5" customHeight="1" s="237">
      <c r="A129" s="9" t="n">
        <v>5717</v>
      </c>
      <c r="B129" s="9" t="inlineStr">
        <is>
          <t>CC5717</t>
        </is>
      </c>
      <c r="C129" s="29" t="inlineStr">
        <is>
          <t>S)코카콜라 300PET 4X6</t>
        </is>
      </c>
      <c r="D129" s="29" t="inlineStr">
        <is>
          <t>탄산350PET</t>
        </is>
      </c>
      <c r="E129" s="9" t="n">
        <v>40</v>
      </c>
      <c r="F129" s="9" t="n">
        <v>70</v>
      </c>
      <c r="G129" s="245" t="n">
        <v>0</v>
      </c>
      <c r="H129" s="245" t="n">
        <v>910</v>
      </c>
      <c r="I129" s="245" t="n">
        <v>21</v>
      </c>
      <c r="J129" s="245" t="n">
        <v>5</v>
      </c>
      <c r="K129" s="245" t="n">
        <v>936</v>
      </c>
      <c r="L129" s="245" t="n">
        <v>866</v>
      </c>
      <c r="M129" s="245" t="n">
        <v>70</v>
      </c>
      <c r="N129" s="246" t="n">
        <v>0</v>
      </c>
      <c r="P129" s="0" t="n">
        <v>1</v>
      </c>
      <c r="T129" s="0">
        <f>(P129*E129)+(Q129*F129)+R129+S129</f>
        <v/>
      </c>
      <c r="U129" s="0">
        <f>K129-T129</f>
        <v/>
      </c>
      <c r="V129" s="0">
        <f>SUMIF('SAP(B117)'!B:B,월마감!B:B,'SAP(B117)'!Q:Q)</f>
        <v/>
      </c>
      <c r="W129" s="0">
        <f>T129-V129</f>
        <v/>
      </c>
    </row>
    <row r="130" hidden="1" ht="16.5" customHeight="1" s="237">
      <c r="A130" s="9" t="n">
        <v>5710</v>
      </c>
      <c r="B130" s="9" t="inlineStr">
        <is>
          <t>CC5710</t>
        </is>
      </c>
      <c r="C130" s="29" t="inlineStr">
        <is>
          <t>코카콜라 300PET X24</t>
        </is>
      </c>
      <c r="D130" s="29" t="inlineStr">
        <is>
          <t>탄산350PET</t>
        </is>
      </c>
      <c r="E130" s="9" t="n">
        <v>72</v>
      </c>
      <c r="F130" s="9" t="n"/>
      <c r="G130" s="245" t="n">
        <v>0</v>
      </c>
      <c r="H130" s="245" t="n">
        <v>0</v>
      </c>
      <c r="I130" s="245" t="n">
        <v>0</v>
      </c>
      <c r="J130" s="245" t="n">
        <v>0</v>
      </c>
      <c r="K130" s="245" t="n">
        <v>0</v>
      </c>
      <c r="L130" s="245" t="n">
        <v>0</v>
      </c>
      <c r="M130" s="245" t="n">
        <v>0</v>
      </c>
      <c r="N130" s="246" t="n">
        <v>0</v>
      </c>
      <c r="P130" s="0" t="n">
        <v>1</v>
      </c>
      <c r="T130" s="0">
        <f>(P130*E130)+(Q130*F130)+R130+S130</f>
        <v/>
      </c>
      <c r="U130" s="0">
        <f>K130-T130</f>
        <v/>
      </c>
      <c r="V130" s="0">
        <f>SUMIF('SAP(B117)'!B:B,월마감!B:B,'SAP(B117)'!Q:Q)</f>
        <v/>
      </c>
      <c r="W130" s="0">
        <f>T130-V130</f>
        <v/>
      </c>
    </row>
    <row r="131" hidden="1" ht="15" customHeight="1" s="237">
      <c r="A131" s="9" t="n">
        <v>5713</v>
      </c>
      <c r="B131" s="9" t="inlineStr">
        <is>
          <t>FT5713</t>
        </is>
      </c>
      <c r="C131" s="29" t="inlineStr">
        <is>
          <t>환타 오렌지 300PET X24</t>
        </is>
      </c>
      <c r="D131" s="29" t="inlineStr">
        <is>
          <t>탄산600</t>
        </is>
      </c>
      <c r="E131" s="9" t="n">
        <v>72</v>
      </c>
      <c r="F131" s="9" t="n"/>
      <c r="G131" s="245" t="n">
        <v>72</v>
      </c>
      <c r="H131" s="245" t="n">
        <v>0</v>
      </c>
      <c r="I131" s="245" t="n">
        <v>4</v>
      </c>
      <c r="J131" s="245" t="n">
        <v>0</v>
      </c>
      <c r="K131" s="245" t="n">
        <v>76</v>
      </c>
      <c r="L131" s="245" t="n">
        <v>76</v>
      </c>
      <c r="M131" s="245" t="n">
        <v>0</v>
      </c>
      <c r="N131" s="246" t="n">
        <v>0</v>
      </c>
      <c r="P131" s="0" t="n">
        <v>1</v>
      </c>
      <c r="T131" s="0">
        <f>(P131*E131)+(Q131*F131)+R131+S131</f>
        <v/>
      </c>
      <c r="U131" s="0">
        <f>K131-T131</f>
        <v/>
      </c>
      <c r="V131" s="0">
        <f>SUMIF('SAP(B117)'!B:B,월마감!B:B,'SAP(B117)'!Q:Q)</f>
        <v/>
      </c>
      <c r="W131" s="0">
        <f>T131-V131</f>
        <v/>
      </c>
    </row>
    <row r="132" hidden="1" ht="16.5" customHeight="1" s="237">
      <c r="A132" s="9" t="n">
        <v>5111</v>
      </c>
      <c r="B132" s="9" t="inlineStr">
        <is>
          <t>CC5111</t>
        </is>
      </c>
      <c r="C132" s="29" t="inlineStr">
        <is>
          <t>코카콜라 350PET X15</t>
        </is>
      </c>
      <c r="D132" s="29" t="inlineStr">
        <is>
          <t>탄산350PET</t>
        </is>
      </c>
      <c r="E132" s="9" t="n">
        <v>96</v>
      </c>
      <c r="F132" s="9" t="n"/>
      <c r="G132" s="245" t="n">
        <v>0</v>
      </c>
      <c r="H132" s="245" t="n">
        <v>0</v>
      </c>
      <c r="I132" s="245" t="n">
        <v>0</v>
      </c>
      <c r="J132" s="245" t="n">
        <v>0</v>
      </c>
      <c r="K132" s="245" t="n">
        <v>0</v>
      </c>
      <c r="L132" s="245" t="n">
        <v>0</v>
      </c>
      <c r="M132" s="245" t="n">
        <v>0</v>
      </c>
      <c r="N132" s="246" t="n">
        <v>0</v>
      </c>
      <c r="P132" s="0" t="n">
        <v>1</v>
      </c>
      <c r="T132" s="0">
        <f>(P132*E132)+(Q132*F132)+R132+S132</f>
        <v/>
      </c>
      <c r="U132" s="0">
        <f>K132-T132</f>
        <v/>
      </c>
      <c r="V132" s="0">
        <f>SUMIF('SAP(B117)'!B:B,월마감!B:B,'SAP(B117)'!Q:Q)</f>
        <v/>
      </c>
      <c r="W132" s="0">
        <f>T132-V132</f>
        <v/>
      </c>
    </row>
    <row r="133" hidden="1" ht="16.5" customHeight="1" s="237">
      <c r="A133" s="9" t="n">
        <v>2523</v>
      </c>
      <c r="B133" s="9" t="inlineStr">
        <is>
          <t>CC2523</t>
        </is>
      </c>
      <c r="C133" s="29" t="inlineStr">
        <is>
          <t>코카콜라 355CAN 4X6</t>
        </is>
      </c>
      <c r="D133" s="29" t="inlineStr">
        <is>
          <t>탄산355캔</t>
        </is>
      </c>
      <c r="E133" s="9" t="n"/>
      <c r="F133" s="9" t="n">
        <v>100</v>
      </c>
      <c r="G133" s="245" t="n">
        <v>0</v>
      </c>
      <c r="H133" s="245" t="n">
        <v>0</v>
      </c>
      <c r="I133" s="245" t="n">
        <v>0</v>
      </c>
      <c r="J133" s="245" t="n">
        <v>0</v>
      </c>
      <c r="K133" s="245" t="n">
        <v>0</v>
      </c>
      <c r="L133" s="245" t="n">
        <v>0</v>
      </c>
      <c r="M133" s="245" t="n">
        <v>0</v>
      </c>
      <c r="N133" s="246" t="n">
        <v>0</v>
      </c>
      <c r="P133" s="0" t="n">
        <v>1</v>
      </c>
      <c r="T133" s="0">
        <f>(P133*E133)+(Q133*F133)+R133+S133</f>
        <v/>
      </c>
      <c r="U133" s="0">
        <f>K133-T133</f>
        <v/>
      </c>
      <c r="V133" s="0">
        <f>SUMIF('SAP(B117)'!B:B,월마감!B:B,'SAP(B117)'!Q:Q)</f>
        <v/>
      </c>
      <c r="W133" s="0">
        <f>T133-V133</f>
        <v/>
      </c>
    </row>
    <row r="134" hidden="1" ht="16.5" customHeight="1" s="237">
      <c r="A134" s="9" t="n">
        <v>4945</v>
      </c>
      <c r="B134" s="9" t="inlineStr">
        <is>
          <t>FT4945</t>
        </is>
      </c>
      <c r="C134" s="29" t="inlineStr">
        <is>
          <t>환타 오렌지 355CAN X24</t>
        </is>
      </c>
      <c r="D134" s="29" t="inlineStr">
        <is>
          <t>탄산355캔</t>
        </is>
      </c>
      <c r="E134" s="9" t="n">
        <v>88</v>
      </c>
      <c r="F134" s="9" t="n"/>
      <c r="G134" s="245" t="n">
        <v>0</v>
      </c>
      <c r="H134" s="245" t="n">
        <v>0</v>
      </c>
      <c r="I134" s="245" t="n">
        <v>0</v>
      </c>
      <c r="J134" s="245" t="n">
        <v>0</v>
      </c>
      <c r="K134" s="245" t="n">
        <v>0</v>
      </c>
      <c r="L134" s="245" t="n">
        <v>0</v>
      </c>
      <c r="M134" s="245" t="n">
        <v>0</v>
      </c>
      <c r="N134" s="246" t="n">
        <v>0</v>
      </c>
      <c r="P134" s="0" t="n">
        <v>1</v>
      </c>
      <c r="T134" s="0">
        <f>(P134*E134)+(Q134*F134)+R134+S134</f>
        <v/>
      </c>
      <c r="U134" s="0">
        <f>K134-T134</f>
        <v/>
      </c>
      <c r="V134" s="0">
        <f>SUMIF('SAP(B117)'!B:B,월마감!B:B,'SAP(B117)'!Q:Q)</f>
        <v/>
      </c>
      <c r="W134" s="0">
        <f>T134-V134</f>
        <v/>
      </c>
    </row>
    <row r="135" hidden="1" ht="16.5" customHeight="1" s="237">
      <c r="A135" s="9" t="n">
        <v>4947</v>
      </c>
      <c r="B135" s="9" t="inlineStr">
        <is>
          <t>FT4947</t>
        </is>
      </c>
      <c r="C135" s="29" t="inlineStr">
        <is>
          <t>환타 오렌지 355CAN 4X6</t>
        </is>
      </c>
      <c r="D135" s="29" t="inlineStr">
        <is>
          <t>탄산355캔</t>
        </is>
      </c>
      <c r="E135" s="9" t="n"/>
      <c r="F135" s="9" t="n">
        <v>100</v>
      </c>
      <c r="G135" s="245" t="n">
        <v>0</v>
      </c>
      <c r="H135" s="245" t="n">
        <v>800</v>
      </c>
      <c r="I135" s="245" t="n">
        <v>90</v>
      </c>
      <c r="J135" s="245" t="n">
        <v>0</v>
      </c>
      <c r="K135" s="245" t="n">
        <v>890</v>
      </c>
      <c r="L135" s="245" t="n">
        <v>689</v>
      </c>
      <c r="M135" s="245" t="n">
        <v>200</v>
      </c>
      <c r="N135" s="246" t="n">
        <v>1</v>
      </c>
      <c r="P135" s="0" t="n">
        <v>1</v>
      </c>
      <c r="T135" s="0">
        <f>(P135*E135)+(Q135*F135)+R135+S135</f>
        <v/>
      </c>
      <c r="U135" s="0">
        <f>K135-T135</f>
        <v/>
      </c>
      <c r="V135" s="0">
        <f>SUMIF('SAP(B117)'!B:B,월마감!B:B,'SAP(B117)'!Q:Q)</f>
        <v/>
      </c>
      <c r="W135" s="0">
        <f>T135-V135</f>
        <v/>
      </c>
    </row>
    <row r="136" hidden="1" ht="16.5" customHeight="1" s="237">
      <c r="A136" s="9" t="n">
        <v>2524</v>
      </c>
      <c r="B136" s="9" t="inlineStr">
        <is>
          <t>CC2524</t>
        </is>
      </c>
      <c r="C136" s="29" t="inlineStr">
        <is>
          <t>코카콜라 (골드) 355CAN 4X6</t>
        </is>
      </c>
      <c r="D136" s="29" t="inlineStr">
        <is>
          <t>탄산355캔</t>
        </is>
      </c>
      <c r="E136" s="9" t="n"/>
      <c r="F136" s="9" t="n">
        <v>100</v>
      </c>
      <c r="G136" s="245" t="n">
        <v>0</v>
      </c>
      <c r="H136" s="245" t="n">
        <v>0</v>
      </c>
      <c r="I136" s="245" t="n">
        <v>0</v>
      </c>
      <c r="J136" s="245" t="n">
        <v>0</v>
      </c>
      <c r="K136" s="245" t="n">
        <v>0</v>
      </c>
      <c r="L136" s="245" t="n">
        <v>0</v>
      </c>
      <c r="M136" s="245" t="n">
        <v>0</v>
      </c>
      <c r="N136" s="246" t="n">
        <v>0</v>
      </c>
      <c r="P136" s="0" t="n">
        <v>1</v>
      </c>
      <c r="T136" s="0">
        <f>(P136*E136)+(Q136*F136)+R136+S136</f>
        <v/>
      </c>
      <c r="U136" s="0">
        <f>K136-T136</f>
        <v/>
      </c>
      <c r="V136" s="0">
        <f>SUMIF('SAP(B117)'!B:B,월마감!B:B,'SAP(B117)'!Q:Q)</f>
        <v/>
      </c>
      <c r="W136" s="0">
        <f>T136-V136</f>
        <v/>
      </c>
    </row>
    <row r="137" hidden="1" ht="16.5" customHeight="1" s="237">
      <c r="A137" s="9" t="n">
        <v>2522</v>
      </c>
      <c r="B137" s="9" t="inlineStr">
        <is>
          <t>CC2522</t>
        </is>
      </c>
      <c r="C137" s="29" t="inlineStr">
        <is>
          <t>코카콜라(한국) 355CAN 4X6</t>
        </is>
      </c>
      <c r="D137" s="29" t="inlineStr">
        <is>
          <t>탄산355캔</t>
        </is>
      </c>
      <c r="E137" s="9" t="n"/>
      <c r="F137" s="9" t="n">
        <v>90</v>
      </c>
      <c r="G137" s="245" t="n">
        <v>0</v>
      </c>
      <c r="H137" s="245" t="n">
        <v>180</v>
      </c>
      <c r="I137" s="245" t="n">
        <v>126</v>
      </c>
      <c r="J137" s="245" t="n">
        <v>0</v>
      </c>
      <c r="K137" s="245" t="n">
        <v>306</v>
      </c>
      <c r="L137" s="245" t="n">
        <v>306</v>
      </c>
      <c r="M137" s="245" t="n">
        <v>0</v>
      </c>
      <c r="N137" s="246" t="n">
        <v>0</v>
      </c>
      <c r="P137" s="0" t="n">
        <v>1</v>
      </c>
      <c r="T137" s="0">
        <f>(P137*E137)+(Q137*F137)+R137+S137</f>
        <v/>
      </c>
      <c r="U137" s="0">
        <f>K137-T137</f>
        <v/>
      </c>
      <c r="V137" s="0">
        <f>SUMIF('SAP(B117)'!B:B,월마감!B:B,'SAP(B117)'!Q:Q)</f>
        <v/>
      </c>
      <c r="W137" s="0">
        <f>T137-V137</f>
        <v/>
      </c>
    </row>
    <row r="138" customFormat="1" s="60">
      <c r="A138" s="9" t="n">
        <v>5641</v>
      </c>
      <c r="B138" s="77" t="inlineStr">
        <is>
          <t>MO5641</t>
        </is>
      </c>
      <c r="C138" s="78" t="inlineStr">
        <is>
          <t>몬스터 에너지 그린 355CAN 4X6</t>
        </is>
      </c>
      <c r="D138" s="29" t="inlineStr">
        <is>
          <t>탄산355캔</t>
        </is>
      </c>
      <c r="E138" s="77" t="n"/>
      <c r="F138" s="77" t="n">
        <v>108</v>
      </c>
      <c r="G138" s="247" t="n">
        <v>0</v>
      </c>
      <c r="H138" s="247" t="n">
        <v>5400</v>
      </c>
      <c r="I138" s="247" t="n">
        <v>174</v>
      </c>
      <c r="J138" s="247" t="n">
        <v>0</v>
      </c>
      <c r="K138" s="247" t="n">
        <v>5574</v>
      </c>
      <c r="L138" s="247" t="n">
        <v>5581</v>
      </c>
      <c r="M138" s="247" t="n">
        <v>0</v>
      </c>
      <c r="N138" s="248" t="n">
        <v>-5</v>
      </c>
      <c r="P138" s="250" t="n"/>
      <c r="Q138" s="250">
        <f>16+10+10+4+10</f>
        <v/>
      </c>
      <c r="R138" s="250">
        <f>16+51+106+3</f>
        <v/>
      </c>
      <c r="S138" s="250" t="n"/>
      <c r="T138" s="250">
        <f>(P138*E138)+(Q138*F138)+R138+S138</f>
        <v/>
      </c>
      <c r="U138" s="250">
        <f>K138-T138</f>
        <v/>
      </c>
      <c r="V138" s="81">
        <f>SUMIF('SAP(B117)'!B:B,월마감!B:B,'SAP(B117)'!Q:Q)</f>
        <v/>
      </c>
      <c r="W138" s="81">
        <f>T138-V138</f>
        <v/>
      </c>
    </row>
    <row r="139" hidden="1" ht="16.5" customHeight="1" s="237">
      <c r="A139" s="9" t="n">
        <v>5643</v>
      </c>
      <c r="B139" s="9" t="inlineStr">
        <is>
          <t>MO5643</t>
        </is>
      </c>
      <c r="C139" s="29" t="inlineStr">
        <is>
          <t>몬스터 에너지 울트라 355CAN 4X6</t>
        </is>
      </c>
      <c r="D139" s="29" t="inlineStr">
        <is>
          <t>탄산355캔</t>
        </is>
      </c>
      <c r="E139" s="9" t="n"/>
      <c r="F139" s="9" t="n">
        <v>108</v>
      </c>
      <c r="G139" s="245" t="n">
        <v>0</v>
      </c>
      <c r="H139" s="245" t="n">
        <v>4212</v>
      </c>
      <c r="I139" s="245" t="n">
        <v>196</v>
      </c>
      <c r="J139" s="245" t="n">
        <v>0</v>
      </c>
      <c r="K139" s="245" t="n">
        <v>4408</v>
      </c>
      <c r="L139" s="245" t="n">
        <v>4407</v>
      </c>
      <c r="M139" s="245" t="n">
        <v>0</v>
      </c>
      <c r="N139" s="246" t="n">
        <v>1</v>
      </c>
      <c r="P139" s="0" t="n">
        <v>1</v>
      </c>
      <c r="T139" s="0">
        <f>(P139*E139)+(Q139*F139)+R139+S139</f>
        <v/>
      </c>
      <c r="U139" s="0">
        <f>K139-T139</f>
        <v/>
      </c>
      <c r="V139" s="0">
        <f>SUMIF('SAP(B117)'!B:B,월마감!B:B,'SAP(B117)'!Q:Q)</f>
        <v/>
      </c>
      <c r="W139" s="0">
        <f>T139-V139</f>
        <v/>
      </c>
    </row>
    <row r="140" hidden="1" ht="16.5" customHeight="1" s="237">
      <c r="A140" s="9" t="n">
        <v>4951</v>
      </c>
      <c r="B140" s="9" t="inlineStr">
        <is>
          <t>FT4951</t>
        </is>
      </c>
      <c r="C140" s="29" t="inlineStr">
        <is>
          <t>S)환타 파인 355CAN 4X6</t>
        </is>
      </c>
      <c r="D140" s="29" t="inlineStr">
        <is>
          <t>탄산355캔</t>
        </is>
      </c>
      <c r="E140" s="9" t="n"/>
      <c r="F140" s="9" t="n">
        <v>100</v>
      </c>
      <c r="G140" s="245" t="n">
        <v>0</v>
      </c>
      <c r="H140" s="245" t="n">
        <v>0</v>
      </c>
      <c r="I140" s="245" t="n">
        <v>0</v>
      </c>
      <c r="J140" s="245" t="n">
        <v>0</v>
      </c>
      <c r="K140" s="245" t="n">
        <v>0</v>
      </c>
      <c r="L140" s="245" t="n">
        <v>0</v>
      </c>
      <c r="M140" s="245" t="n">
        <v>0</v>
      </c>
      <c r="N140" s="246" t="n">
        <v>0</v>
      </c>
      <c r="P140" s="0" t="n">
        <v>1</v>
      </c>
      <c r="T140" s="0">
        <f>(P140*E140)+(Q140*F140)+R140+S140</f>
        <v/>
      </c>
      <c r="U140" s="0">
        <f>K140-T140</f>
        <v/>
      </c>
      <c r="V140" s="0">
        <f>SUMIF('SAP(B117)'!B:B,월마감!B:B,'SAP(B117)'!Q:Q)</f>
        <v/>
      </c>
      <c r="W140" s="0">
        <f>T140-V140</f>
        <v/>
      </c>
    </row>
    <row r="141" hidden="1" ht="16.5" customHeight="1" s="237">
      <c r="A141" s="9" t="n">
        <v>6113</v>
      </c>
      <c r="B141" s="9" t="inlineStr">
        <is>
          <t>SP6113</t>
        </is>
      </c>
      <c r="C141" s="29" t="inlineStr">
        <is>
          <t>스프라이트 355CAN X24</t>
        </is>
      </c>
      <c r="D141" s="29" t="inlineStr">
        <is>
          <t>탄산355캔</t>
        </is>
      </c>
      <c r="E141" s="9" t="n">
        <v>88</v>
      </c>
      <c r="F141" s="9" t="n"/>
      <c r="G141" s="245" t="n">
        <v>0</v>
      </c>
      <c r="H141" s="245" t="n">
        <v>0</v>
      </c>
      <c r="I141" s="245" t="n">
        <v>0</v>
      </c>
      <c r="J141" s="245" t="n">
        <v>0</v>
      </c>
      <c r="K141" s="245" t="n">
        <v>0</v>
      </c>
      <c r="L141" s="245" t="n">
        <v>0</v>
      </c>
      <c r="M141" s="245" t="n">
        <v>0</v>
      </c>
      <c r="N141" s="246" t="n">
        <v>0</v>
      </c>
      <c r="P141" s="0" t="n">
        <v>1</v>
      </c>
      <c r="T141" s="0">
        <f>(P141*E141)+(Q141*F141)+R141+S141</f>
        <v/>
      </c>
      <c r="U141" s="0">
        <f>K141-T141</f>
        <v/>
      </c>
      <c r="V141" s="0">
        <f>SUMIF('SAP(B117)'!B:B,월마감!B:B,'SAP(B117)'!Q:Q)</f>
        <v/>
      </c>
      <c r="W141" s="0">
        <f>T141-V141</f>
        <v/>
      </c>
    </row>
    <row r="142" hidden="1" ht="16.5" customHeight="1" s="237">
      <c r="A142" s="9" t="n">
        <v>7984</v>
      </c>
      <c r="B142" s="9" t="inlineStr">
        <is>
          <t>DP7984</t>
        </is>
      </c>
      <c r="C142" s="29" t="inlineStr">
        <is>
          <t>닥터페퍼 355CAN X24</t>
        </is>
      </c>
      <c r="D142" s="29" t="inlineStr">
        <is>
          <t>탄산355캔</t>
        </is>
      </c>
      <c r="E142" s="9" t="n">
        <v>88</v>
      </c>
      <c r="F142" s="9" t="n"/>
      <c r="G142" s="245" t="n">
        <v>176</v>
      </c>
      <c r="H142" s="245" t="n">
        <v>0</v>
      </c>
      <c r="I142" s="245" t="n">
        <v>144</v>
      </c>
      <c r="J142" s="245" t="n">
        <v>0</v>
      </c>
      <c r="K142" s="245" t="n">
        <v>320</v>
      </c>
      <c r="L142" s="245" t="n">
        <v>321</v>
      </c>
      <c r="M142" s="245" t="n">
        <v>0</v>
      </c>
      <c r="N142" s="246" t="n">
        <v>-1</v>
      </c>
      <c r="P142" s="0" t="n">
        <v>1</v>
      </c>
      <c r="T142" s="0">
        <f>(P142*E142)+(Q142*F142)+R142+S142</f>
        <v/>
      </c>
      <c r="U142" s="0">
        <f>K142-T142</f>
        <v/>
      </c>
      <c r="V142" s="0">
        <f>SUMIF('SAP(B117)'!B:B,월마감!B:B,'SAP(B117)'!Q:Q)</f>
        <v/>
      </c>
      <c r="W142" s="0">
        <f>T142-V142</f>
        <v/>
      </c>
    </row>
    <row r="143" hidden="1" ht="16.5" customHeight="1" s="237">
      <c r="A143" s="9" t="n">
        <v>2565</v>
      </c>
      <c r="B143" s="9" t="inlineStr">
        <is>
          <t>CC2565</t>
        </is>
      </c>
      <c r="C143" s="29" t="inlineStr">
        <is>
          <t>QSR)코카콜라 500PET X24</t>
        </is>
      </c>
      <c r="D143" s="29" t="inlineStr">
        <is>
          <t>탄산500</t>
        </is>
      </c>
      <c r="E143" s="9" t="n">
        <v>48</v>
      </c>
      <c r="F143" s="9" t="n"/>
      <c r="G143" s="245" t="n">
        <v>0</v>
      </c>
      <c r="H143" s="245" t="n">
        <v>0</v>
      </c>
      <c r="I143" s="245" t="n">
        <v>0</v>
      </c>
      <c r="J143" s="245" t="n">
        <v>0</v>
      </c>
      <c r="K143" s="245" t="n">
        <v>0</v>
      </c>
      <c r="L143" s="245" t="n">
        <v>0</v>
      </c>
      <c r="M143" s="245" t="n">
        <v>0</v>
      </c>
      <c r="N143" s="246" t="n">
        <v>0</v>
      </c>
      <c r="P143" s="0" t="n">
        <v>1</v>
      </c>
      <c r="T143" s="0">
        <f>(P143*E143)+(Q143*F143)+R143+S143</f>
        <v/>
      </c>
      <c r="U143" s="0">
        <f>K143-T143</f>
        <v/>
      </c>
      <c r="V143" s="0">
        <f>SUMIF('SAP(B117)'!B:B,월마감!B:B,'SAP(B117)'!Q:Q)</f>
        <v/>
      </c>
      <c r="W143" s="0">
        <f>T143-V143</f>
        <v/>
      </c>
    </row>
    <row r="144" hidden="1" ht="16.5" customHeight="1" s="237">
      <c r="A144" s="9" t="n">
        <v>4224</v>
      </c>
      <c r="B144" s="9" t="inlineStr">
        <is>
          <t>AB4224</t>
        </is>
      </c>
      <c r="C144" s="29" t="inlineStr">
        <is>
          <t>암바사 500PET X24</t>
        </is>
      </c>
      <c r="D144" s="29" t="inlineStr">
        <is>
          <t>탄산500</t>
        </is>
      </c>
      <c r="E144" s="9" t="n">
        <v>48</v>
      </c>
      <c r="F144" s="9" t="n"/>
      <c r="G144" s="245" t="n">
        <v>0</v>
      </c>
      <c r="H144" s="245" t="n">
        <v>0</v>
      </c>
      <c r="I144" s="245" t="n">
        <v>46</v>
      </c>
      <c r="J144" s="245" t="n">
        <v>0</v>
      </c>
      <c r="K144" s="245" t="n">
        <v>46</v>
      </c>
      <c r="L144" s="245" t="n">
        <v>46</v>
      </c>
      <c r="M144" s="245" t="n">
        <v>0</v>
      </c>
      <c r="N144" s="246" t="n">
        <v>0</v>
      </c>
      <c r="P144" s="0" t="n">
        <v>1</v>
      </c>
      <c r="T144" s="0">
        <f>(P144*E144)+(Q144*F144)+R144+S144</f>
        <v/>
      </c>
      <c r="U144" s="0">
        <f>K144-T144</f>
        <v/>
      </c>
      <c r="V144" s="0">
        <f>SUMIF('SAP(B117)'!B:B,월마감!B:B,'SAP(B117)'!Q:Q)</f>
        <v/>
      </c>
      <c r="W144" s="0">
        <f>T144-V144</f>
        <v/>
      </c>
    </row>
    <row r="145" hidden="1" ht="16.5" customHeight="1" s="237">
      <c r="A145" s="9" t="n">
        <v>4430</v>
      </c>
      <c r="B145" s="9" t="inlineStr">
        <is>
          <t>CC4430</t>
        </is>
      </c>
      <c r="C145" s="29" t="inlineStr">
        <is>
          <t>코크제로 500PET X24</t>
        </is>
      </c>
      <c r="D145" s="29" t="inlineStr">
        <is>
          <t>탄산500</t>
        </is>
      </c>
      <c r="E145" s="9" t="n">
        <v>48</v>
      </c>
      <c r="F145" s="9" t="n"/>
      <c r="G145" s="245" t="n">
        <v>0</v>
      </c>
      <c r="H145" s="245" t="n">
        <v>0</v>
      </c>
      <c r="I145" s="245" t="n">
        <v>0</v>
      </c>
      <c r="J145" s="245" t="n">
        <v>0</v>
      </c>
      <c r="K145" s="245" t="n">
        <v>0</v>
      </c>
      <c r="L145" s="245" t="n">
        <v>0</v>
      </c>
      <c r="M145" s="245" t="n">
        <v>0</v>
      </c>
      <c r="N145" s="246" t="n">
        <v>0</v>
      </c>
      <c r="P145" s="0" t="n">
        <v>1</v>
      </c>
      <c r="T145" s="0">
        <f>(P145*E145)+(Q145*F145)+R145+S145</f>
        <v/>
      </c>
      <c r="U145" s="0">
        <f>K145-T145</f>
        <v/>
      </c>
      <c r="V145" s="0">
        <f>SUMIF('SAP(B117)'!B:B,월마감!B:B,'SAP(B117)'!Q:Q)</f>
        <v/>
      </c>
      <c r="W145" s="0">
        <f>T145-V145</f>
        <v/>
      </c>
    </row>
    <row r="146">
      <c r="A146" s="9" t="n">
        <v>4432</v>
      </c>
      <c r="B146" s="66" t="inlineStr">
        <is>
          <t>CC4432</t>
        </is>
      </c>
      <c r="C146" s="67" t="inlineStr">
        <is>
          <t>S)코크제로 500PET 4X6</t>
        </is>
      </c>
      <c r="D146" s="29" t="inlineStr">
        <is>
          <t>탄산500</t>
        </is>
      </c>
      <c r="E146" s="66" t="n">
        <v>48</v>
      </c>
      <c r="F146" s="66" t="n">
        <v>50</v>
      </c>
      <c r="G146" s="245" t="n">
        <v>0</v>
      </c>
      <c r="H146" s="245" t="n">
        <v>1250</v>
      </c>
      <c r="I146" s="245" t="n">
        <v>71</v>
      </c>
      <c r="J146" s="245" t="n">
        <v>0</v>
      </c>
      <c r="K146" s="245" t="n">
        <v>1321</v>
      </c>
      <c r="L146" s="245" t="n">
        <v>1225</v>
      </c>
      <c r="M146" s="245" t="n">
        <v>100</v>
      </c>
      <c r="N146" s="246" t="n">
        <v>-4</v>
      </c>
      <c r="P146" s="252" t="n"/>
      <c r="Q146" s="252" t="n">
        <v>24</v>
      </c>
      <c r="R146" s="252">
        <f>22+49</f>
        <v/>
      </c>
      <c r="S146" s="252" t="n"/>
      <c r="T146" s="252">
        <f>(P146*E146)+(Q146*F146)+R146+S146</f>
        <v/>
      </c>
      <c r="U146" s="252">
        <f>K146-T146</f>
        <v/>
      </c>
      <c r="V146" s="76">
        <f>SUMIF('SAP(B117)'!B:B,월마감!B:B,'SAP(B117)'!Q:Q)</f>
        <v/>
      </c>
      <c r="W146" s="76">
        <f>T146-V146</f>
        <v/>
      </c>
    </row>
    <row r="147">
      <c r="A147" s="9" t="n">
        <v>6117</v>
      </c>
      <c r="B147" s="66" t="inlineStr">
        <is>
          <t>SP6117</t>
        </is>
      </c>
      <c r="C147" s="67" t="inlineStr">
        <is>
          <t>S)스프라이트 500PET 4X6</t>
        </is>
      </c>
      <c r="D147" s="29" t="inlineStr">
        <is>
          <t>탄산500</t>
        </is>
      </c>
      <c r="E147" s="66" t="n">
        <v>40</v>
      </c>
      <c r="F147" s="66" t="n">
        <v>50</v>
      </c>
      <c r="G147" s="245" t="n">
        <v>0</v>
      </c>
      <c r="H147" s="245" t="n">
        <v>2400</v>
      </c>
      <c r="I147" s="245" t="n">
        <v>76</v>
      </c>
      <c r="J147" s="245" t="n">
        <v>0</v>
      </c>
      <c r="K147" s="245" t="n">
        <v>2476</v>
      </c>
      <c r="L147" s="245" t="n">
        <v>1880</v>
      </c>
      <c r="M147" s="245" t="n">
        <v>600</v>
      </c>
      <c r="N147" s="246" t="n">
        <v>-4</v>
      </c>
      <c r="P147" s="252" t="n"/>
      <c r="Q147" s="252">
        <f>24+14</f>
        <v/>
      </c>
      <c r="R147" s="252">
        <f>30+30+20+2+6+10</f>
        <v/>
      </c>
      <c r="S147" s="252" t="n"/>
      <c r="T147" s="252">
        <f>(P147*E147)+(Q147*F147)+R147+S147</f>
        <v/>
      </c>
      <c r="U147" s="252">
        <f>K147-T147</f>
        <v/>
      </c>
      <c r="V147" s="76">
        <f>SUMIF('SAP(B117)'!B:B,월마감!B:B,'SAP(B117)'!Q:Q)</f>
        <v/>
      </c>
      <c r="W147" s="76">
        <f>T147-V147</f>
        <v/>
      </c>
    </row>
    <row r="148" hidden="1" ht="16.5" customHeight="1" s="237">
      <c r="A148" s="9" t="n">
        <v>6118</v>
      </c>
      <c r="B148" s="9" t="inlineStr">
        <is>
          <t>SP6118</t>
        </is>
      </c>
      <c r="C148" s="29" t="inlineStr">
        <is>
          <t>QSR)스프라이트 500PET X24</t>
        </is>
      </c>
      <c r="D148" s="29" t="inlineStr">
        <is>
          <t>탄산500</t>
        </is>
      </c>
      <c r="E148" s="9" t="n">
        <v>48</v>
      </c>
      <c r="F148" s="9" t="n"/>
      <c r="G148" s="245" t="n">
        <v>0</v>
      </c>
      <c r="H148" s="245" t="n">
        <v>0</v>
      </c>
      <c r="I148" s="245" t="n">
        <v>0</v>
      </c>
      <c r="J148" s="245" t="n">
        <v>0</v>
      </c>
      <c r="K148" s="245" t="n">
        <v>0</v>
      </c>
      <c r="L148" s="245" t="n">
        <v>0</v>
      </c>
      <c r="M148" s="245" t="n">
        <v>0</v>
      </c>
      <c r="N148" s="246" t="n">
        <v>0</v>
      </c>
      <c r="P148" s="0" t="n">
        <v>1</v>
      </c>
      <c r="T148" s="0">
        <f>(P148*E148)+(Q148*F148)+R148+S148</f>
        <v/>
      </c>
      <c r="U148" s="0">
        <f>K148-T148</f>
        <v/>
      </c>
      <c r="V148" s="0">
        <f>SUMIF('SAP(B117)'!B:B,월마감!B:B,'SAP(B117)'!Q:Q)</f>
        <v/>
      </c>
      <c r="W148" s="0">
        <f>T148-V148</f>
        <v/>
      </c>
    </row>
    <row r="149" hidden="1" ht="16.5" customHeight="1" s="237">
      <c r="A149" s="9" t="n">
        <v>6670</v>
      </c>
      <c r="B149" s="9" t="inlineStr">
        <is>
          <t>CC6670</t>
        </is>
      </c>
      <c r="C149" s="31" t="inlineStr">
        <is>
          <t>코카콜라 500PET X24</t>
        </is>
      </c>
      <c r="D149" s="29" t="inlineStr">
        <is>
          <t>탄산500</t>
        </is>
      </c>
      <c r="E149" s="9" t="n">
        <v>48</v>
      </c>
      <c r="F149" s="9" t="n">
        <v>50</v>
      </c>
      <c r="G149" s="245" t="n">
        <v>0</v>
      </c>
      <c r="H149" s="245" t="n">
        <v>0</v>
      </c>
      <c r="I149" s="245" t="n">
        <v>0</v>
      </c>
      <c r="J149" s="245" t="n">
        <v>0</v>
      </c>
      <c r="K149" s="245" t="n">
        <v>0</v>
      </c>
      <c r="L149" s="245" t="n">
        <v>0</v>
      </c>
      <c r="M149" s="245" t="n">
        <v>0</v>
      </c>
      <c r="N149" s="246" t="n">
        <v>0</v>
      </c>
      <c r="P149" s="0" t="n">
        <v>1</v>
      </c>
      <c r="T149" s="0">
        <f>(P149*E149)+(Q149*F149)+R149+S149</f>
        <v/>
      </c>
      <c r="U149" s="0">
        <f>K149-T149</f>
        <v/>
      </c>
      <c r="V149" s="0">
        <f>SUMIF('SAP(B117)'!B:B,월마감!B:B,'SAP(B117)'!Q:Q)</f>
        <v/>
      </c>
      <c r="W149" s="0">
        <f>T149-V149</f>
        <v/>
      </c>
    </row>
    <row r="150">
      <c r="A150" s="9" t="n">
        <v>6676</v>
      </c>
      <c r="B150" s="66" t="inlineStr">
        <is>
          <t>CC6676</t>
        </is>
      </c>
      <c r="C150" s="67" t="inlineStr">
        <is>
          <t>S)코카콜라 500PET 4X6</t>
        </is>
      </c>
      <c r="D150" s="29" t="inlineStr">
        <is>
          <t>탄산500</t>
        </is>
      </c>
      <c r="E150" s="66" t="n">
        <v>40</v>
      </c>
      <c r="F150" s="66" t="n">
        <v>50</v>
      </c>
      <c r="G150" s="245" t="n">
        <v>0</v>
      </c>
      <c r="H150" s="245" t="n">
        <v>6800</v>
      </c>
      <c r="I150" s="245" t="n">
        <v>53</v>
      </c>
      <c r="J150" s="245" t="n">
        <v>2</v>
      </c>
      <c r="K150" s="245" t="n">
        <v>6855</v>
      </c>
      <c r="L150" s="245" t="n">
        <v>5172</v>
      </c>
      <c r="M150" s="245" t="n">
        <v>1700</v>
      </c>
      <c r="N150" s="246" t="n">
        <v>-17</v>
      </c>
      <c r="P150" s="252" t="n"/>
      <c r="Q150" s="252">
        <f>53+1+30+20</f>
        <v/>
      </c>
      <c r="R150" s="252">
        <f>20+20+20</f>
        <v/>
      </c>
      <c r="S150" s="252" t="n"/>
      <c r="T150" s="252">
        <f>(P150*E150)+(Q150*F150)+R150+S150</f>
        <v/>
      </c>
      <c r="U150" s="252">
        <f>K150-T150</f>
        <v/>
      </c>
      <c r="V150" s="76">
        <f>SUMIF('SAP(B117)'!B:B,월마감!B:B,'SAP(B117)'!Q:Q)</f>
        <v/>
      </c>
      <c r="W150" s="76">
        <f>T150-V150</f>
        <v/>
      </c>
    </row>
    <row r="151" hidden="1" ht="16.5" customHeight="1" s="237">
      <c r="A151" s="9" t="n">
        <v>4822</v>
      </c>
      <c r="B151" s="9" t="inlineStr">
        <is>
          <t>CC4822</t>
        </is>
      </c>
      <c r="C151" s="29" t="inlineStr">
        <is>
          <t>코카콜라 500CAN X24</t>
        </is>
      </c>
      <c r="D151" s="29" t="inlineStr">
        <is>
          <t>탄산500캔</t>
        </is>
      </c>
      <c r="E151" s="9" t="n">
        <v>48</v>
      </c>
      <c r="F151" s="9" t="n"/>
      <c r="G151" s="245" t="n">
        <v>0</v>
      </c>
      <c r="H151" s="245" t="n">
        <v>0</v>
      </c>
      <c r="I151" s="245" t="n">
        <v>0</v>
      </c>
      <c r="J151" s="245" t="n">
        <v>0</v>
      </c>
      <c r="K151" s="245" t="n">
        <v>0</v>
      </c>
      <c r="L151" s="245" t="n">
        <v>0</v>
      </c>
      <c r="M151" s="245" t="n">
        <v>0</v>
      </c>
      <c r="N151" s="246" t="n">
        <v>0</v>
      </c>
      <c r="P151" s="0" t="n">
        <v>1</v>
      </c>
      <c r="T151" s="0">
        <f>(P151*E151)+(Q151*F151)+R151+S151</f>
        <v/>
      </c>
      <c r="U151" s="0">
        <f>K151-T151</f>
        <v/>
      </c>
      <c r="V151" s="0">
        <f>SUMIF('SAP(B117)'!B:B,월마감!B:B,'SAP(B117)'!Q:Q)</f>
        <v/>
      </c>
      <c r="W151" s="0">
        <f>T151-V151</f>
        <v/>
      </c>
    </row>
    <row r="152" hidden="1" ht="16.5" customHeight="1" s="237">
      <c r="A152" s="9" t="n">
        <v>6126</v>
      </c>
      <c r="B152" s="9" t="inlineStr">
        <is>
          <t>SP6126</t>
        </is>
      </c>
      <c r="C152" s="29" t="inlineStr">
        <is>
          <t>스프라이트 500CAN X24</t>
        </is>
      </c>
      <c r="D152" s="29" t="inlineStr">
        <is>
          <t>탄산500캔</t>
        </is>
      </c>
      <c r="E152" s="9" t="n">
        <v>48</v>
      </c>
      <c r="F152" s="9" t="n"/>
      <c r="G152" s="245" t="n">
        <v>0</v>
      </c>
      <c r="H152" s="245" t="n">
        <v>0</v>
      </c>
      <c r="I152" s="245" t="n">
        <v>0</v>
      </c>
      <c r="J152" s="245" t="n">
        <v>0</v>
      </c>
      <c r="K152" s="245" t="n">
        <v>0</v>
      </c>
      <c r="L152" s="245" t="n">
        <v>0</v>
      </c>
      <c r="M152" s="245" t="n">
        <v>0</v>
      </c>
      <c r="N152" s="246" t="n">
        <v>0</v>
      </c>
      <c r="P152" s="0" t="n">
        <v>1</v>
      </c>
      <c r="T152" s="0">
        <f>(P152*E152)+(Q152*F152)+R152+S152</f>
        <v/>
      </c>
      <c r="U152" s="0">
        <f>K152-T152</f>
        <v/>
      </c>
      <c r="V152" s="0">
        <f>SUMIF('SAP(B117)'!B:B,월마감!B:B,'SAP(B117)'!Q:Q)</f>
        <v/>
      </c>
      <c r="W152" s="0">
        <f>T152-V152</f>
        <v/>
      </c>
    </row>
    <row r="153" hidden="1" ht="16.5" customHeight="1" s="237">
      <c r="A153" s="9" t="n">
        <v>5732</v>
      </c>
      <c r="B153" s="9" t="inlineStr">
        <is>
          <t>CC5732</t>
        </is>
      </c>
      <c r="C153" s="29" t="inlineStr">
        <is>
          <t>코카콜라 600PET X24</t>
        </is>
      </c>
      <c r="D153" s="29" t="inlineStr">
        <is>
          <t>탄산600</t>
        </is>
      </c>
      <c r="E153" s="9" t="n">
        <v>36</v>
      </c>
      <c r="F153" s="9" t="n"/>
      <c r="G153" s="245" t="n">
        <v>0</v>
      </c>
      <c r="H153" s="245" t="n">
        <v>0</v>
      </c>
      <c r="I153" s="245" t="n">
        <v>0</v>
      </c>
      <c r="J153" s="245" t="n">
        <v>0</v>
      </c>
      <c r="K153" s="245" t="n">
        <v>0</v>
      </c>
      <c r="L153" s="245" t="n">
        <v>0</v>
      </c>
      <c r="M153" s="245" t="n">
        <v>0</v>
      </c>
      <c r="N153" s="246" t="n">
        <v>0</v>
      </c>
      <c r="P153" s="0" t="n">
        <v>1</v>
      </c>
      <c r="T153" s="0">
        <f>(P153*E153)+(Q153*F153)+R153+S153</f>
        <v/>
      </c>
      <c r="U153" s="0">
        <f>K153-T153</f>
        <v/>
      </c>
      <c r="V153" s="0">
        <f>SUMIF('SAP(B117)'!B:B,월마감!B:B,'SAP(B117)'!Q:Q)</f>
        <v/>
      </c>
      <c r="W153" s="0">
        <f>T153-V153</f>
        <v/>
      </c>
    </row>
    <row r="154" hidden="1" ht="16.5" customHeight="1" s="237">
      <c r="A154" s="9" t="n">
        <v>8207</v>
      </c>
      <c r="B154" s="9" t="inlineStr">
        <is>
          <t>FT8207</t>
        </is>
      </c>
      <c r="C154" s="29" t="inlineStr">
        <is>
          <t>환타 파인 600PET X24</t>
        </is>
      </c>
      <c r="D154" s="29" t="inlineStr">
        <is>
          <t>탄산600</t>
        </is>
      </c>
      <c r="E154" s="9" t="n">
        <v>36</v>
      </c>
      <c r="F154" s="9" t="n"/>
      <c r="G154" s="245" t="n">
        <v>0</v>
      </c>
      <c r="H154" s="245" t="n">
        <v>0</v>
      </c>
      <c r="I154" s="245" t="n">
        <v>27</v>
      </c>
      <c r="J154" s="245" t="n">
        <v>0</v>
      </c>
      <c r="K154" s="245" t="n">
        <v>27</v>
      </c>
      <c r="L154" s="245" t="n">
        <v>27</v>
      </c>
      <c r="M154" s="245" t="n">
        <v>0</v>
      </c>
      <c r="N154" s="246" t="n">
        <v>0</v>
      </c>
      <c r="P154" s="0" t="n">
        <v>1</v>
      </c>
      <c r="T154" s="0">
        <f>(P154*E154)+(Q154*F154)+R154+S154</f>
        <v/>
      </c>
      <c r="U154" s="0">
        <f>K154-T154</f>
        <v/>
      </c>
      <c r="V154" s="0">
        <f>SUMIF('SAP(B117)'!B:B,월마감!B:B,'SAP(B117)'!Q:Q)</f>
        <v/>
      </c>
      <c r="W154" s="0">
        <f>T154-V154</f>
        <v/>
      </c>
    </row>
    <row r="155" hidden="1" ht="15" customHeight="1" s="237">
      <c r="A155" s="9" t="n">
        <v>5748</v>
      </c>
      <c r="B155" s="9" t="inlineStr">
        <is>
          <t>FT5748</t>
        </is>
      </c>
      <c r="C155" s="29" t="inlineStr">
        <is>
          <t>S)환타 오렌지 600PET 4X6</t>
        </is>
      </c>
      <c r="D155" s="29" t="inlineStr">
        <is>
          <t>탄산600</t>
        </is>
      </c>
      <c r="E155" s="9" t="n">
        <v>24</v>
      </c>
      <c r="F155" s="9" t="n">
        <v>32</v>
      </c>
      <c r="G155" s="245" t="n">
        <v>0</v>
      </c>
      <c r="H155" s="245" t="n">
        <v>1312</v>
      </c>
      <c r="I155" s="245" t="n">
        <v>33</v>
      </c>
      <c r="J155" s="245" t="n">
        <v>0</v>
      </c>
      <c r="K155" s="245" t="n">
        <v>1345</v>
      </c>
      <c r="L155" s="245" t="n">
        <v>1026</v>
      </c>
      <c r="M155" s="245" t="n">
        <v>320</v>
      </c>
      <c r="N155" s="246" t="n">
        <v>-1</v>
      </c>
      <c r="P155" s="0" t="n">
        <v>1</v>
      </c>
      <c r="T155" s="0">
        <f>(P155*E155)+(Q155*F155)+R155+S155</f>
        <v/>
      </c>
      <c r="U155" s="0">
        <f>K155-T155</f>
        <v/>
      </c>
      <c r="V155" s="0">
        <f>SUMIF('SAP(B117)'!B:B,월마감!B:B,'SAP(B117)'!Q:Q)</f>
        <v/>
      </c>
      <c r="W155" s="0">
        <f>T155-V155</f>
        <v/>
      </c>
    </row>
    <row r="156" hidden="1" ht="16.5" customHeight="1" s="237">
      <c r="A156" s="9" t="n">
        <v>4126</v>
      </c>
      <c r="B156" s="9" t="inlineStr">
        <is>
          <t>MM4126</t>
        </is>
      </c>
      <c r="C156" s="29" t="inlineStr">
        <is>
          <t>미닛 오렌지 190PU 5X10</t>
        </is>
      </c>
      <c r="D156" s="29" t="inlineStr">
        <is>
          <t>파우치</t>
        </is>
      </c>
      <c r="E156" s="9" t="n"/>
      <c r="F156" s="9" t="n">
        <v>56</v>
      </c>
      <c r="G156" s="245" t="n">
        <v>0</v>
      </c>
      <c r="H156" s="245" t="n">
        <v>0</v>
      </c>
      <c r="I156" s="245" t="n">
        <v>0</v>
      </c>
      <c r="J156" s="245" t="n">
        <v>0</v>
      </c>
      <c r="K156" s="245" t="n">
        <v>0</v>
      </c>
      <c r="L156" s="245" t="n">
        <v>0</v>
      </c>
      <c r="M156" s="245" t="n">
        <v>0</v>
      </c>
      <c r="N156" s="246" t="n">
        <v>0</v>
      </c>
      <c r="P156" s="0" t="n">
        <v>1</v>
      </c>
      <c r="T156" s="0">
        <f>(P156*E156)+(Q156*F156)+R156+S156</f>
        <v/>
      </c>
      <c r="U156" s="0">
        <f>K156-T156</f>
        <v/>
      </c>
      <c r="V156" s="0">
        <f>SUMIF('SAP(B117)'!B:B,월마감!B:B,'SAP(B117)'!Q:Q)</f>
        <v/>
      </c>
      <c r="W156" s="0">
        <f>T156-V156</f>
        <v/>
      </c>
    </row>
    <row r="157" hidden="1" ht="16.5" customHeight="1" s="237">
      <c r="A157" s="9" t="n">
        <v>4127</v>
      </c>
      <c r="B157" s="9" t="inlineStr">
        <is>
          <t>MM4127</t>
        </is>
      </c>
      <c r="C157" s="29" t="inlineStr">
        <is>
          <t>미닛 망고 190PU 5X10</t>
        </is>
      </c>
      <c r="D157" s="29" t="inlineStr">
        <is>
          <t>파우치</t>
        </is>
      </c>
      <c r="E157" s="9" t="n"/>
      <c r="F157" s="9" t="n">
        <v>56</v>
      </c>
      <c r="G157" s="245" t="n">
        <v>0</v>
      </c>
      <c r="H157" s="245" t="n">
        <v>0</v>
      </c>
      <c r="I157" s="245" t="n">
        <v>0</v>
      </c>
      <c r="J157" s="245" t="n">
        <v>0</v>
      </c>
      <c r="K157" s="245" t="n">
        <v>0</v>
      </c>
      <c r="L157" s="245" t="n">
        <v>0</v>
      </c>
      <c r="M157" s="245" t="n">
        <v>0</v>
      </c>
      <c r="N157" s="246" t="n">
        <v>0</v>
      </c>
      <c r="P157" s="0" t="n">
        <v>1</v>
      </c>
      <c r="T157" s="0">
        <f>(P157*E157)+(Q157*F157)+R157+S157</f>
        <v/>
      </c>
      <c r="U157" s="0">
        <f>K157-T157</f>
        <v/>
      </c>
      <c r="V157" s="0">
        <f>SUMIF('SAP(B117)'!B:B,월마감!B:B,'SAP(B117)'!Q:Q)</f>
        <v/>
      </c>
      <c r="W157" s="0">
        <f>T157-V157</f>
        <v/>
      </c>
    </row>
    <row r="158" hidden="1" ht="15" customHeight="1" s="237">
      <c r="A158" s="9" t="n">
        <v>4128</v>
      </c>
      <c r="B158" s="9" t="inlineStr">
        <is>
          <t>MM4128</t>
        </is>
      </c>
      <c r="C158" s="29" t="inlineStr">
        <is>
          <t>미닛 포도아사이 190PU 5X10</t>
        </is>
      </c>
      <c r="D158" s="29" t="inlineStr">
        <is>
          <t>파우치</t>
        </is>
      </c>
      <c r="E158" s="9" t="n"/>
      <c r="F158" s="9" t="n">
        <v>56</v>
      </c>
      <c r="G158" s="245" t="n">
        <v>0</v>
      </c>
      <c r="H158" s="245" t="n">
        <v>0</v>
      </c>
      <c r="I158" s="245" t="n">
        <v>0</v>
      </c>
      <c r="J158" s="245" t="n">
        <v>0</v>
      </c>
      <c r="K158" s="245" t="n">
        <v>0</v>
      </c>
      <c r="L158" s="245" t="n">
        <v>0</v>
      </c>
      <c r="M158" s="245" t="n">
        <v>0</v>
      </c>
      <c r="N158" s="246" t="n">
        <v>0</v>
      </c>
      <c r="P158" s="0" t="n">
        <v>1</v>
      </c>
      <c r="T158" s="0">
        <f>(P158*E158)+(Q158*F158)+R158+S158</f>
        <v/>
      </c>
      <c r="U158" s="0">
        <f>K158-T158</f>
        <v/>
      </c>
      <c r="V158" s="0">
        <f>SUMIF('SAP(B117)'!B:B,월마감!B:B,'SAP(B117)'!Q:Q)</f>
        <v/>
      </c>
      <c r="W158" s="0">
        <f>T158-V158</f>
        <v/>
      </c>
    </row>
    <row r="159" hidden="1" ht="15" customHeight="1" s="237">
      <c r="A159" s="9" t="n">
        <v>8231</v>
      </c>
      <c r="B159" s="9" t="inlineStr">
        <is>
          <t>GG8231</t>
        </is>
      </c>
      <c r="C159" s="29" t="inlineStr">
        <is>
          <t>조지아 아이스아메 170PU 5X10</t>
        </is>
      </c>
      <c r="D159" s="29" t="inlineStr">
        <is>
          <t>파우치</t>
        </is>
      </c>
      <c r="E159" s="9" t="n"/>
      <c r="F159" s="9" t="n">
        <v>56</v>
      </c>
      <c r="G159" s="245" t="n">
        <v>0</v>
      </c>
      <c r="H159" s="245" t="n">
        <v>0</v>
      </c>
      <c r="I159" s="245" t="n">
        <v>0</v>
      </c>
      <c r="J159" s="245" t="n">
        <v>0</v>
      </c>
      <c r="K159" s="245" t="n">
        <v>0</v>
      </c>
      <c r="L159" s="245" t="n">
        <v>0</v>
      </c>
      <c r="M159" s="245" t="n">
        <v>0</v>
      </c>
      <c r="N159" s="246" t="n">
        <v>0</v>
      </c>
      <c r="P159" s="0" t="n">
        <v>1</v>
      </c>
      <c r="T159" s="0">
        <f>(P159*E159)+(Q159*F159)+R159+S159</f>
        <v/>
      </c>
      <c r="U159" s="0">
        <f>K159-T159</f>
        <v/>
      </c>
      <c r="V159" s="0">
        <f>SUMIF('SAP(B117)'!B:B,월마감!B:B,'SAP(B117)'!Q:Q)</f>
        <v/>
      </c>
      <c r="W159" s="0">
        <f>T159-V159</f>
        <v/>
      </c>
    </row>
    <row r="160" hidden="1" ht="16.5" customHeight="1" s="237">
      <c r="A160" s="9" t="n">
        <v>8232</v>
      </c>
      <c r="B160" s="9" t="inlineStr">
        <is>
          <t>GG8232</t>
        </is>
      </c>
      <c r="C160" s="29" t="inlineStr">
        <is>
          <t>조지아 아이스라떼 170PU 5X10</t>
        </is>
      </c>
      <c r="D160" s="29" t="inlineStr">
        <is>
          <t>파우치</t>
        </is>
      </c>
      <c r="E160" s="9" t="n"/>
      <c r="F160" s="9" t="n">
        <v>56</v>
      </c>
      <c r="G160" s="245" t="n">
        <v>0</v>
      </c>
      <c r="H160" s="245" t="n">
        <v>0</v>
      </c>
      <c r="I160" s="245" t="n">
        <v>0</v>
      </c>
      <c r="J160" s="245" t="n">
        <v>0</v>
      </c>
      <c r="K160" s="245" t="n">
        <v>0</v>
      </c>
      <c r="L160" s="245" t="n">
        <v>0</v>
      </c>
      <c r="M160" s="245" t="n">
        <v>0</v>
      </c>
      <c r="N160" s="246" t="n">
        <v>0</v>
      </c>
      <c r="P160" s="0" t="n">
        <v>1</v>
      </c>
      <c r="T160" s="0">
        <f>(P160*E160)+(Q160*F160)+R160+S160</f>
        <v/>
      </c>
      <c r="U160" s="0">
        <f>K160-T160</f>
        <v/>
      </c>
      <c r="V160" s="0">
        <f>SUMIF('SAP(B117)'!B:B,월마감!B:B,'SAP(B117)'!Q:Q)</f>
        <v/>
      </c>
      <c r="W160" s="0">
        <f>T160-V160</f>
        <v/>
      </c>
    </row>
    <row r="161" hidden="1" ht="16.5" customHeight="1" s="237">
      <c r="A161" s="30" t="inlineStr">
        <is>
          <t>0003</t>
        </is>
      </c>
      <c r="B161" s="9" t="inlineStr">
        <is>
          <t>GG0003</t>
        </is>
      </c>
      <c r="C161" s="29" t="inlineStr">
        <is>
          <t>조지아 아이스아메(신) 170PU 5X10</t>
        </is>
      </c>
      <c r="D161" s="29" t="inlineStr">
        <is>
          <t>파우치</t>
        </is>
      </c>
      <c r="E161" s="9" t="n"/>
      <c r="F161" s="9" t="n">
        <v>56</v>
      </c>
      <c r="G161" s="245" t="n">
        <v>0</v>
      </c>
      <c r="H161" s="245" t="n">
        <v>112</v>
      </c>
      <c r="I161" s="245" t="n">
        <v>40</v>
      </c>
      <c r="J161" s="245" t="n">
        <v>0</v>
      </c>
      <c r="K161" s="245" t="n">
        <v>152</v>
      </c>
      <c r="L161" s="245" t="n">
        <v>152</v>
      </c>
      <c r="M161" s="245" t="n">
        <v>0</v>
      </c>
      <c r="N161" s="246" t="n">
        <v>0</v>
      </c>
      <c r="P161" s="0" t="n">
        <v>1</v>
      </c>
      <c r="T161" s="0">
        <f>(P161*E161)+(Q161*F161)+R161+S161</f>
        <v/>
      </c>
      <c r="U161" s="0">
        <f>K161-T161</f>
        <v/>
      </c>
      <c r="V161" s="0">
        <f>SUMIF('SAP(B117)'!B:B,월마감!B:B,'SAP(B117)'!Q:Q)</f>
        <v/>
      </c>
      <c r="W161" s="0">
        <f>T161-V161</f>
        <v/>
      </c>
    </row>
    <row r="162" hidden="1" ht="16.5" customHeight="1" s="237">
      <c r="A162" s="30" t="inlineStr">
        <is>
          <t>0004</t>
        </is>
      </c>
      <c r="B162" s="9" t="inlineStr">
        <is>
          <t>GG0004</t>
        </is>
      </c>
      <c r="C162" s="29" t="inlineStr">
        <is>
          <t>조지아 아이스라떼(신) 170PU 5X10</t>
        </is>
      </c>
      <c r="D162" s="29" t="inlineStr">
        <is>
          <t>파우치</t>
        </is>
      </c>
      <c r="E162" s="9" t="n"/>
      <c r="F162" s="9" t="n">
        <v>56</v>
      </c>
      <c r="G162" s="245" t="n">
        <v>0</v>
      </c>
      <c r="H162" s="245" t="n">
        <v>56</v>
      </c>
      <c r="I162" s="245" t="n">
        <v>50</v>
      </c>
      <c r="J162" s="245" t="n">
        <v>0</v>
      </c>
      <c r="K162" s="245" t="n">
        <v>106</v>
      </c>
      <c r="L162" s="245" t="n">
        <v>106</v>
      </c>
      <c r="M162" s="245" t="n">
        <v>0</v>
      </c>
      <c r="N162" s="246" t="n">
        <v>0</v>
      </c>
      <c r="P162" s="0" t="n">
        <v>1</v>
      </c>
      <c r="T162" s="0">
        <f>(P162*E162)+(Q162*F162)+R162+S162</f>
        <v/>
      </c>
      <c r="U162" s="0">
        <f>K162-T162</f>
        <v/>
      </c>
      <c r="V162" s="0">
        <f>SUMIF('SAP(B117)'!B:B,월마감!B:B,'SAP(B117)'!Q:Q)</f>
        <v/>
      </c>
      <c r="W162" s="0">
        <f>T162-V162</f>
        <v/>
      </c>
    </row>
    <row r="163" hidden="1" ht="16.5" customHeight="1" s="237">
      <c r="A163" s="30" t="n">
        <v>6745</v>
      </c>
      <c r="B163" s="9" t="inlineStr">
        <is>
          <t>FT6745</t>
        </is>
      </c>
      <c r="C163" s="29" t="inlineStr">
        <is>
          <t>환타 얼려먹는오렌지 130PU 3X10</t>
        </is>
      </c>
      <c r="D163" s="29" t="inlineStr">
        <is>
          <t>파우치</t>
        </is>
      </c>
      <c r="E163" s="9" t="n"/>
      <c r="F163" s="9" t="n">
        <v>84</v>
      </c>
      <c r="G163" s="245" t="n">
        <v>0</v>
      </c>
      <c r="H163" s="245" t="n">
        <v>0</v>
      </c>
      <c r="I163" s="245" t="n">
        <v>0</v>
      </c>
      <c r="J163" s="245" t="n">
        <v>0</v>
      </c>
      <c r="K163" s="245" t="n">
        <v>0</v>
      </c>
      <c r="L163" s="245" t="n">
        <v>0</v>
      </c>
      <c r="M163" s="245" t="n">
        <v>0</v>
      </c>
      <c r="N163" s="246" t="n">
        <v>0</v>
      </c>
      <c r="P163" s="0" t="n">
        <v>1</v>
      </c>
      <c r="T163" s="0">
        <f>(P163*E163)+(Q163*F163)+R163+S163</f>
        <v/>
      </c>
      <c r="U163" s="0">
        <f>K163-T163</f>
        <v/>
      </c>
      <c r="V163" s="0">
        <f>SUMIF('SAP(B117)'!B:B,월마감!B:B,'SAP(B117)'!Q:Q)</f>
        <v/>
      </c>
      <c r="W163" s="0">
        <f>T163-V163</f>
        <v/>
      </c>
    </row>
    <row r="164" hidden="1" ht="16.5" customHeight="1" s="237">
      <c r="A164" s="30" t="n">
        <v>6746</v>
      </c>
      <c r="B164" s="9" t="inlineStr">
        <is>
          <t>FT6746</t>
        </is>
      </c>
      <c r="C164" s="29" t="inlineStr">
        <is>
          <t>환타 얼려먹는포도 130PU 3X10</t>
        </is>
      </c>
      <c r="D164" s="29" t="inlineStr">
        <is>
          <t>파우치</t>
        </is>
      </c>
      <c r="E164" s="9" t="n"/>
      <c r="F164" s="9" t="n">
        <v>84</v>
      </c>
      <c r="G164" s="245" t="n">
        <v>0</v>
      </c>
      <c r="H164" s="245" t="n">
        <v>0</v>
      </c>
      <c r="I164" s="245" t="n">
        <v>0</v>
      </c>
      <c r="J164" s="245" t="n">
        <v>0</v>
      </c>
      <c r="K164" s="245" t="n">
        <v>0</v>
      </c>
      <c r="L164" s="245" t="n">
        <v>0</v>
      </c>
      <c r="M164" s="245" t="n">
        <v>0</v>
      </c>
      <c r="N164" s="246" t="n">
        <v>0</v>
      </c>
      <c r="P164" s="0" t="n">
        <v>1</v>
      </c>
      <c r="T164" s="0">
        <f>(P164*E164)+(Q164*F164)+R164+S164</f>
        <v/>
      </c>
      <c r="U164" s="0">
        <f>K164-T164</f>
        <v/>
      </c>
      <c r="V164" s="0">
        <f>SUMIF('SAP(B117)'!B:B,월마감!B:B,'SAP(B117)'!Q:Q)</f>
        <v/>
      </c>
      <c r="W164" s="0">
        <f>T164-V164</f>
        <v/>
      </c>
    </row>
    <row r="165" hidden="1" ht="16.5" customHeight="1" s="237">
      <c r="A165" s="9" t="n">
        <v>8233</v>
      </c>
      <c r="B165" s="9" t="inlineStr">
        <is>
          <t>GG8233</t>
        </is>
      </c>
      <c r="C165" s="29" t="inlineStr">
        <is>
          <t>조지아 아이스카라 170PU 5X10</t>
        </is>
      </c>
      <c r="D165" s="29" t="inlineStr">
        <is>
          <t>파우치</t>
        </is>
      </c>
      <c r="E165" s="9" t="n"/>
      <c r="F165" s="9" t="n">
        <v>56</v>
      </c>
      <c r="G165" s="245" t="n">
        <v>0</v>
      </c>
      <c r="H165" s="245" t="n">
        <v>0</v>
      </c>
      <c r="I165" s="245" t="n">
        <v>0</v>
      </c>
      <c r="J165" s="245" t="n">
        <v>0</v>
      </c>
      <c r="K165" s="245" t="n">
        <v>0</v>
      </c>
      <c r="L165" s="245" t="n">
        <v>0</v>
      </c>
      <c r="M165" s="245" t="n">
        <v>0</v>
      </c>
      <c r="N165" s="246" t="n">
        <v>0</v>
      </c>
      <c r="P165" s="0" t="n">
        <v>1</v>
      </c>
      <c r="T165" s="0">
        <f>(P165*E165)+(Q165*F165)+R165+S165</f>
        <v/>
      </c>
      <c r="U165" s="0">
        <f>K165-T165</f>
        <v/>
      </c>
      <c r="V165" s="0">
        <f>SUMIF('SAP(B117)'!B:B,월마감!B:B,'SAP(B117)'!Q:Q)</f>
        <v/>
      </c>
      <c r="W165" s="0">
        <f>T165-V165</f>
        <v/>
      </c>
    </row>
    <row r="166" hidden="1" ht="16.5" customHeight="1" s="237">
      <c r="A166" s="9" t="n">
        <v>4563</v>
      </c>
      <c r="B166" s="9" t="inlineStr">
        <is>
          <t>PA4563</t>
        </is>
      </c>
      <c r="C166" s="29" t="inlineStr">
        <is>
          <t>파워 마운틴블라 1.5PET X12</t>
        </is>
      </c>
      <c r="D166" s="29" t="inlineStr">
        <is>
          <t>파워</t>
        </is>
      </c>
      <c r="E166" s="9" t="n">
        <v>32</v>
      </c>
      <c r="F166" s="9" t="n">
        <v>44</v>
      </c>
      <c r="G166" s="245" t="n">
        <v>0</v>
      </c>
      <c r="H166" s="245" t="n">
        <v>0</v>
      </c>
      <c r="I166" s="245" t="n">
        <v>0</v>
      </c>
      <c r="J166" s="245" t="n">
        <v>0</v>
      </c>
      <c r="K166" s="245" t="n">
        <v>0</v>
      </c>
      <c r="L166" s="245" t="n">
        <v>0</v>
      </c>
      <c r="M166" s="245" t="n">
        <v>0</v>
      </c>
      <c r="N166" s="246" t="n">
        <v>0</v>
      </c>
      <c r="P166" s="0" t="n">
        <v>1</v>
      </c>
      <c r="T166" s="0">
        <f>(P166*E166)+(Q166*F166)+R166+S166</f>
        <v/>
      </c>
      <c r="U166" s="0">
        <f>K166-T166</f>
        <v/>
      </c>
      <c r="V166" s="0">
        <f>SUMIF('SAP(B117)'!B:B,월마감!B:B,'SAP(B117)'!Q:Q)</f>
        <v/>
      </c>
      <c r="W166" s="0">
        <f>T166-V166</f>
        <v/>
      </c>
    </row>
    <row r="167" hidden="1" ht="17.25" customHeight="1" s="237">
      <c r="A167" s="9" t="n">
        <v>6273</v>
      </c>
      <c r="B167" s="9" t="inlineStr">
        <is>
          <t>PA6273</t>
        </is>
      </c>
      <c r="C167" s="29" t="inlineStr">
        <is>
          <t>파워 마운틴블라 600PET X20</t>
        </is>
      </c>
      <c r="D167" s="29" t="inlineStr">
        <is>
          <t>파워</t>
        </is>
      </c>
      <c r="E167" s="9" t="n">
        <v>48</v>
      </c>
      <c r="F167" s="9" t="n">
        <v>54</v>
      </c>
      <c r="G167" s="245" t="n">
        <v>0</v>
      </c>
      <c r="H167" s="245" t="n">
        <v>0</v>
      </c>
      <c r="I167" s="245" t="n">
        <v>0</v>
      </c>
      <c r="J167" s="245" t="n">
        <v>0</v>
      </c>
      <c r="K167" s="245" t="n">
        <v>0</v>
      </c>
      <c r="L167" s="245" t="n">
        <v>0</v>
      </c>
      <c r="M167" s="245" t="n">
        <v>0</v>
      </c>
      <c r="N167" s="246" t="n">
        <v>0</v>
      </c>
      <c r="P167" s="0" t="n">
        <v>1</v>
      </c>
      <c r="T167" s="0">
        <f>(P167*E167)+(Q167*F167)+R167+S167</f>
        <v/>
      </c>
      <c r="U167" s="0">
        <f>K167-T167</f>
        <v/>
      </c>
      <c r="V167" s="0">
        <f>SUMIF('SAP(B117)'!B:B,월마감!B:B,'SAP(B117)'!Q:Q)</f>
        <v/>
      </c>
      <c r="W167" s="0">
        <f>T167-V167</f>
        <v/>
      </c>
    </row>
    <row r="168" ht="14.25" customHeight="1" s="237">
      <c r="A168" s="9" t="n">
        <v>8561</v>
      </c>
      <c r="B168" s="66" t="inlineStr">
        <is>
          <t>TR8561</t>
        </is>
      </c>
      <c r="C168" s="67" t="inlineStr">
        <is>
          <t>토레타 아쿠아리우스 500P 4X6</t>
        </is>
      </c>
      <c r="D168" s="29" t="inlineStr">
        <is>
          <t>파워</t>
        </is>
      </c>
      <c r="E168" s="66" t="n">
        <v>48</v>
      </c>
      <c r="F168" s="66" t="n">
        <v>60</v>
      </c>
      <c r="G168" s="245" t="n">
        <v>0</v>
      </c>
      <c r="H168" s="245" t="n">
        <v>2460</v>
      </c>
      <c r="I168" s="245" t="n">
        <v>123</v>
      </c>
      <c r="J168" s="245" t="n">
        <v>0</v>
      </c>
      <c r="K168" s="245" t="n">
        <v>2583</v>
      </c>
      <c r="L168" s="245" t="n">
        <v>2458</v>
      </c>
      <c r="M168" s="245" t="n">
        <v>120</v>
      </c>
      <c r="N168" s="246" t="n">
        <v>5</v>
      </c>
      <c r="P168" s="252" t="n"/>
      <c r="Q168" s="252">
        <f>9+1+29</f>
        <v/>
      </c>
      <c r="R168" s="252">
        <f>4+20+48+47</f>
        <v/>
      </c>
      <c r="S168" s="252" t="n"/>
      <c r="T168" s="252">
        <f>(P168*E168)+(Q168*F168)+R168+S168</f>
        <v/>
      </c>
      <c r="U168" s="252">
        <f>K168-T168</f>
        <v/>
      </c>
      <c r="V168" s="76">
        <f>SUMIF('SAP(B117)'!B:B,월마감!B:B,'SAP(B117)'!Q:Q)</f>
        <v/>
      </c>
      <c r="W168" s="76">
        <f>T168-V168</f>
        <v/>
      </c>
    </row>
    <row r="169" hidden="1" ht="17.25" customHeight="1" s="237">
      <c r="A169" s="9" t="n">
        <v>6871</v>
      </c>
      <c r="B169" s="9" t="inlineStr">
        <is>
          <t>PA6871</t>
        </is>
      </c>
      <c r="C169" s="29" t="inlineStr">
        <is>
          <t>S)파워 마운티블라 600PET 4X6</t>
        </is>
      </c>
      <c r="D169" s="29" t="inlineStr">
        <is>
          <t>파워</t>
        </is>
      </c>
      <c r="E169" s="9" t="n">
        <v>30</v>
      </c>
      <c r="F169" s="9" t="n">
        <v>48</v>
      </c>
      <c r="G169" s="245" t="n">
        <v>0</v>
      </c>
      <c r="H169" s="245" t="n">
        <v>7200</v>
      </c>
      <c r="I169" s="245" t="n">
        <v>62</v>
      </c>
      <c r="J169" s="245" t="n">
        <v>0</v>
      </c>
      <c r="K169" s="245" t="n">
        <v>7262</v>
      </c>
      <c r="L169" s="245" t="n">
        <v>6881</v>
      </c>
      <c r="M169" s="245" t="n">
        <v>384</v>
      </c>
      <c r="N169" s="246" t="n">
        <v>-3</v>
      </c>
      <c r="P169" s="0" t="n">
        <v>1</v>
      </c>
      <c r="T169" s="0">
        <f>(P169*E169)+(Q169*F169)+R169+S169</f>
        <v/>
      </c>
      <c r="U169" s="0">
        <f>K169-T169</f>
        <v/>
      </c>
      <c r="V169" s="0">
        <f>SUMIF('SAP(B117)'!B:B,월마감!B:B,'SAP(B117)'!Q:Q)</f>
        <v/>
      </c>
      <c r="W169" s="0">
        <f>T169-V169</f>
        <v/>
      </c>
    </row>
    <row r="170" hidden="1" ht="16.5" customHeight="1" s="237">
      <c r="A170" s="30" t="inlineStr">
        <is>
          <t>0002</t>
        </is>
      </c>
      <c r="B170" s="9" t="inlineStr">
        <is>
          <t>PA0002</t>
        </is>
      </c>
      <c r="C170" s="29" t="inlineStr">
        <is>
          <t>S)파워 마운틴제로 600PET 4X6</t>
        </is>
      </c>
      <c r="D170" s="29" t="inlineStr">
        <is>
          <t>파워</t>
        </is>
      </c>
      <c r="E170" s="9" t="n">
        <v>30</v>
      </c>
      <c r="F170" s="9" t="n">
        <v>48</v>
      </c>
      <c r="G170" s="245" t="n">
        <v>0</v>
      </c>
      <c r="H170" s="245" t="n">
        <v>864</v>
      </c>
      <c r="I170" s="245" t="n">
        <v>63</v>
      </c>
      <c r="J170" s="245" t="n">
        <v>0</v>
      </c>
      <c r="K170" s="245" t="n">
        <v>927</v>
      </c>
      <c r="L170" s="245" t="n">
        <v>926</v>
      </c>
      <c r="M170" s="245" t="n">
        <v>0</v>
      </c>
      <c r="N170" s="246" t="n">
        <v>1</v>
      </c>
      <c r="P170" s="0" t="n">
        <v>1</v>
      </c>
      <c r="T170" s="0">
        <f>(P170*E170)+(Q170*F170)+R170+S170</f>
        <v/>
      </c>
      <c r="U170" s="0">
        <f>K170-T170</f>
        <v/>
      </c>
      <c r="V170" s="0">
        <f>SUMIF('SAP(B117)'!B:B,월마감!B:B,'SAP(B117)'!Q:Q)</f>
        <v/>
      </c>
      <c r="W170" s="0">
        <f>T170-V170</f>
        <v/>
      </c>
    </row>
    <row r="171" hidden="1" ht="16.5" customHeight="1" s="237">
      <c r="A171" s="9" t="n">
        <v>6994</v>
      </c>
      <c r="B171" s="9" t="inlineStr">
        <is>
          <t>MM6994</t>
        </is>
      </c>
      <c r="C171" s="29" t="inlineStr">
        <is>
          <t>S)미닛 5얼라이브 350PET 4X6</t>
        </is>
      </c>
      <c r="D171" s="29" t="inlineStr">
        <is>
          <t>파워</t>
        </is>
      </c>
      <c r="E171" s="9" t="n"/>
      <c r="F171" s="9" t="n">
        <v>60</v>
      </c>
      <c r="G171" s="245" t="n">
        <v>0</v>
      </c>
      <c r="H171" s="245" t="n">
        <v>0</v>
      </c>
      <c r="I171" s="245" t="n">
        <v>0</v>
      </c>
      <c r="J171" s="245" t="n">
        <v>0</v>
      </c>
      <c r="K171" s="245" t="n">
        <v>0</v>
      </c>
      <c r="L171" s="245" t="n">
        <v>0</v>
      </c>
      <c r="M171" s="245" t="n">
        <v>0</v>
      </c>
      <c r="N171" s="246" t="n">
        <v>0</v>
      </c>
      <c r="P171" s="0" t="n">
        <v>1</v>
      </c>
      <c r="T171" s="0">
        <f>(P171*E171)+(Q171*F171)+R171+S171</f>
        <v/>
      </c>
      <c r="U171" s="0">
        <f>K171-T171</f>
        <v/>
      </c>
      <c r="V171" s="0">
        <f>SUMIF('SAP(B117)'!B:B,월마감!B:B,'SAP(B117)'!Q:Q)</f>
        <v/>
      </c>
      <c r="W171" s="0">
        <f>T171-V171</f>
        <v/>
      </c>
    </row>
    <row r="172">
      <c r="A172" s="9" t="n">
        <v>8518</v>
      </c>
      <c r="B172" s="66" t="inlineStr">
        <is>
          <t>PA8518</t>
        </is>
      </c>
      <c r="C172" s="67" t="inlineStr">
        <is>
          <t>S)파워 골드러쉬 600PET 4X6</t>
        </is>
      </c>
      <c r="D172" s="29" t="inlineStr">
        <is>
          <t>파워</t>
        </is>
      </c>
      <c r="E172" s="66" t="n">
        <v>30</v>
      </c>
      <c r="F172" s="66" t="n">
        <v>48</v>
      </c>
      <c r="G172" s="245" t="n">
        <v>0</v>
      </c>
      <c r="H172" s="245" t="n">
        <v>0</v>
      </c>
      <c r="I172" s="245" t="n">
        <v>62</v>
      </c>
      <c r="J172" s="245" t="n">
        <v>42</v>
      </c>
      <c r="K172" s="245" t="n">
        <v>104</v>
      </c>
      <c r="L172" s="245" t="n">
        <v>99</v>
      </c>
      <c r="M172" s="245" t="n">
        <v>0</v>
      </c>
      <c r="N172" s="246" t="n">
        <v>5</v>
      </c>
      <c r="P172" s="252" t="n"/>
      <c r="Q172" s="252" t="n"/>
      <c r="R172" s="252">
        <f>2+38+22</f>
        <v/>
      </c>
      <c r="S172" s="252" t="n">
        <v>42</v>
      </c>
      <c r="T172" s="252">
        <f>(P172*E172)+(Q172*F172)+R172+S172</f>
        <v/>
      </c>
      <c r="U172" s="252">
        <f>K172-T172</f>
        <v/>
      </c>
      <c r="V172" s="76">
        <f>SUMIF('SAP(B117)'!B:B,월마감!B:B,'SAP(B117)'!Q:Q)</f>
        <v/>
      </c>
      <c r="W172" s="76">
        <f>T172-V172</f>
        <v/>
      </c>
    </row>
    <row r="173" hidden="1" ht="16.5" customHeight="1" s="237">
      <c r="A173" s="9" t="n">
        <v>8521</v>
      </c>
      <c r="B173" s="9" t="inlineStr">
        <is>
          <t>PA8521</t>
        </is>
      </c>
      <c r="C173" s="29" t="inlineStr">
        <is>
          <t>파워 마운틴블라 240CAN 5X6</t>
        </is>
      </c>
      <c r="D173" s="29" t="inlineStr">
        <is>
          <t>파워</t>
        </is>
      </c>
      <c r="E173" s="9" t="n">
        <v>99</v>
      </c>
      <c r="F173" s="9" t="n">
        <v>132</v>
      </c>
      <c r="G173" s="245" t="n">
        <v>2673</v>
      </c>
      <c r="H173" s="245" t="n">
        <v>264</v>
      </c>
      <c r="I173" s="245" t="n">
        <v>422</v>
      </c>
      <c r="J173" s="245" t="n">
        <v>93</v>
      </c>
      <c r="K173" s="245" t="n">
        <v>3452</v>
      </c>
      <c r="L173" s="245" t="n">
        <v>3455</v>
      </c>
      <c r="M173" s="245" t="n">
        <v>0</v>
      </c>
      <c r="N173" s="246" t="n">
        <v>-3</v>
      </c>
      <c r="P173" s="0" t="n">
        <v>1</v>
      </c>
      <c r="T173" s="0">
        <f>(P173*E173)+(Q173*F173)+R173+S173</f>
        <v/>
      </c>
      <c r="U173" s="0">
        <f>K173-T173</f>
        <v/>
      </c>
      <c r="V173" s="0">
        <f>SUMIF('SAP(B117)'!B:B,월마감!B:B,'SAP(B117)'!Q:Q)</f>
        <v/>
      </c>
      <c r="W173" s="0" t="n"/>
    </row>
    <row r="174" hidden="1" ht="16.5" customHeight="1" s="237">
      <c r="A174" s="9" t="n">
        <v>8532</v>
      </c>
      <c r="B174" s="9" t="inlineStr">
        <is>
          <t>PA8532</t>
        </is>
      </c>
      <c r="C174" s="29" t="inlineStr">
        <is>
          <t>파워 마운틴블라 1.5PET 6X2</t>
        </is>
      </c>
      <c r="D174" s="29" t="inlineStr">
        <is>
          <t>파워</t>
        </is>
      </c>
      <c r="E174" s="9" t="n"/>
      <c r="F174" s="9" t="n">
        <v>44</v>
      </c>
      <c r="G174" s="245" t="n">
        <v>0</v>
      </c>
      <c r="H174" s="245" t="n">
        <v>0</v>
      </c>
      <c r="I174" s="245" t="n">
        <v>0</v>
      </c>
      <c r="J174" s="245" t="n">
        <v>0</v>
      </c>
      <c r="K174" s="245" t="n">
        <v>0</v>
      </c>
      <c r="L174" s="245" t="n">
        <v>0</v>
      </c>
      <c r="M174" s="245" t="n">
        <v>0</v>
      </c>
      <c r="N174" s="246" t="n">
        <v>0</v>
      </c>
      <c r="P174" s="0" t="n">
        <v>1</v>
      </c>
      <c r="T174" s="0">
        <f>(P174*E174)+(Q174*F174)+R174+S174</f>
        <v/>
      </c>
      <c r="U174" s="0">
        <f>K174-T174</f>
        <v/>
      </c>
      <c r="V174" s="0">
        <f>SUMIF('SAP(B117)'!B:B,월마감!B:B,'SAP(B117)'!Q:Q)</f>
        <v/>
      </c>
      <c r="W174" s="0" t="n"/>
    </row>
    <row r="175" hidden="1" ht="16.5" customHeight="1" s="237">
      <c r="A175" s="9" t="n">
        <v>8541</v>
      </c>
      <c r="B175" s="9" t="inlineStr">
        <is>
          <t>PA8541</t>
        </is>
      </c>
      <c r="C175" s="29" t="inlineStr">
        <is>
          <t>S)파워 마운틴블라 1.5PET 2X6</t>
        </is>
      </c>
      <c r="D175" s="29" t="inlineStr">
        <is>
          <t>파워</t>
        </is>
      </c>
      <c r="E175" s="9" t="n">
        <v>32</v>
      </c>
      <c r="F175" s="9" t="n">
        <v>44</v>
      </c>
      <c r="G175" s="245" t="n">
        <v>0</v>
      </c>
      <c r="H175" s="245" t="n">
        <v>1716</v>
      </c>
      <c r="I175" s="245" t="n">
        <v>118</v>
      </c>
      <c r="J175" s="245" t="n">
        <v>0</v>
      </c>
      <c r="K175" s="245" t="n">
        <v>1834</v>
      </c>
      <c r="L175" s="245" t="n">
        <v>1793</v>
      </c>
      <c r="M175" s="245" t="n">
        <v>44</v>
      </c>
      <c r="N175" s="246" t="n">
        <v>-3</v>
      </c>
      <c r="P175" s="0" t="n">
        <v>1</v>
      </c>
      <c r="T175" s="0">
        <f>(P175*E175)+(Q175*F175)+R175+S175</f>
        <v/>
      </c>
      <c r="U175" s="0">
        <f>K175-T175</f>
        <v/>
      </c>
      <c r="V175" s="0">
        <f>SUMIF('SAP(B117)'!B:B,월마감!B:B,'SAP(B117)'!Q:Q)</f>
        <v/>
      </c>
      <c r="W175" s="0" t="n"/>
    </row>
    <row r="176" hidden="1" ht="16.5" customHeight="1" s="237">
      <c r="A176" s="9" t="n">
        <v>7012</v>
      </c>
      <c r="B176" s="9" t="inlineStr">
        <is>
          <t>MM7012</t>
        </is>
      </c>
      <c r="C176" s="29" t="inlineStr">
        <is>
          <t>S)MM홈스타일자몽1.2P 2X6</t>
        </is>
      </c>
      <c r="D176" s="29" t="inlineStr">
        <is>
          <t>파워</t>
        </is>
      </c>
      <c r="E176" s="9" t="n"/>
      <c r="F176" s="9" t="n">
        <v>55</v>
      </c>
      <c r="G176" s="245" t="n">
        <v>0</v>
      </c>
      <c r="H176" s="245" t="n">
        <v>0</v>
      </c>
      <c r="I176" s="245" t="n">
        <v>0</v>
      </c>
      <c r="J176" s="245" t="n">
        <v>0</v>
      </c>
      <c r="K176" s="245" t="n">
        <v>0</v>
      </c>
      <c r="L176" s="245" t="n">
        <v>0</v>
      </c>
      <c r="M176" s="245" t="n">
        <v>0</v>
      </c>
      <c r="N176" s="246" t="n">
        <v>0</v>
      </c>
      <c r="P176" s="0" t="n">
        <v>1</v>
      </c>
      <c r="T176" s="0">
        <f>(P176*E176)+(Q176*F176)+R176+S176</f>
        <v/>
      </c>
      <c r="U176" s="0">
        <f>K176-T176</f>
        <v/>
      </c>
      <c r="V176" s="0">
        <f>SUMIF('SAP(B117)'!B:B,월마감!B:B,'SAP(B117)'!Q:Q)</f>
        <v/>
      </c>
      <c r="W176" s="0" t="n"/>
    </row>
    <row r="177" hidden="1" ht="16.5" customHeight="1" s="237">
      <c r="A177" s="9" t="n">
        <v>8548</v>
      </c>
      <c r="B177" s="9" t="inlineStr">
        <is>
          <t>PA8548</t>
        </is>
      </c>
      <c r="C177" s="29" t="inlineStr">
        <is>
          <t>파워 에너지펀치 1.5PET X12</t>
        </is>
      </c>
      <c r="D177" s="29" t="inlineStr">
        <is>
          <t>파워</t>
        </is>
      </c>
      <c r="E177" s="9" t="n">
        <v>32</v>
      </c>
      <c r="F177" s="9" t="n">
        <v>44</v>
      </c>
      <c r="G177" s="245" t="n">
        <v>0</v>
      </c>
      <c r="H177" s="245" t="n">
        <v>0</v>
      </c>
      <c r="I177" s="245" t="n">
        <v>0</v>
      </c>
      <c r="J177" s="245" t="n">
        <v>0</v>
      </c>
      <c r="K177" s="245" t="n">
        <v>0</v>
      </c>
      <c r="L177" s="245" t="n">
        <v>0</v>
      </c>
      <c r="M177" s="245" t="n">
        <v>0</v>
      </c>
      <c r="N177" s="246" t="n">
        <v>0</v>
      </c>
      <c r="P177" s="0" t="n">
        <v>1</v>
      </c>
      <c r="T177" s="0">
        <f>(P177*E177)+(Q177*F177)+R177+S177</f>
        <v/>
      </c>
      <c r="U177" s="0">
        <f>K177-T177</f>
        <v/>
      </c>
      <c r="V177" s="0">
        <f>SUMIF('SAP(B117)'!B:B,월마감!B:B,'SAP(B117)'!Q:Q)</f>
        <v/>
      </c>
      <c r="W177" s="0" t="n"/>
    </row>
    <row r="178" hidden="1" ht="16.5" customHeight="1" s="237">
      <c r="A178" s="9" t="n">
        <v>8566</v>
      </c>
      <c r="B178" s="9" t="inlineStr">
        <is>
          <t>PA8566</t>
        </is>
      </c>
      <c r="C178" s="29" t="inlineStr">
        <is>
          <t>파워 에너지펀치 600PET 4X6</t>
        </is>
      </c>
      <c r="D178" s="29" t="inlineStr">
        <is>
          <t>파워</t>
        </is>
      </c>
      <c r="E178" s="9" t="n"/>
      <c r="F178" s="9" t="n">
        <v>48</v>
      </c>
      <c r="G178" s="245" t="n">
        <v>0</v>
      </c>
      <c r="H178" s="245" t="n">
        <v>0</v>
      </c>
      <c r="I178" s="245" t="n">
        <v>0</v>
      </c>
      <c r="J178" s="245" t="n">
        <v>0</v>
      </c>
      <c r="K178" s="245" t="n">
        <v>0</v>
      </c>
      <c r="L178" s="245" t="n">
        <v>0</v>
      </c>
      <c r="M178" s="245" t="n">
        <v>0</v>
      </c>
      <c r="N178" s="246" t="n">
        <v>0</v>
      </c>
      <c r="P178" s="0" t="n">
        <v>1</v>
      </c>
      <c r="T178" s="0">
        <f>(P178*E178)+(Q178*F178)+R178+S178</f>
        <v/>
      </c>
      <c r="U178" s="0">
        <f>K178-T178</f>
        <v/>
      </c>
      <c r="V178" s="0">
        <f>SUMIF('SAP(B117)'!B:B,월마감!B:B,'SAP(B117)'!Q:Q)</f>
        <v/>
      </c>
      <c r="W178" s="0" t="n"/>
    </row>
    <row r="179" hidden="1" ht="16.5" customHeight="1" s="237">
      <c r="A179" s="9" t="n">
        <v>8625</v>
      </c>
      <c r="B179" s="9" t="inlineStr">
        <is>
          <t>PA8625</t>
        </is>
      </c>
      <c r="C179" s="29" t="inlineStr">
        <is>
          <t>파워 골드러쉬 1.8PET X12</t>
        </is>
      </c>
      <c r="D179" s="29" t="inlineStr">
        <is>
          <t>파워</t>
        </is>
      </c>
      <c r="E179" s="9" t="n"/>
      <c r="F179" s="9" t="n">
        <v>32</v>
      </c>
      <c r="G179" s="245" t="n">
        <v>0</v>
      </c>
      <c r="H179" s="245" t="n">
        <v>0</v>
      </c>
      <c r="I179" s="245" t="n">
        <v>0</v>
      </c>
      <c r="J179" s="245" t="n">
        <v>0</v>
      </c>
      <c r="K179" s="245" t="n">
        <v>0</v>
      </c>
      <c r="L179" s="245" t="n">
        <v>0</v>
      </c>
      <c r="M179" s="245" t="n">
        <v>0</v>
      </c>
      <c r="N179" s="246" t="n">
        <v>0</v>
      </c>
      <c r="P179" s="0" t="n">
        <v>1</v>
      </c>
      <c r="T179" s="0">
        <f>(P179*E179)+(Q179*F179)+R179+S179</f>
        <v/>
      </c>
      <c r="U179" s="0">
        <f>K179-T179</f>
        <v/>
      </c>
      <c r="V179" s="0">
        <f>SUMIF('SAP(B117)'!B:B,월마감!B:B,'SAP(B117)'!Q:Q)</f>
        <v/>
      </c>
      <c r="W179" s="0" t="n"/>
    </row>
    <row r="180" hidden="1" ht="16.5" customHeight="1" s="237">
      <c r="A180" s="9" t="n">
        <v>8626</v>
      </c>
      <c r="B180" s="9" t="inlineStr">
        <is>
          <t>PA8626</t>
        </is>
      </c>
      <c r="C180" s="29" t="inlineStr">
        <is>
          <t>파워 아쿠아파워 1.8PET X12</t>
        </is>
      </c>
      <c r="D180" s="29" t="inlineStr">
        <is>
          <t>파워</t>
        </is>
      </c>
      <c r="E180" s="9" t="n"/>
      <c r="F180" s="9" t="n">
        <v>32</v>
      </c>
      <c r="G180" s="245" t="n">
        <v>0</v>
      </c>
      <c r="H180" s="245" t="n">
        <v>0</v>
      </c>
      <c r="I180" s="245" t="n">
        <v>0</v>
      </c>
      <c r="J180" s="245" t="n">
        <v>0</v>
      </c>
      <c r="K180" s="245" t="n">
        <v>0</v>
      </c>
      <c r="L180" s="245" t="n">
        <v>0</v>
      </c>
      <c r="M180" s="245" t="n">
        <v>0</v>
      </c>
      <c r="N180" s="246" t="n">
        <v>0</v>
      </c>
      <c r="P180" s="0" t="n">
        <v>1</v>
      </c>
      <c r="T180" s="0">
        <f>(P180*E180)+(Q180*F180)+R180+S180</f>
        <v/>
      </c>
      <c r="U180" s="0">
        <f>K180-T180</f>
        <v/>
      </c>
      <c r="V180" s="0">
        <f>SUMIF('SAP(B117)'!B:B,월마감!B:B,'SAP(B117)'!Q:Q)</f>
        <v/>
      </c>
      <c r="W180" s="0" t="n"/>
    </row>
    <row r="181" hidden="1" ht="16.5" customHeight="1" s="237">
      <c r="A181" s="9" t="n">
        <v>3752</v>
      </c>
      <c r="B181" s="9" t="inlineStr">
        <is>
          <t>FZ3752</t>
        </is>
      </c>
      <c r="C181" s="29" t="inlineStr">
        <is>
          <t>S)퓨즈티 복숭아 500PET 5X4</t>
        </is>
      </c>
      <c r="D181" s="29" t="inlineStr">
        <is>
          <t>퓨즈티</t>
        </is>
      </c>
      <c r="E181" s="9" t="n">
        <v>63</v>
      </c>
      <c r="F181" s="9" t="n">
        <v>72</v>
      </c>
      <c r="G181" s="245" t="n">
        <v>0</v>
      </c>
      <c r="H181" s="245" t="n">
        <v>0</v>
      </c>
      <c r="I181" s="245" t="n">
        <v>0</v>
      </c>
      <c r="J181" s="245" t="n">
        <v>0</v>
      </c>
      <c r="K181" s="245" t="n">
        <v>0</v>
      </c>
      <c r="L181" s="245" t="n">
        <v>0</v>
      </c>
      <c r="M181" s="245" t="n">
        <v>0</v>
      </c>
      <c r="N181" s="246" t="n">
        <v>0</v>
      </c>
      <c r="P181" s="0" t="n">
        <v>1</v>
      </c>
      <c r="T181" s="0">
        <f>(P181*E181)+(Q181*F181)+R181+S181</f>
        <v/>
      </c>
      <c r="U181" s="0">
        <f>K181-T181</f>
        <v/>
      </c>
      <c r="V181" s="0">
        <f>SUMIF('SAP(B117)'!B:B,월마감!B:B,'SAP(B117)'!Q:Q)</f>
        <v/>
      </c>
      <c r="W181" s="0" t="n"/>
    </row>
    <row r="182" hidden="1" ht="16.5" customHeight="1" s="237">
      <c r="A182" s="9" t="n">
        <v>3750</v>
      </c>
      <c r="B182" s="9" t="inlineStr">
        <is>
          <t>FZ3750</t>
        </is>
      </c>
      <c r="C182" s="29" t="inlineStr">
        <is>
          <t>퓨즈티 복숭아 500PET X20</t>
        </is>
      </c>
      <c r="D182" s="29" t="inlineStr">
        <is>
          <t>퓨즈티</t>
        </is>
      </c>
      <c r="E182" s="9" t="n">
        <v>63</v>
      </c>
      <c r="F182" s="9" t="n">
        <v>72</v>
      </c>
      <c r="G182" s="245" t="n">
        <v>0</v>
      </c>
      <c r="H182" s="245" t="n">
        <v>0</v>
      </c>
      <c r="I182" s="245" t="n">
        <v>0</v>
      </c>
      <c r="J182" s="245" t="n">
        <v>0</v>
      </c>
      <c r="K182" s="245" t="n">
        <v>0</v>
      </c>
      <c r="L182" s="245" t="n">
        <v>0</v>
      </c>
      <c r="M182" s="245" t="n">
        <v>0</v>
      </c>
      <c r="N182" s="246" t="n">
        <v>0</v>
      </c>
      <c r="P182" s="0" t="n">
        <v>1</v>
      </c>
      <c r="T182" s="0">
        <f>(P182*E182)+(Q182*F182)+R182+S182</f>
        <v/>
      </c>
      <c r="U182" s="0">
        <f>K182-T182</f>
        <v/>
      </c>
      <c r="V182" s="0">
        <f>SUMIF('SAP(B117)'!B:B,월마감!B:B,'SAP(B117)'!Q:Q)</f>
        <v/>
      </c>
      <c r="W182" s="0" t="n"/>
    </row>
    <row r="183">
      <c r="A183" s="32" t="n"/>
      <c r="B183" s="68" t="n"/>
      <c r="C183" s="69" t="inlineStr">
        <is>
          <t>TOTAL</t>
        </is>
      </c>
      <c r="D183" s="33" t="n"/>
      <c r="E183" s="68" t="n"/>
      <c r="F183" s="68" t="n"/>
      <c r="G183" s="245" t="n">
        <v>4334</v>
      </c>
      <c r="H183" s="245" t="n">
        <v>106316</v>
      </c>
      <c r="I183" s="245" t="n">
        <v>9942</v>
      </c>
      <c r="J183" s="245" t="n">
        <v>428</v>
      </c>
      <c r="K183" s="245" t="n">
        <v>121020</v>
      </c>
      <c r="L183" s="245" t="n">
        <v>109429</v>
      </c>
      <c r="M183" s="245" t="n">
        <v>11605</v>
      </c>
      <c r="N183" s="246" t="n">
        <v>-9</v>
      </c>
      <c r="P183" s="252" t="n"/>
      <c r="Q183" s="252" t="n"/>
      <c r="R183" s="252" t="n"/>
      <c r="S183" s="252" t="n"/>
      <c r="T183" s="252">
        <f>(P183*E183)+(Q183*F183)+R183+S183</f>
        <v/>
      </c>
      <c r="U183" s="252">
        <f>SUBTOTAL(9,U32:U172)</f>
        <v/>
      </c>
      <c r="V183" s="76">
        <f>SUBTOTAL(9,V32:V172)</f>
        <v/>
      </c>
      <c r="W183" s="76">
        <f>SUBTOTAL(9,W32:W172)</f>
        <v/>
      </c>
    </row>
    <row r="185">
      <c r="N185" s="253" t="n"/>
    </row>
  </sheetData>
  <autoFilter ref="A3:N183">
    <filterColumn colId="13" hiddenButton="0" showButton="1">
      <filters>
        <filter val="(17)"/>
        <filter val="(4)"/>
        <filter val="(5)"/>
        <filter val="(9)"/>
        <filter val="11"/>
        <filter val="5"/>
        <filter val="6"/>
        <filter val="8"/>
        <filter val="9"/>
      </filters>
    </filterColumn>
  </autoFilter>
  <mergeCells count="1">
    <mergeCell ref="C1:C2"/>
  </mergeCells>
  <conditionalFormatting sqref="G16:N65578">
    <cfRule type="cellIs" priority="5" operator="lessThan" dxfId="7">
      <formula>0</formula>
    </cfRule>
  </conditionalFormatting>
  <conditionalFormatting sqref="G1:N2 G3:G15 H4:N15 M177:M178 P32">
    <cfRule type="cellIs" priority="82" operator="lessThan" dxfId="7">
      <formula>0</formula>
    </cfRule>
  </conditionalFormatting>
  <conditionalFormatting sqref="N4:N182">
    <cfRule type="cellIs" priority="4" operator="notEqual" dxfId="7" stopIfTrue="1">
      <formula>0</formula>
    </cfRule>
  </conditionalFormatting>
  <conditionalFormatting sqref="P3">
    <cfRule type="cellIs" priority="1" operator="lessThan" dxfId="7">
      <formula>0</formula>
    </cfRule>
  </conditionalFormatting>
  <pageMargins left="0.1968503937007874" right="0" top="0.7874015748031497" bottom="0" header="0.3149606299212598" footer="0.3149606299212598"/>
  <pageSetup orientation="landscape" paperSize="9" scale="56" cellComments="asDisplayed"/>
</worksheet>
</file>

<file path=xl/worksheets/sheet2.xml><?xml version="1.0" encoding="utf-8"?>
<worksheet xmlns="http://schemas.openxmlformats.org/spreadsheetml/2006/main">
  <sheetPr codeName="Sheet10">
    <outlinePr summaryBelow="1" summaryRight="1"/>
    <pageSetUpPr/>
  </sheetPr>
  <dimension ref="A1:L1148"/>
  <sheetViews>
    <sheetView zoomScale="80" zoomScaleNormal="80" workbookViewId="0">
      <pane ySplit="28" topLeftCell="A78" activePane="bottomLeft" state="frozen"/>
      <selection activeCell="F32" activeCellId="1" sqref="B32:C32 F32"/>
      <selection pane="bottomLeft" activeCell="G87" sqref="G87"/>
    </sheetView>
  </sheetViews>
  <sheetFormatPr baseColWidth="8" defaultRowHeight="14.25" customHeight="1"/>
  <cols>
    <col width="8.625" customWidth="1" style="126" min="1" max="1"/>
    <col width="10.625" customWidth="1" style="127" min="2" max="2"/>
    <col width="35.125" bestFit="1" customWidth="1" style="128" min="3" max="3"/>
    <col width="19.25" customWidth="1" style="128" min="4" max="4"/>
    <col width="21.25" customWidth="1" style="128" min="5" max="5"/>
    <col width="21.125" customWidth="1" style="158" min="6" max="6"/>
    <col width="14.5" customWidth="1" style="254" min="7" max="7"/>
    <col width="9" customWidth="1" style="16" min="8" max="8"/>
    <col width="13.125" bestFit="1" customWidth="1" style="16" min="9" max="9"/>
    <col width="11.125" bestFit="1" customWidth="1" style="16" min="10" max="10"/>
    <col width="9" customWidth="1" style="16" min="11" max="256"/>
    <col width="8.625" customWidth="1" style="16" min="257" max="257"/>
    <col width="10.625" customWidth="1" style="16" min="258" max="258"/>
    <col width="35.125" bestFit="1" customWidth="1" style="16" min="259" max="259"/>
    <col width="12.375" customWidth="1" style="16" min="260" max="260"/>
    <col width="11" customWidth="1" style="16" min="261" max="261"/>
    <col width="13.625" bestFit="1" customWidth="1" style="16" min="262" max="262"/>
    <col width="9" customWidth="1" style="16" min="263" max="264"/>
    <col width="13.125" bestFit="1" customWidth="1" style="16" min="265" max="265"/>
    <col width="11.125" bestFit="1" customWidth="1" style="16" min="266" max="266"/>
    <col width="9" customWidth="1" style="16" min="267" max="512"/>
    <col width="8.625" customWidth="1" style="16" min="513" max="513"/>
    <col width="10.625" customWidth="1" style="16" min="514" max="514"/>
    <col width="35.125" bestFit="1" customWidth="1" style="16" min="515" max="515"/>
    <col width="12.375" customWidth="1" style="16" min="516" max="516"/>
    <col width="11" customWidth="1" style="16" min="517" max="517"/>
    <col width="13.625" bestFit="1" customWidth="1" style="16" min="518" max="518"/>
    <col width="9" customWidth="1" style="16" min="519" max="520"/>
    <col width="13.125" bestFit="1" customWidth="1" style="16" min="521" max="521"/>
    <col width="11.125" bestFit="1" customWidth="1" style="16" min="522" max="522"/>
    <col width="9" customWidth="1" style="16" min="523" max="768"/>
    <col width="8.625" customWidth="1" style="16" min="769" max="769"/>
    <col width="10.625" customWidth="1" style="16" min="770" max="770"/>
    <col width="35.125" bestFit="1" customWidth="1" style="16" min="771" max="771"/>
    <col width="12.375" customWidth="1" style="16" min="772" max="772"/>
    <col width="11" customWidth="1" style="16" min="773" max="773"/>
    <col width="13.625" bestFit="1" customWidth="1" style="16" min="774" max="774"/>
    <col width="9" customWidth="1" style="16" min="775" max="776"/>
    <col width="13.125" bestFit="1" customWidth="1" style="16" min="777" max="777"/>
    <col width="11.125" bestFit="1" customWidth="1" style="16" min="778" max="778"/>
    <col width="9" customWidth="1" style="16" min="779" max="1024"/>
    <col width="8.625" customWidth="1" style="16" min="1025" max="1025"/>
    <col width="10.625" customWidth="1" style="16" min="1026" max="1026"/>
    <col width="35.125" bestFit="1" customWidth="1" style="16" min="1027" max="1027"/>
    <col width="12.375" customWidth="1" style="16" min="1028" max="1028"/>
    <col width="11" customWidth="1" style="16" min="1029" max="1029"/>
    <col width="13.625" bestFit="1" customWidth="1" style="16" min="1030" max="1030"/>
    <col width="9" customWidth="1" style="16" min="1031" max="1032"/>
    <col width="13.125" bestFit="1" customWidth="1" style="16" min="1033" max="1033"/>
    <col width="11.125" bestFit="1" customWidth="1" style="16" min="1034" max="1034"/>
    <col width="9" customWidth="1" style="16" min="1035" max="1280"/>
    <col width="8.625" customWidth="1" style="16" min="1281" max="1281"/>
    <col width="10.625" customWidth="1" style="16" min="1282" max="1282"/>
    <col width="35.125" bestFit="1" customWidth="1" style="16" min="1283" max="1283"/>
    <col width="12.375" customWidth="1" style="16" min="1284" max="1284"/>
    <col width="11" customWidth="1" style="16" min="1285" max="1285"/>
    <col width="13.625" bestFit="1" customWidth="1" style="16" min="1286" max="1286"/>
    <col width="9" customWidth="1" style="16" min="1287" max="1288"/>
    <col width="13.125" bestFit="1" customWidth="1" style="16" min="1289" max="1289"/>
    <col width="11.125" bestFit="1" customWidth="1" style="16" min="1290" max="1290"/>
    <col width="9" customWidth="1" style="16" min="1291" max="1536"/>
    <col width="8.625" customWidth="1" style="16" min="1537" max="1537"/>
    <col width="10.625" customWidth="1" style="16" min="1538" max="1538"/>
    <col width="35.125" bestFit="1" customWidth="1" style="16" min="1539" max="1539"/>
    <col width="12.375" customWidth="1" style="16" min="1540" max="1540"/>
    <col width="11" customWidth="1" style="16" min="1541" max="1541"/>
    <col width="13.625" bestFit="1" customWidth="1" style="16" min="1542" max="1542"/>
    <col width="9" customWidth="1" style="16" min="1543" max="1544"/>
    <col width="13.125" bestFit="1" customWidth="1" style="16" min="1545" max="1545"/>
    <col width="11.125" bestFit="1" customWidth="1" style="16" min="1546" max="1546"/>
    <col width="9" customWidth="1" style="16" min="1547" max="1792"/>
    <col width="8.625" customWidth="1" style="16" min="1793" max="1793"/>
    <col width="10.625" customWidth="1" style="16" min="1794" max="1794"/>
    <col width="35.125" bestFit="1" customWidth="1" style="16" min="1795" max="1795"/>
    <col width="12.375" customWidth="1" style="16" min="1796" max="1796"/>
    <col width="11" customWidth="1" style="16" min="1797" max="1797"/>
    <col width="13.625" bestFit="1" customWidth="1" style="16" min="1798" max="1798"/>
    <col width="9" customWidth="1" style="16" min="1799" max="1800"/>
    <col width="13.125" bestFit="1" customWidth="1" style="16" min="1801" max="1801"/>
    <col width="11.125" bestFit="1" customWidth="1" style="16" min="1802" max="1802"/>
    <col width="9" customWidth="1" style="16" min="1803" max="2048"/>
    <col width="8.625" customWidth="1" style="16" min="2049" max="2049"/>
    <col width="10.625" customWidth="1" style="16" min="2050" max="2050"/>
    <col width="35.125" bestFit="1" customWidth="1" style="16" min="2051" max="2051"/>
    <col width="12.375" customWidth="1" style="16" min="2052" max="2052"/>
    <col width="11" customWidth="1" style="16" min="2053" max="2053"/>
    <col width="13.625" bestFit="1" customWidth="1" style="16" min="2054" max="2054"/>
    <col width="9" customWidth="1" style="16" min="2055" max="2056"/>
    <col width="13.125" bestFit="1" customWidth="1" style="16" min="2057" max="2057"/>
    <col width="11.125" bestFit="1" customWidth="1" style="16" min="2058" max="2058"/>
    <col width="9" customWidth="1" style="16" min="2059" max="2304"/>
    <col width="8.625" customWidth="1" style="16" min="2305" max="2305"/>
    <col width="10.625" customWidth="1" style="16" min="2306" max="2306"/>
    <col width="35.125" bestFit="1" customWidth="1" style="16" min="2307" max="2307"/>
    <col width="12.375" customWidth="1" style="16" min="2308" max="2308"/>
    <col width="11" customWidth="1" style="16" min="2309" max="2309"/>
    <col width="13.625" bestFit="1" customWidth="1" style="16" min="2310" max="2310"/>
    <col width="9" customWidth="1" style="16" min="2311" max="2312"/>
    <col width="13.125" bestFit="1" customWidth="1" style="16" min="2313" max="2313"/>
    <col width="11.125" bestFit="1" customWidth="1" style="16" min="2314" max="2314"/>
    <col width="9" customWidth="1" style="16" min="2315" max="2560"/>
    <col width="8.625" customWidth="1" style="16" min="2561" max="2561"/>
    <col width="10.625" customWidth="1" style="16" min="2562" max="2562"/>
    <col width="35.125" bestFit="1" customWidth="1" style="16" min="2563" max="2563"/>
    <col width="12.375" customWidth="1" style="16" min="2564" max="2564"/>
    <col width="11" customWidth="1" style="16" min="2565" max="2565"/>
    <col width="13.625" bestFit="1" customWidth="1" style="16" min="2566" max="2566"/>
    <col width="9" customWidth="1" style="16" min="2567" max="2568"/>
    <col width="13.125" bestFit="1" customWidth="1" style="16" min="2569" max="2569"/>
    <col width="11.125" bestFit="1" customWidth="1" style="16" min="2570" max="2570"/>
    <col width="9" customWidth="1" style="16" min="2571" max="2816"/>
    <col width="8.625" customWidth="1" style="16" min="2817" max="2817"/>
    <col width="10.625" customWidth="1" style="16" min="2818" max="2818"/>
    <col width="35.125" bestFit="1" customWidth="1" style="16" min="2819" max="2819"/>
    <col width="12.375" customWidth="1" style="16" min="2820" max="2820"/>
    <col width="11" customWidth="1" style="16" min="2821" max="2821"/>
    <col width="13.625" bestFit="1" customWidth="1" style="16" min="2822" max="2822"/>
    <col width="9" customWidth="1" style="16" min="2823" max="2824"/>
    <col width="13.125" bestFit="1" customWidth="1" style="16" min="2825" max="2825"/>
    <col width="11.125" bestFit="1" customWidth="1" style="16" min="2826" max="2826"/>
    <col width="9" customWidth="1" style="16" min="2827" max="3072"/>
    <col width="8.625" customWidth="1" style="16" min="3073" max="3073"/>
    <col width="10.625" customWidth="1" style="16" min="3074" max="3074"/>
    <col width="35.125" bestFit="1" customWidth="1" style="16" min="3075" max="3075"/>
    <col width="12.375" customWidth="1" style="16" min="3076" max="3076"/>
    <col width="11" customWidth="1" style="16" min="3077" max="3077"/>
    <col width="13.625" bestFit="1" customWidth="1" style="16" min="3078" max="3078"/>
    <col width="9" customWidth="1" style="16" min="3079" max="3080"/>
    <col width="13.125" bestFit="1" customWidth="1" style="16" min="3081" max="3081"/>
    <col width="11.125" bestFit="1" customWidth="1" style="16" min="3082" max="3082"/>
    <col width="9" customWidth="1" style="16" min="3083" max="3328"/>
    <col width="8.625" customWidth="1" style="16" min="3329" max="3329"/>
    <col width="10.625" customWidth="1" style="16" min="3330" max="3330"/>
    <col width="35.125" bestFit="1" customWidth="1" style="16" min="3331" max="3331"/>
    <col width="12.375" customWidth="1" style="16" min="3332" max="3332"/>
    <col width="11" customWidth="1" style="16" min="3333" max="3333"/>
    <col width="13.625" bestFit="1" customWidth="1" style="16" min="3334" max="3334"/>
    <col width="9" customWidth="1" style="16" min="3335" max="3336"/>
    <col width="13.125" bestFit="1" customWidth="1" style="16" min="3337" max="3337"/>
    <col width="11.125" bestFit="1" customWidth="1" style="16" min="3338" max="3338"/>
    <col width="9" customWidth="1" style="16" min="3339" max="3584"/>
    <col width="8.625" customWidth="1" style="16" min="3585" max="3585"/>
    <col width="10.625" customWidth="1" style="16" min="3586" max="3586"/>
    <col width="35.125" bestFit="1" customWidth="1" style="16" min="3587" max="3587"/>
    <col width="12.375" customWidth="1" style="16" min="3588" max="3588"/>
    <col width="11" customWidth="1" style="16" min="3589" max="3589"/>
    <col width="13.625" bestFit="1" customWidth="1" style="16" min="3590" max="3590"/>
    <col width="9" customWidth="1" style="16" min="3591" max="3592"/>
    <col width="13.125" bestFit="1" customWidth="1" style="16" min="3593" max="3593"/>
    <col width="11.125" bestFit="1" customWidth="1" style="16" min="3594" max="3594"/>
    <col width="9" customWidth="1" style="16" min="3595" max="3840"/>
    <col width="8.625" customWidth="1" style="16" min="3841" max="3841"/>
    <col width="10.625" customWidth="1" style="16" min="3842" max="3842"/>
    <col width="35.125" bestFit="1" customWidth="1" style="16" min="3843" max="3843"/>
    <col width="12.375" customWidth="1" style="16" min="3844" max="3844"/>
    <col width="11" customWidth="1" style="16" min="3845" max="3845"/>
    <col width="13.625" bestFit="1" customWidth="1" style="16" min="3846" max="3846"/>
    <col width="9" customWidth="1" style="16" min="3847" max="3848"/>
    <col width="13.125" bestFit="1" customWidth="1" style="16" min="3849" max="3849"/>
    <col width="11.125" bestFit="1" customWidth="1" style="16" min="3850" max="3850"/>
    <col width="9" customWidth="1" style="16" min="3851" max="4096"/>
    <col width="8.625" customWidth="1" style="16" min="4097" max="4097"/>
    <col width="10.625" customWidth="1" style="16" min="4098" max="4098"/>
    <col width="35.125" bestFit="1" customWidth="1" style="16" min="4099" max="4099"/>
    <col width="12.375" customWidth="1" style="16" min="4100" max="4100"/>
    <col width="11" customWidth="1" style="16" min="4101" max="4101"/>
    <col width="13.625" bestFit="1" customWidth="1" style="16" min="4102" max="4102"/>
    <col width="9" customWidth="1" style="16" min="4103" max="4104"/>
    <col width="13.125" bestFit="1" customWidth="1" style="16" min="4105" max="4105"/>
    <col width="11.125" bestFit="1" customWidth="1" style="16" min="4106" max="4106"/>
    <col width="9" customWidth="1" style="16" min="4107" max="4352"/>
    <col width="8.625" customWidth="1" style="16" min="4353" max="4353"/>
    <col width="10.625" customWidth="1" style="16" min="4354" max="4354"/>
    <col width="35.125" bestFit="1" customWidth="1" style="16" min="4355" max="4355"/>
    <col width="12.375" customWidth="1" style="16" min="4356" max="4356"/>
    <col width="11" customWidth="1" style="16" min="4357" max="4357"/>
    <col width="13.625" bestFit="1" customWidth="1" style="16" min="4358" max="4358"/>
    <col width="9" customWidth="1" style="16" min="4359" max="4360"/>
    <col width="13.125" bestFit="1" customWidth="1" style="16" min="4361" max="4361"/>
    <col width="11.125" bestFit="1" customWidth="1" style="16" min="4362" max="4362"/>
    <col width="9" customWidth="1" style="16" min="4363" max="4608"/>
    <col width="8.625" customWidth="1" style="16" min="4609" max="4609"/>
    <col width="10.625" customWidth="1" style="16" min="4610" max="4610"/>
    <col width="35.125" bestFit="1" customWidth="1" style="16" min="4611" max="4611"/>
    <col width="12.375" customWidth="1" style="16" min="4612" max="4612"/>
    <col width="11" customWidth="1" style="16" min="4613" max="4613"/>
    <col width="13.625" bestFit="1" customWidth="1" style="16" min="4614" max="4614"/>
    <col width="9" customWidth="1" style="16" min="4615" max="4616"/>
    <col width="13.125" bestFit="1" customWidth="1" style="16" min="4617" max="4617"/>
    <col width="11.125" bestFit="1" customWidth="1" style="16" min="4618" max="4618"/>
    <col width="9" customWidth="1" style="16" min="4619" max="4864"/>
    <col width="8.625" customWidth="1" style="16" min="4865" max="4865"/>
    <col width="10.625" customWidth="1" style="16" min="4866" max="4866"/>
    <col width="35.125" bestFit="1" customWidth="1" style="16" min="4867" max="4867"/>
    <col width="12.375" customWidth="1" style="16" min="4868" max="4868"/>
    <col width="11" customWidth="1" style="16" min="4869" max="4869"/>
    <col width="13.625" bestFit="1" customWidth="1" style="16" min="4870" max="4870"/>
    <col width="9" customWidth="1" style="16" min="4871" max="4872"/>
    <col width="13.125" bestFit="1" customWidth="1" style="16" min="4873" max="4873"/>
    <col width="11.125" bestFit="1" customWidth="1" style="16" min="4874" max="4874"/>
    <col width="9" customWidth="1" style="16" min="4875" max="5120"/>
    <col width="8.625" customWidth="1" style="16" min="5121" max="5121"/>
    <col width="10.625" customWidth="1" style="16" min="5122" max="5122"/>
    <col width="35.125" bestFit="1" customWidth="1" style="16" min="5123" max="5123"/>
    <col width="12.375" customWidth="1" style="16" min="5124" max="5124"/>
    <col width="11" customWidth="1" style="16" min="5125" max="5125"/>
    <col width="13.625" bestFit="1" customWidth="1" style="16" min="5126" max="5126"/>
    <col width="9" customWidth="1" style="16" min="5127" max="5128"/>
    <col width="13.125" bestFit="1" customWidth="1" style="16" min="5129" max="5129"/>
    <col width="11.125" bestFit="1" customWidth="1" style="16" min="5130" max="5130"/>
    <col width="9" customWidth="1" style="16" min="5131" max="5376"/>
    <col width="8.625" customWidth="1" style="16" min="5377" max="5377"/>
    <col width="10.625" customWidth="1" style="16" min="5378" max="5378"/>
    <col width="35.125" bestFit="1" customWidth="1" style="16" min="5379" max="5379"/>
    <col width="12.375" customWidth="1" style="16" min="5380" max="5380"/>
    <col width="11" customWidth="1" style="16" min="5381" max="5381"/>
    <col width="13.625" bestFit="1" customWidth="1" style="16" min="5382" max="5382"/>
    <col width="9" customWidth="1" style="16" min="5383" max="5384"/>
    <col width="13.125" bestFit="1" customWidth="1" style="16" min="5385" max="5385"/>
    <col width="11.125" bestFit="1" customWidth="1" style="16" min="5386" max="5386"/>
    <col width="9" customWidth="1" style="16" min="5387" max="5632"/>
    <col width="8.625" customWidth="1" style="16" min="5633" max="5633"/>
    <col width="10.625" customWidth="1" style="16" min="5634" max="5634"/>
    <col width="35.125" bestFit="1" customWidth="1" style="16" min="5635" max="5635"/>
    <col width="12.375" customWidth="1" style="16" min="5636" max="5636"/>
    <col width="11" customWidth="1" style="16" min="5637" max="5637"/>
    <col width="13.625" bestFit="1" customWidth="1" style="16" min="5638" max="5638"/>
    <col width="9" customWidth="1" style="16" min="5639" max="5640"/>
    <col width="13.125" bestFit="1" customWidth="1" style="16" min="5641" max="5641"/>
    <col width="11.125" bestFit="1" customWidth="1" style="16" min="5642" max="5642"/>
    <col width="9" customWidth="1" style="16" min="5643" max="5888"/>
    <col width="8.625" customWidth="1" style="16" min="5889" max="5889"/>
    <col width="10.625" customWidth="1" style="16" min="5890" max="5890"/>
    <col width="35.125" bestFit="1" customWidth="1" style="16" min="5891" max="5891"/>
    <col width="12.375" customWidth="1" style="16" min="5892" max="5892"/>
    <col width="11" customWidth="1" style="16" min="5893" max="5893"/>
    <col width="13.625" bestFit="1" customWidth="1" style="16" min="5894" max="5894"/>
    <col width="9" customWidth="1" style="16" min="5895" max="5896"/>
    <col width="13.125" bestFit="1" customWidth="1" style="16" min="5897" max="5897"/>
    <col width="11.125" bestFit="1" customWidth="1" style="16" min="5898" max="5898"/>
    <col width="9" customWidth="1" style="16" min="5899" max="6144"/>
    <col width="8.625" customWidth="1" style="16" min="6145" max="6145"/>
    <col width="10.625" customWidth="1" style="16" min="6146" max="6146"/>
    <col width="35.125" bestFit="1" customWidth="1" style="16" min="6147" max="6147"/>
    <col width="12.375" customWidth="1" style="16" min="6148" max="6148"/>
    <col width="11" customWidth="1" style="16" min="6149" max="6149"/>
    <col width="13.625" bestFit="1" customWidth="1" style="16" min="6150" max="6150"/>
    <col width="9" customWidth="1" style="16" min="6151" max="6152"/>
    <col width="13.125" bestFit="1" customWidth="1" style="16" min="6153" max="6153"/>
    <col width="11.125" bestFit="1" customWidth="1" style="16" min="6154" max="6154"/>
    <col width="9" customWidth="1" style="16" min="6155" max="6400"/>
    <col width="8.625" customWidth="1" style="16" min="6401" max="6401"/>
    <col width="10.625" customWidth="1" style="16" min="6402" max="6402"/>
    <col width="35.125" bestFit="1" customWidth="1" style="16" min="6403" max="6403"/>
    <col width="12.375" customWidth="1" style="16" min="6404" max="6404"/>
    <col width="11" customWidth="1" style="16" min="6405" max="6405"/>
    <col width="13.625" bestFit="1" customWidth="1" style="16" min="6406" max="6406"/>
    <col width="9" customWidth="1" style="16" min="6407" max="6408"/>
    <col width="13.125" bestFit="1" customWidth="1" style="16" min="6409" max="6409"/>
    <col width="11.125" bestFit="1" customWidth="1" style="16" min="6410" max="6410"/>
    <col width="9" customWidth="1" style="16" min="6411" max="6656"/>
    <col width="8.625" customWidth="1" style="16" min="6657" max="6657"/>
    <col width="10.625" customWidth="1" style="16" min="6658" max="6658"/>
    <col width="35.125" bestFit="1" customWidth="1" style="16" min="6659" max="6659"/>
    <col width="12.375" customWidth="1" style="16" min="6660" max="6660"/>
    <col width="11" customWidth="1" style="16" min="6661" max="6661"/>
    <col width="13.625" bestFit="1" customWidth="1" style="16" min="6662" max="6662"/>
    <col width="9" customWidth="1" style="16" min="6663" max="6664"/>
    <col width="13.125" bestFit="1" customWidth="1" style="16" min="6665" max="6665"/>
    <col width="11.125" bestFit="1" customWidth="1" style="16" min="6666" max="6666"/>
    <col width="9" customWidth="1" style="16" min="6667" max="6912"/>
    <col width="8.625" customWidth="1" style="16" min="6913" max="6913"/>
    <col width="10.625" customWidth="1" style="16" min="6914" max="6914"/>
    <col width="35.125" bestFit="1" customWidth="1" style="16" min="6915" max="6915"/>
    <col width="12.375" customWidth="1" style="16" min="6916" max="6916"/>
    <col width="11" customWidth="1" style="16" min="6917" max="6917"/>
    <col width="13.625" bestFit="1" customWidth="1" style="16" min="6918" max="6918"/>
    <col width="9" customWidth="1" style="16" min="6919" max="6920"/>
    <col width="13.125" bestFit="1" customWidth="1" style="16" min="6921" max="6921"/>
    <col width="11.125" bestFit="1" customWidth="1" style="16" min="6922" max="6922"/>
    <col width="9" customWidth="1" style="16" min="6923" max="7168"/>
    <col width="8.625" customWidth="1" style="16" min="7169" max="7169"/>
    <col width="10.625" customWidth="1" style="16" min="7170" max="7170"/>
    <col width="35.125" bestFit="1" customWidth="1" style="16" min="7171" max="7171"/>
    <col width="12.375" customWidth="1" style="16" min="7172" max="7172"/>
    <col width="11" customWidth="1" style="16" min="7173" max="7173"/>
    <col width="13.625" bestFit="1" customWidth="1" style="16" min="7174" max="7174"/>
    <col width="9" customWidth="1" style="16" min="7175" max="7176"/>
    <col width="13.125" bestFit="1" customWidth="1" style="16" min="7177" max="7177"/>
    <col width="11.125" bestFit="1" customWidth="1" style="16" min="7178" max="7178"/>
    <col width="9" customWidth="1" style="16" min="7179" max="7424"/>
    <col width="8.625" customWidth="1" style="16" min="7425" max="7425"/>
    <col width="10.625" customWidth="1" style="16" min="7426" max="7426"/>
    <col width="35.125" bestFit="1" customWidth="1" style="16" min="7427" max="7427"/>
    <col width="12.375" customWidth="1" style="16" min="7428" max="7428"/>
    <col width="11" customWidth="1" style="16" min="7429" max="7429"/>
    <col width="13.625" bestFit="1" customWidth="1" style="16" min="7430" max="7430"/>
    <col width="9" customWidth="1" style="16" min="7431" max="7432"/>
    <col width="13.125" bestFit="1" customWidth="1" style="16" min="7433" max="7433"/>
    <col width="11.125" bestFit="1" customWidth="1" style="16" min="7434" max="7434"/>
    <col width="9" customWidth="1" style="16" min="7435" max="7680"/>
    <col width="8.625" customWidth="1" style="16" min="7681" max="7681"/>
    <col width="10.625" customWidth="1" style="16" min="7682" max="7682"/>
    <col width="35.125" bestFit="1" customWidth="1" style="16" min="7683" max="7683"/>
    <col width="12.375" customWidth="1" style="16" min="7684" max="7684"/>
    <col width="11" customWidth="1" style="16" min="7685" max="7685"/>
    <col width="13.625" bestFit="1" customWidth="1" style="16" min="7686" max="7686"/>
    <col width="9" customWidth="1" style="16" min="7687" max="7688"/>
    <col width="13.125" bestFit="1" customWidth="1" style="16" min="7689" max="7689"/>
    <col width="11.125" bestFit="1" customWidth="1" style="16" min="7690" max="7690"/>
    <col width="9" customWidth="1" style="16" min="7691" max="7936"/>
    <col width="8.625" customWidth="1" style="16" min="7937" max="7937"/>
    <col width="10.625" customWidth="1" style="16" min="7938" max="7938"/>
    <col width="35.125" bestFit="1" customWidth="1" style="16" min="7939" max="7939"/>
    <col width="12.375" customWidth="1" style="16" min="7940" max="7940"/>
    <col width="11" customWidth="1" style="16" min="7941" max="7941"/>
    <col width="13.625" bestFit="1" customWidth="1" style="16" min="7942" max="7942"/>
    <col width="9" customWidth="1" style="16" min="7943" max="7944"/>
    <col width="13.125" bestFit="1" customWidth="1" style="16" min="7945" max="7945"/>
    <col width="11.125" bestFit="1" customWidth="1" style="16" min="7946" max="7946"/>
    <col width="9" customWidth="1" style="16" min="7947" max="8192"/>
    <col width="8.625" customWidth="1" style="16" min="8193" max="8193"/>
    <col width="10.625" customWidth="1" style="16" min="8194" max="8194"/>
    <col width="35.125" bestFit="1" customWidth="1" style="16" min="8195" max="8195"/>
    <col width="12.375" customWidth="1" style="16" min="8196" max="8196"/>
    <col width="11" customWidth="1" style="16" min="8197" max="8197"/>
    <col width="13.625" bestFit="1" customWidth="1" style="16" min="8198" max="8198"/>
    <col width="9" customWidth="1" style="16" min="8199" max="8200"/>
    <col width="13.125" bestFit="1" customWidth="1" style="16" min="8201" max="8201"/>
    <col width="11.125" bestFit="1" customWidth="1" style="16" min="8202" max="8202"/>
    <col width="9" customWidth="1" style="16" min="8203" max="8448"/>
    <col width="8.625" customWidth="1" style="16" min="8449" max="8449"/>
    <col width="10.625" customWidth="1" style="16" min="8450" max="8450"/>
    <col width="35.125" bestFit="1" customWidth="1" style="16" min="8451" max="8451"/>
    <col width="12.375" customWidth="1" style="16" min="8452" max="8452"/>
    <col width="11" customWidth="1" style="16" min="8453" max="8453"/>
    <col width="13.625" bestFit="1" customWidth="1" style="16" min="8454" max="8454"/>
    <col width="9" customWidth="1" style="16" min="8455" max="8456"/>
    <col width="13.125" bestFit="1" customWidth="1" style="16" min="8457" max="8457"/>
    <col width="11.125" bestFit="1" customWidth="1" style="16" min="8458" max="8458"/>
    <col width="9" customWidth="1" style="16" min="8459" max="8704"/>
    <col width="8.625" customWidth="1" style="16" min="8705" max="8705"/>
    <col width="10.625" customWidth="1" style="16" min="8706" max="8706"/>
    <col width="35.125" bestFit="1" customWidth="1" style="16" min="8707" max="8707"/>
    <col width="12.375" customWidth="1" style="16" min="8708" max="8708"/>
    <col width="11" customWidth="1" style="16" min="8709" max="8709"/>
    <col width="13.625" bestFit="1" customWidth="1" style="16" min="8710" max="8710"/>
    <col width="9" customWidth="1" style="16" min="8711" max="8712"/>
    <col width="13.125" bestFit="1" customWidth="1" style="16" min="8713" max="8713"/>
    <col width="11.125" bestFit="1" customWidth="1" style="16" min="8714" max="8714"/>
    <col width="9" customWidth="1" style="16" min="8715" max="8960"/>
    <col width="8.625" customWidth="1" style="16" min="8961" max="8961"/>
    <col width="10.625" customWidth="1" style="16" min="8962" max="8962"/>
    <col width="35.125" bestFit="1" customWidth="1" style="16" min="8963" max="8963"/>
    <col width="12.375" customWidth="1" style="16" min="8964" max="8964"/>
    <col width="11" customWidth="1" style="16" min="8965" max="8965"/>
    <col width="13.625" bestFit="1" customWidth="1" style="16" min="8966" max="8966"/>
    <col width="9" customWidth="1" style="16" min="8967" max="8968"/>
    <col width="13.125" bestFit="1" customWidth="1" style="16" min="8969" max="8969"/>
    <col width="11.125" bestFit="1" customWidth="1" style="16" min="8970" max="8970"/>
    <col width="9" customWidth="1" style="16" min="8971" max="9216"/>
    <col width="8.625" customWidth="1" style="16" min="9217" max="9217"/>
    <col width="10.625" customWidth="1" style="16" min="9218" max="9218"/>
    <col width="35.125" bestFit="1" customWidth="1" style="16" min="9219" max="9219"/>
    <col width="12.375" customWidth="1" style="16" min="9220" max="9220"/>
    <col width="11" customWidth="1" style="16" min="9221" max="9221"/>
    <col width="13.625" bestFit="1" customWidth="1" style="16" min="9222" max="9222"/>
    <col width="9" customWidth="1" style="16" min="9223" max="9224"/>
    <col width="13.125" bestFit="1" customWidth="1" style="16" min="9225" max="9225"/>
    <col width="11.125" bestFit="1" customWidth="1" style="16" min="9226" max="9226"/>
    <col width="9" customWidth="1" style="16" min="9227" max="9472"/>
    <col width="8.625" customWidth="1" style="16" min="9473" max="9473"/>
    <col width="10.625" customWidth="1" style="16" min="9474" max="9474"/>
    <col width="35.125" bestFit="1" customWidth="1" style="16" min="9475" max="9475"/>
    <col width="12.375" customWidth="1" style="16" min="9476" max="9476"/>
    <col width="11" customWidth="1" style="16" min="9477" max="9477"/>
    <col width="13.625" bestFit="1" customWidth="1" style="16" min="9478" max="9478"/>
    <col width="9" customWidth="1" style="16" min="9479" max="9480"/>
    <col width="13.125" bestFit="1" customWidth="1" style="16" min="9481" max="9481"/>
    <col width="11.125" bestFit="1" customWidth="1" style="16" min="9482" max="9482"/>
    <col width="9" customWidth="1" style="16" min="9483" max="9728"/>
    <col width="8.625" customWidth="1" style="16" min="9729" max="9729"/>
    <col width="10.625" customWidth="1" style="16" min="9730" max="9730"/>
    <col width="35.125" bestFit="1" customWidth="1" style="16" min="9731" max="9731"/>
    <col width="12.375" customWidth="1" style="16" min="9732" max="9732"/>
    <col width="11" customWidth="1" style="16" min="9733" max="9733"/>
    <col width="13.625" bestFit="1" customWidth="1" style="16" min="9734" max="9734"/>
    <col width="9" customWidth="1" style="16" min="9735" max="9736"/>
    <col width="13.125" bestFit="1" customWidth="1" style="16" min="9737" max="9737"/>
    <col width="11.125" bestFit="1" customWidth="1" style="16" min="9738" max="9738"/>
    <col width="9" customWidth="1" style="16" min="9739" max="9984"/>
    <col width="8.625" customWidth="1" style="16" min="9985" max="9985"/>
    <col width="10.625" customWidth="1" style="16" min="9986" max="9986"/>
    <col width="35.125" bestFit="1" customWidth="1" style="16" min="9987" max="9987"/>
    <col width="12.375" customWidth="1" style="16" min="9988" max="9988"/>
    <col width="11" customWidth="1" style="16" min="9989" max="9989"/>
    <col width="13.625" bestFit="1" customWidth="1" style="16" min="9990" max="9990"/>
    <col width="9" customWidth="1" style="16" min="9991" max="9992"/>
    <col width="13.125" bestFit="1" customWidth="1" style="16" min="9993" max="9993"/>
    <col width="11.125" bestFit="1" customWidth="1" style="16" min="9994" max="9994"/>
    <col width="9" customWidth="1" style="16" min="9995" max="10240"/>
    <col width="8.625" customWidth="1" style="16" min="10241" max="10241"/>
    <col width="10.625" customWidth="1" style="16" min="10242" max="10242"/>
    <col width="35.125" bestFit="1" customWidth="1" style="16" min="10243" max="10243"/>
    <col width="12.375" customWidth="1" style="16" min="10244" max="10244"/>
    <col width="11" customWidth="1" style="16" min="10245" max="10245"/>
    <col width="13.625" bestFit="1" customWidth="1" style="16" min="10246" max="10246"/>
    <col width="9" customWidth="1" style="16" min="10247" max="10248"/>
    <col width="13.125" bestFit="1" customWidth="1" style="16" min="10249" max="10249"/>
    <col width="11.125" bestFit="1" customWidth="1" style="16" min="10250" max="10250"/>
    <col width="9" customWidth="1" style="16" min="10251" max="10496"/>
    <col width="8.625" customWidth="1" style="16" min="10497" max="10497"/>
    <col width="10.625" customWidth="1" style="16" min="10498" max="10498"/>
    <col width="35.125" bestFit="1" customWidth="1" style="16" min="10499" max="10499"/>
    <col width="12.375" customWidth="1" style="16" min="10500" max="10500"/>
    <col width="11" customWidth="1" style="16" min="10501" max="10501"/>
    <col width="13.625" bestFit="1" customWidth="1" style="16" min="10502" max="10502"/>
    <col width="9" customWidth="1" style="16" min="10503" max="10504"/>
    <col width="13.125" bestFit="1" customWidth="1" style="16" min="10505" max="10505"/>
    <col width="11.125" bestFit="1" customWidth="1" style="16" min="10506" max="10506"/>
    <col width="9" customWidth="1" style="16" min="10507" max="10752"/>
    <col width="8.625" customWidth="1" style="16" min="10753" max="10753"/>
    <col width="10.625" customWidth="1" style="16" min="10754" max="10754"/>
    <col width="35.125" bestFit="1" customWidth="1" style="16" min="10755" max="10755"/>
    <col width="12.375" customWidth="1" style="16" min="10756" max="10756"/>
    <col width="11" customWidth="1" style="16" min="10757" max="10757"/>
    <col width="13.625" bestFit="1" customWidth="1" style="16" min="10758" max="10758"/>
    <col width="9" customWidth="1" style="16" min="10759" max="10760"/>
    <col width="13.125" bestFit="1" customWidth="1" style="16" min="10761" max="10761"/>
    <col width="11.125" bestFit="1" customWidth="1" style="16" min="10762" max="10762"/>
    <col width="9" customWidth="1" style="16" min="10763" max="11008"/>
    <col width="8.625" customWidth="1" style="16" min="11009" max="11009"/>
    <col width="10.625" customWidth="1" style="16" min="11010" max="11010"/>
    <col width="35.125" bestFit="1" customWidth="1" style="16" min="11011" max="11011"/>
    <col width="12.375" customWidth="1" style="16" min="11012" max="11012"/>
    <col width="11" customWidth="1" style="16" min="11013" max="11013"/>
    <col width="13.625" bestFit="1" customWidth="1" style="16" min="11014" max="11014"/>
    <col width="9" customWidth="1" style="16" min="11015" max="11016"/>
    <col width="13.125" bestFit="1" customWidth="1" style="16" min="11017" max="11017"/>
    <col width="11.125" bestFit="1" customWidth="1" style="16" min="11018" max="11018"/>
    <col width="9" customWidth="1" style="16" min="11019" max="11264"/>
    <col width="8.625" customWidth="1" style="16" min="11265" max="11265"/>
    <col width="10.625" customWidth="1" style="16" min="11266" max="11266"/>
    <col width="35.125" bestFit="1" customWidth="1" style="16" min="11267" max="11267"/>
    <col width="12.375" customWidth="1" style="16" min="11268" max="11268"/>
    <col width="11" customWidth="1" style="16" min="11269" max="11269"/>
    <col width="13.625" bestFit="1" customWidth="1" style="16" min="11270" max="11270"/>
    <col width="9" customWidth="1" style="16" min="11271" max="11272"/>
    <col width="13.125" bestFit="1" customWidth="1" style="16" min="11273" max="11273"/>
    <col width="11.125" bestFit="1" customWidth="1" style="16" min="11274" max="11274"/>
    <col width="9" customWidth="1" style="16" min="11275" max="11520"/>
    <col width="8.625" customWidth="1" style="16" min="11521" max="11521"/>
    <col width="10.625" customWidth="1" style="16" min="11522" max="11522"/>
    <col width="35.125" bestFit="1" customWidth="1" style="16" min="11523" max="11523"/>
    <col width="12.375" customWidth="1" style="16" min="11524" max="11524"/>
    <col width="11" customWidth="1" style="16" min="11525" max="11525"/>
    <col width="13.625" bestFit="1" customWidth="1" style="16" min="11526" max="11526"/>
    <col width="9" customWidth="1" style="16" min="11527" max="11528"/>
    <col width="13.125" bestFit="1" customWidth="1" style="16" min="11529" max="11529"/>
    <col width="11.125" bestFit="1" customWidth="1" style="16" min="11530" max="11530"/>
    <col width="9" customWidth="1" style="16" min="11531" max="11776"/>
    <col width="8.625" customWidth="1" style="16" min="11777" max="11777"/>
    <col width="10.625" customWidth="1" style="16" min="11778" max="11778"/>
    <col width="35.125" bestFit="1" customWidth="1" style="16" min="11779" max="11779"/>
    <col width="12.375" customWidth="1" style="16" min="11780" max="11780"/>
    <col width="11" customWidth="1" style="16" min="11781" max="11781"/>
    <col width="13.625" bestFit="1" customWidth="1" style="16" min="11782" max="11782"/>
    <col width="9" customWidth="1" style="16" min="11783" max="11784"/>
    <col width="13.125" bestFit="1" customWidth="1" style="16" min="11785" max="11785"/>
    <col width="11.125" bestFit="1" customWidth="1" style="16" min="11786" max="11786"/>
    <col width="9" customWidth="1" style="16" min="11787" max="12032"/>
    <col width="8.625" customWidth="1" style="16" min="12033" max="12033"/>
    <col width="10.625" customWidth="1" style="16" min="12034" max="12034"/>
    <col width="35.125" bestFit="1" customWidth="1" style="16" min="12035" max="12035"/>
    <col width="12.375" customWidth="1" style="16" min="12036" max="12036"/>
    <col width="11" customWidth="1" style="16" min="12037" max="12037"/>
    <col width="13.625" bestFit="1" customWidth="1" style="16" min="12038" max="12038"/>
    <col width="9" customWidth="1" style="16" min="12039" max="12040"/>
    <col width="13.125" bestFit="1" customWidth="1" style="16" min="12041" max="12041"/>
    <col width="11.125" bestFit="1" customWidth="1" style="16" min="12042" max="12042"/>
    <col width="9" customWidth="1" style="16" min="12043" max="12288"/>
    <col width="8.625" customWidth="1" style="16" min="12289" max="12289"/>
    <col width="10.625" customWidth="1" style="16" min="12290" max="12290"/>
    <col width="35.125" bestFit="1" customWidth="1" style="16" min="12291" max="12291"/>
    <col width="12.375" customWidth="1" style="16" min="12292" max="12292"/>
    <col width="11" customWidth="1" style="16" min="12293" max="12293"/>
    <col width="13.625" bestFit="1" customWidth="1" style="16" min="12294" max="12294"/>
    <col width="9" customWidth="1" style="16" min="12295" max="12296"/>
    <col width="13.125" bestFit="1" customWidth="1" style="16" min="12297" max="12297"/>
    <col width="11.125" bestFit="1" customWidth="1" style="16" min="12298" max="12298"/>
    <col width="9" customWidth="1" style="16" min="12299" max="12544"/>
    <col width="8.625" customWidth="1" style="16" min="12545" max="12545"/>
    <col width="10.625" customWidth="1" style="16" min="12546" max="12546"/>
    <col width="35.125" bestFit="1" customWidth="1" style="16" min="12547" max="12547"/>
    <col width="12.375" customWidth="1" style="16" min="12548" max="12548"/>
    <col width="11" customWidth="1" style="16" min="12549" max="12549"/>
    <col width="13.625" bestFit="1" customWidth="1" style="16" min="12550" max="12550"/>
    <col width="9" customWidth="1" style="16" min="12551" max="12552"/>
    <col width="13.125" bestFit="1" customWidth="1" style="16" min="12553" max="12553"/>
    <col width="11.125" bestFit="1" customWidth="1" style="16" min="12554" max="12554"/>
    <col width="9" customWidth="1" style="16" min="12555" max="12800"/>
    <col width="8.625" customWidth="1" style="16" min="12801" max="12801"/>
    <col width="10.625" customWidth="1" style="16" min="12802" max="12802"/>
    <col width="35.125" bestFit="1" customWidth="1" style="16" min="12803" max="12803"/>
    <col width="12.375" customWidth="1" style="16" min="12804" max="12804"/>
    <col width="11" customWidth="1" style="16" min="12805" max="12805"/>
    <col width="13.625" bestFit="1" customWidth="1" style="16" min="12806" max="12806"/>
    <col width="9" customWidth="1" style="16" min="12807" max="12808"/>
    <col width="13.125" bestFit="1" customWidth="1" style="16" min="12809" max="12809"/>
    <col width="11.125" bestFit="1" customWidth="1" style="16" min="12810" max="12810"/>
    <col width="9" customWidth="1" style="16" min="12811" max="13056"/>
    <col width="8.625" customWidth="1" style="16" min="13057" max="13057"/>
    <col width="10.625" customWidth="1" style="16" min="13058" max="13058"/>
    <col width="35.125" bestFit="1" customWidth="1" style="16" min="13059" max="13059"/>
    <col width="12.375" customWidth="1" style="16" min="13060" max="13060"/>
    <col width="11" customWidth="1" style="16" min="13061" max="13061"/>
    <col width="13.625" bestFit="1" customWidth="1" style="16" min="13062" max="13062"/>
    <col width="9" customWidth="1" style="16" min="13063" max="13064"/>
    <col width="13.125" bestFit="1" customWidth="1" style="16" min="13065" max="13065"/>
    <col width="11.125" bestFit="1" customWidth="1" style="16" min="13066" max="13066"/>
    <col width="9" customWidth="1" style="16" min="13067" max="13312"/>
    <col width="8.625" customWidth="1" style="16" min="13313" max="13313"/>
    <col width="10.625" customWidth="1" style="16" min="13314" max="13314"/>
    <col width="35.125" bestFit="1" customWidth="1" style="16" min="13315" max="13315"/>
    <col width="12.375" customWidth="1" style="16" min="13316" max="13316"/>
    <col width="11" customWidth="1" style="16" min="13317" max="13317"/>
    <col width="13.625" bestFit="1" customWidth="1" style="16" min="13318" max="13318"/>
    <col width="9" customWidth="1" style="16" min="13319" max="13320"/>
    <col width="13.125" bestFit="1" customWidth="1" style="16" min="13321" max="13321"/>
    <col width="11.125" bestFit="1" customWidth="1" style="16" min="13322" max="13322"/>
    <col width="9" customWidth="1" style="16" min="13323" max="13568"/>
    <col width="8.625" customWidth="1" style="16" min="13569" max="13569"/>
    <col width="10.625" customWidth="1" style="16" min="13570" max="13570"/>
    <col width="35.125" bestFit="1" customWidth="1" style="16" min="13571" max="13571"/>
    <col width="12.375" customWidth="1" style="16" min="13572" max="13572"/>
    <col width="11" customWidth="1" style="16" min="13573" max="13573"/>
    <col width="13.625" bestFit="1" customWidth="1" style="16" min="13574" max="13574"/>
    <col width="9" customWidth="1" style="16" min="13575" max="13576"/>
    <col width="13.125" bestFit="1" customWidth="1" style="16" min="13577" max="13577"/>
    <col width="11.125" bestFit="1" customWidth="1" style="16" min="13578" max="13578"/>
    <col width="9" customWidth="1" style="16" min="13579" max="13824"/>
    <col width="8.625" customWidth="1" style="16" min="13825" max="13825"/>
    <col width="10.625" customWidth="1" style="16" min="13826" max="13826"/>
    <col width="35.125" bestFit="1" customWidth="1" style="16" min="13827" max="13827"/>
    <col width="12.375" customWidth="1" style="16" min="13828" max="13828"/>
    <col width="11" customWidth="1" style="16" min="13829" max="13829"/>
    <col width="13.625" bestFit="1" customWidth="1" style="16" min="13830" max="13830"/>
    <col width="9" customWidth="1" style="16" min="13831" max="13832"/>
    <col width="13.125" bestFit="1" customWidth="1" style="16" min="13833" max="13833"/>
    <col width="11.125" bestFit="1" customWidth="1" style="16" min="13834" max="13834"/>
    <col width="9" customWidth="1" style="16" min="13835" max="14080"/>
    <col width="8.625" customWidth="1" style="16" min="14081" max="14081"/>
    <col width="10.625" customWidth="1" style="16" min="14082" max="14082"/>
    <col width="35.125" bestFit="1" customWidth="1" style="16" min="14083" max="14083"/>
    <col width="12.375" customWidth="1" style="16" min="14084" max="14084"/>
    <col width="11" customWidth="1" style="16" min="14085" max="14085"/>
    <col width="13.625" bestFit="1" customWidth="1" style="16" min="14086" max="14086"/>
    <col width="9" customWidth="1" style="16" min="14087" max="14088"/>
    <col width="13.125" bestFit="1" customWidth="1" style="16" min="14089" max="14089"/>
    <col width="11.125" bestFit="1" customWidth="1" style="16" min="14090" max="14090"/>
    <col width="9" customWidth="1" style="16" min="14091" max="14336"/>
    <col width="8.625" customWidth="1" style="16" min="14337" max="14337"/>
    <col width="10.625" customWidth="1" style="16" min="14338" max="14338"/>
    <col width="35.125" bestFit="1" customWidth="1" style="16" min="14339" max="14339"/>
    <col width="12.375" customWidth="1" style="16" min="14340" max="14340"/>
    <col width="11" customWidth="1" style="16" min="14341" max="14341"/>
    <col width="13.625" bestFit="1" customWidth="1" style="16" min="14342" max="14342"/>
    <col width="9" customWidth="1" style="16" min="14343" max="14344"/>
    <col width="13.125" bestFit="1" customWidth="1" style="16" min="14345" max="14345"/>
    <col width="11.125" bestFit="1" customWidth="1" style="16" min="14346" max="14346"/>
    <col width="9" customWidth="1" style="16" min="14347" max="14592"/>
    <col width="8.625" customWidth="1" style="16" min="14593" max="14593"/>
    <col width="10.625" customWidth="1" style="16" min="14594" max="14594"/>
    <col width="35.125" bestFit="1" customWidth="1" style="16" min="14595" max="14595"/>
    <col width="12.375" customWidth="1" style="16" min="14596" max="14596"/>
    <col width="11" customWidth="1" style="16" min="14597" max="14597"/>
    <col width="13.625" bestFit="1" customWidth="1" style="16" min="14598" max="14598"/>
    <col width="9" customWidth="1" style="16" min="14599" max="14600"/>
    <col width="13.125" bestFit="1" customWidth="1" style="16" min="14601" max="14601"/>
    <col width="11.125" bestFit="1" customWidth="1" style="16" min="14602" max="14602"/>
    <col width="9" customWidth="1" style="16" min="14603" max="14848"/>
    <col width="8.625" customWidth="1" style="16" min="14849" max="14849"/>
    <col width="10.625" customWidth="1" style="16" min="14850" max="14850"/>
    <col width="35.125" bestFit="1" customWidth="1" style="16" min="14851" max="14851"/>
    <col width="12.375" customWidth="1" style="16" min="14852" max="14852"/>
    <col width="11" customWidth="1" style="16" min="14853" max="14853"/>
    <col width="13.625" bestFit="1" customWidth="1" style="16" min="14854" max="14854"/>
    <col width="9" customWidth="1" style="16" min="14855" max="14856"/>
    <col width="13.125" bestFit="1" customWidth="1" style="16" min="14857" max="14857"/>
    <col width="11.125" bestFit="1" customWidth="1" style="16" min="14858" max="14858"/>
    <col width="9" customWidth="1" style="16" min="14859" max="15104"/>
    <col width="8.625" customWidth="1" style="16" min="15105" max="15105"/>
    <col width="10.625" customWidth="1" style="16" min="15106" max="15106"/>
    <col width="35.125" bestFit="1" customWidth="1" style="16" min="15107" max="15107"/>
    <col width="12.375" customWidth="1" style="16" min="15108" max="15108"/>
    <col width="11" customWidth="1" style="16" min="15109" max="15109"/>
    <col width="13.625" bestFit="1" customWidth="1" style="16" min="15110" max="15110"/>
    <col width="9" customWidth="1" style="16" min="15111" max="15112"/>
    <col width="13.125" bestFit="1" customWidth="1" style="16" min="15113" max="15113"/>
    <col width="11.125" bestFit="1" customWidth="1" style="16" min="15114" max="15114"/>
    <col width="9" customWidth="1" style="16" min="15115" max="15360"/>
    <col width="8.625" customWidth="1" style="16" min="15361" max="15361"/>
    <col width="10.625" customWidth="1" style="16" min="15362" max="15362"/>
    <col width="35.125" bestFit="1" customWidth="1" style="16" min="15363" max="15363"/>
    <col width="12.375" customWidth="1" style="16" min="15364" max="15364"/>
    <col width="11" customWidth="1" style="16" min="15365" max="15365"/>
    <col width="13.625" bestFit="1" customWidth="1" style="16" min="15366" max="15366"/>
    <col width="9" customWidth="1" style="16" min="15367" max="15368"/>
    <col width="13.125" bestFit="1" customWidth="1" style="16" min="15369" max="15369"/>
    <col width="11.125" bestFit="1" customWidth="1" style="16" min="15370" max="15370"/>
    <col width="9" customWidth="1" style="16" min="15371" max="15616"/>
    <col width="8.625" customWidth="1" style="16" min="15617" max="15617"/>
    <col width="10.625" customWidth="1" style="16" min="15618" max="15618"/>
    <col width="35.125" bestFit="1" customWidth="1" style="16" min="15619" max="15619"/>
    <col width="12.375" customWidth="1" style="16" min="15620" max="15620"/>
    <col width="11" customWidth="1" style="16" min="15621" max="15621"/>
    <col width="13.625" bestFit="1" customWidth="1" style="16" min="15622" max="15622"/>
    <col width="9" customWidth="1" style="16" min="15623" max="15624"/>
    <col width="13.125" bestFit="1" customWidth="1" style="16" min="15625" max="15625"/>
    <col width="11.125" bestFit="1" customWidth="1" style="16" min="15626" max="15626"/>
    <col width="9" customWidth="1" style="16" min="15627" max="15872"/>
    <col width="8.625" customWidth="1" style="16" min="15873" max="15873"/>
    <col width="10.625" customWidth="1" style="16" min="15874" max="15874"/>
    <col width="35.125" bestFit="1" customWidth="1" style="16" min="15875" max="15875"/>
    <col width="12.375" customWidth="1" style="16" min="15876" max="15876"/>
    <col width="11" customWidth="1" style="16" min="15877" max="15877"/>
    <col width="13.625" bestFit="1" customWidth="1" style="16" min="15878" max="15878"/>
    <col width="9" customWidth="1" style="16" min="15879" max="15880"/>
    <col width="13.125" bestFit="1" customWidth="1" style="16" min="15881" max="15881"/>
    <col width="11.125" bestFit="1" customWidth="1" style="16" min="15882" max="15882"/>
    <col width="9" customWidth="1" style="16" min="15883" max="16128"/>
    <col width="8.625" customWidth="1" style="16" min="16129" max="16129"/>
    <col width="10.625" customWidth="1" style="16" min="16130" max="16130"/>
    <col width="35.125" bestFit="1" customWidth="1" style="16" min="16131" max="16131"/>
    <col width="12.375" customWidth="1" style="16" min="16132" max="16132"/>
    <col width="11" customWidth="1" style="16" min="16133" max="16133"/>
    <col width="13.625" bestFit="1" customWidth="1" style="16" min="16134" max="16134"/>
    <col width="9" customWidth="1" style="16" min="16135" max="16136"/>
    <col width="13.125" bestFit="1" customWidth="1" style="16" min="16137" max="16137"/>
    <col width="11.125" bestFit="1" customWidth="1" style="16" min="16138" max="16138"/>
    <col width="9" customWidth="1" style="16" min="16139" max="16384"/>
  </cols>
  <sheetData>
    <row r="1" ht="29.25" customHeight="1" s="237">
      <c r="A1" s="120" t="inlineStr">
        <is>
          <t>구코드</t>
        </is>
      </c>
      <c r="B1" s="121" t="inlineStr">
        <is>
          <t>신코드</t>
        </is>
      </c>
      <c r="C1" s="120" t="inlineStr">
        <is>
          <t>제품명</t>
        </is>
      </c>
      <c r="D1" s="122" t="inlineStr">
        <is>
          <t>내부소비기한(일)
(QA기준)</t>
        </is>
      </c>
      <c r="E1" s="122" t="inlineStr">
        <is>
          <t>내부소비기한
(SCM기준)</t>
        </is>
      </c>
      <c r="F1" s="154" t="inlineStr">
        <is>
          <t>법적유효기간(일)</t>
        </is>
      </c>
      <c r="G1" s="255" t="inlineStr">
        <is>
          <t>유효잔여일</t>
        </is>
      </c>
    </row>
    <row r="2" ht="14.25" customHeight="1" s="237">
      <c r="A2" s="126" t="n">
        <v>4218</v>
      </c>
      <c r="B2" s="127" t="inlineStr">
        <is>
          <t>AB4218</t>
        </is>
      </c>
      <c r="C2" s="128" t="inlineStr">
        <is>
          <t>암바사 345CAN X24</t>
        </is>
      </c>
      <c r="D2" s="256" t="n">
        <v>183</v>
      </c>
      <c r="E2" s="256" t="n">
        <v>182.5</v>
      </c>
      <c r="F2" s="155" t="n">
        <v>365</v>
      </c>
      <c r="G2" s="257" t="n">
        <v>182</v>
      </c>
    </row>
    <row r="3" ht="14.25" customHeight="1" s="237">
      <c r="A3" s="126" t="n">
        <v>4219</v>
      </c>
      <c r="B3" s="127" t="inlineStr">
        <is>
          <t>AB4219</t>
        </is>
      </c>
      <c r="C3" s="128" t="inlineStr">
        <is>
          <t>암바사 345CAN 4X6</t>
        </is>
      </c>
      <c r="D3" s="256" t="n">
        <v>183</v>
      </c>
      <c r="E3" s="256" t="n">
        <v>182.5</v>
      </c>
      <c r="F3" s="155" t="n">
        <v>365</v>
      </c>
      <c r="G3" s="257" t="n">
        <v>182</v>
      </c>
    </row>
    <row r="4" ht="14.25" customHeight="1" s="237">
      <c r="A4" s="120" t="n">
        <v>4224</v>
      </c>
      <c r="B4" s="120" t="inlineStr">
        <is>
          <t>AB4224</t>
        </is>
      </c>
      <c r="C4" s="124" t="inlineStr">
        <is>
          <t>암바사 500PET X24</t>
        </is>
      </c>
      <c r="D4" s="256" t="n">
        <v>84</v>
      </c>
      <c r="E4" s="256" t="n">
        <v>182.5</v>
      </c>
      <c r="F4" s="155" t="n">
        <v>365</v>
      </c>
      <c r="G4" s="257" t="n">
        <v>281</v>
      </c>
    </row>
    <row r="5" ht="14.25" customHeight="1" s="237">
      <c r="A5" s="126" t="n">
        <v>4225</v>
      </c>
      <c r="B5" s="127" t="inlineStr">
        <is>
          <t>AB4225</t>
        </is>
      </c>
      <c r="C5" s="128" t="inlineStr">
        <is>
          <t>암바사 350PET X24</t>
        </is>
      </c>
      <c r="D5" s="256" t="n">
        <v>84</v>
      </c>
      <c r="E5" s="256" t="n">
        <v>182.5</v>
      </c>
      <c r="F5" s="155" t="n">
        <v>365</v>
      </c>
      <c r="G5" s="257" t="n">
        <v>281</v>
      </c>
    </row>
    <row r="6" ht="14.25" customHeight="1" s="237">
      <c r="A6" s="126" t="n">
        <v>4226</v>
      </c>
      <c r="B6" s="127" t="inlineStr">
        <is>
          <t>AB4226</t>
        </is>
      </c>
      <c r="C6" s="128" t="inlineStr">
        <is>
          <t>암바사350(4X6)</t>
        </is>
      </c>
      <c r="D6" s="256" t="n">
        <v>84</v>
      </c>
      <c r="E6" s="256" t="n">
        <v>182.5</v>
      </c>
      <c r="F6" s="155" t="n">
        <v>365</v>
      </c>
      <c r="G6" s="257" t="n">
        <v>281</v>
      </c>
    </row>
    <row r="7" ht="14.25" customHeight="1" s="237">
      <c r="A7" s="120" t="n">
        <v>4549</v>
      </c>
      <c r="B7" s="120" t="inlineStr">
        <is>
          <t>AB4549</t>
        </is>
      </c>
      <c r="C7" s="124" t="inlineStr">
        <is>
          <t>암바사화이트1.5PET X12</t>
        </is>
      </c>
      <c r="D7" s="256" t="n">
        <v>98</v>
      </c>
      <c r="E7" s="256" t="n">
        <v>182.5</v>
      </c>
      <c r="F7" s="155" t="n">
        <v>365</v>
      </c>
      <c r="G7" s="257" t="n">
        <v>267</v>
      </c>
    </row>
    <row r="8" ht="14.25" customHeight="1" s="237">
      <c r="A8" s="120" t="n">
        <v>4833</v>
      </c>
      <c r="B8" s="120" t="inlineStr">
        <is>
          <t>AB4833</t>
        </is>
      </c>
      <c r="C8" s="124" t="inlineStr">
        <is>
          <t>암바사화이트250CAN 5X6</t>
        </is>
      </c>
      <c r="D8" s="256" t="n">
        <v>183</v>
      </c>
      <c r="E8" s="256" t="n">
        <v>182.5</v>
      </c>
      <c r="F8" s="155" t="n">
        <v>365</v>
      </c>
      <c r="G8" s="257" t="n">
        <v>182</v>
      </c>
    </row>
    <row r="9" ht="14.25" customHeight="1" s="237">
      <c r="A9" s="120" t="n">
        <v>4834</v>
      </c>
      <c r="B9" s="120" t="inlineStr">
        <is>
          <t>AB4834</t>
        </is>
      </c>
      <c r="C9" s="124" t="inlineStr">
        <is>
          <t>암바사화이트250CAN X30</t>
        </is>
      </c>
      <c r="D9" s="256" t="n">
        <v>183</v>
      </c>
      <c r="E9" s="256" t="n">
        <v>182.5</v>
      </c>
      <c r="F9" s="155" t="n">
        <v>365</v>
      </c>
      <c r="G9" s="257" t="n">
        <v>182</v>
      </c>
    </row>
    <row r="10" ht="14.25" customHeight="1" s="237">
      <c r="A10" s="120" t="n">
        <v>4845</v>
      </c>
      <c r="B10" s="120" t="inlineStr">
        <is>
          <t>AB4845</t>
        </is>
      </c>
      <c r="C10" s="124" t="inlineStr">
        <is>
          <t>암바사 SSP 250CAN X30</t>
        </is>
      </c>
      <c r="D10" s="256" t="n">
        <v>183</v>
      </c>
      <c r="E10" s="256" t="n">
        <v>182.5</v>
      </c>
      <c r="F10" s="155" t="n">
        <v>365</v>
      </c>
      <c r="G10" s="257" t="n">
        <v>182</v>
      </c>
    </row>
    <row r="11" ht="14.25" customHeight="1" s="237">
      <c r="A11" s="120" t="n">
        <v>4859</v>
      </c>
      <c r="B11" s="120" t="inlineStr">
        <is>
          <t>AB4859</t>
        </is>
      </c>
      <c r="C11" s="124" t="inlineStr">
        <is>
          <t>암바사 SSP 355CAN X24</t>
        </is>
      </c>
      <c r="D11" s="256" t="n">
        <v>183</v>
      </c>
      <c r="E11" s="256" t="n">
        <v>182.5</v>
      </c>
      <c r="F11" s="155" t="n">
        <v>365</v>
      </c>
      <c r="G11" s="257" t="n">
        <v>182</v>
      </c>
    </row>
    <row r="12" ht="14.25" customHeight="1" s="237">
      <c r="A12" s="120" t="n">
        <v>5752</v>
      </c>
      <c r="B12" s="120" t="inlineStr">
        <is>
          <t>AB5752</t>
        </is>
      </c>
      <c r="C12" s="124" t="inlineStr">
        <is>
          <t>암바사 300PET X24</t>
        </is>
      </c>
      <c r="D12" s="256" t="n">
        <v>70</v>
      </c>
      <c r="E12" s="256" t="n">
        <v>182.5</v>
      </c>
      <c r="F12" s="155" t="n">
        <v>365</v>
      </c>
      <c r="G12" s="257" t="n">
        <v>295</v>
      </c>
    </row>
    <row r="13" ht="14.25" customHeight="1" s="237">
      <c r="A13" s="156" t="n">
        <v>4340</v>
      </c>
      <c r="B13" s="157" t="inlineStr">
        <is>
          <t>AD4340</t>
        </is>
      </c>
      <c r="C13" s="158" t="inlineStr">
        <is>
          <t>아데스 아몬드 오리지널 210PET X24</t>
        </is>
      </c>
      <c r="D13" s="258" t="n">
        <v>152</v>
      </c>
      <c r="E13" s="258" t="n">
        <v>152</v>
      </c>
      <c r="F13" s="155" t="n">
        <v>304</v>
      </c>
      <c r="G13" s="259" t="n">
        <v>152</v>
      </c>
    </row>
    <row r="14" ht="14.25" customHeight="1" s="237">
      <c r="A14" s="156" t="n">
        <v>4341</v>
      </c>
      <c r="B14" s="157" t="inlineStr">
        <is>
          <t>AD4341</t>
        </is>
      </c>
      <c r="C14" s="158" t="inlineStr">
        <is>
          <t>아데스 아몬드 초콜릿 210PET X24</t>
        </is>
      </c>
      <c r="D14" s="258" t="n">
        <v>152</v>
      </c>
      <c r="E14" s="258" t="n">
        <v>152</v>
      </c>
      <c r="F14" s="155" t="n">
        <v>304</v>
      </c>
      <c r="G14" s="259" t="n">
        <v>152</v>
      </c>
    </row>
    <row r="15" ht="14.25" customHeight="1" s="237">
      <c r="A15" s="156" t="n">
        <v>4342</v>
      </c>
      <c r="B15" s="157" t="inlineStr">
        <is>
          <t>AD4342</t>
        </is>
      </c>
      <c r="C15" s="158" t="inlineStr">
        <is>
          <t>아데스 아몬드 오리지널 210PET 4X6</t>
        </is>
      </c>
      <c r="D15" s="258" t="n">
        <v>152</v>
      </c>
      <c r="E15" s="258" t="n">
        <v>152</v>
      </c>
      <c r="F15" s="155" t="n">
        <v>304</v>
      </c>
      <c r="G15" s="259" t="n">
        <v>152</v>
      </c>
    </row>
    <row r="16" ht="14.25" customHeight="1" s="237">
      <c r="A16" s="156" t="n">
        <v>4343</v>
      </c>
      <c r="B16" s="157" t="inlineStr">
        <is>
          <t>AD4343</t>
        </is>
      </c>
      <c r="C16" s="158" t="inlineStr">
        <is>
          <t>아데스 아몬드 초콜릿 210PET 4X6</t>
        </is>
      </c>
      <c r="D16" s="258" t="n">
        <v>152</v>
      </c>
      <c r="E16" s="258" t="n">
        <v>152</v>
      </c>
      <c r="F16" s="155" t="n">
        <v>304</v>
      </c>
      <c r="G16" s="259" t="n">
        <v>152</v>
      </c>
    </row>
    <row r="17" ht="14.25" customHeight="1" s="237">
      <c r="A17" s="126" t="n">
        <v>4346</v>
      </c>
      <c r="B17" s="127" t="inlineStr">
        <is>
          <t>AD4346</t>
        </is>
      </c>
      <c r="C17" s="128" t="inlineStr">
        <is>
          <t>아데스 아몬드 오리지널 190TTR 8X3</t>
        </is>
      </c>
      <c r="D17" s="256" t="n">
        <v>152</v>
      </c>
      <c r="E17" s="256" t="n">
        <v>152</v>
      </c>
      <c r="F17" s="155" t="n">
        <v>304</v>
      </c>
      <c r="G17" s="257" t="n">
        <v>152</v>
      </c>
    </row>
    <row r="18" ht="14.25" customHeight="1" s="237">
      <c r="A18" s="126" t="n">
        <v>4347</v>
      </c>
      <c r="B18" s="127" t="inlineStr">
        <is>
          <t>AD4347</t>
        </is>
      </c>
      <c r="C18" s="128" t="inlineStr">
        <is>
          <t>아데스 아몬드 초콜릿 190TTR 8X3</t>
        </is>
      </c>
      <c r="D18" s="256" t="n">
        <v>152</v>
      </c>
      <c r="E18" s="256" t="n">
        <v>152</v>
      </c>
      <c r="F18" s="155" t="n">
        <v>304</v>
      </c>
      <c r="G18" s="257" t="n">
        <v>152</v>
      </c>
    </row>
    <row r="19" ht="14.25" customHeight="1" s="237">
      <c r="A19" s="120" t="n">
        <v>8550</v>
      </c>
      <c r="B19" s="120" t="inlineStr">
        <is>
          <t>AQ8550</t>
        </is>
      </c>
      <c r="C19" s="124" t="inlineStr">
        <is>
          <t>아쿠아리우스240CAN X30</t>
        </is>
      </c>
      <c r="D19" s="256" t="n">
        <v>365</v>
      </c>
      <c r="E19" s="256" t="n">
        <v>365</v>
      </c>
      <c r="F19" s="155" t="n">
        <v>730</v>
      </c>
      <c r="G19" s="257" t="n">
        <v>365</v>
      </c>
    </row>
    <row r="20" ht="14.25" customHeight="1" s="237">
      <c r="A20" s="120" t="n">
        <v>8552</v>
      </c>
      <c r="B20" s="120" t="inlineStr">
        <is>
          <t>AQ8552</t>
        </is>
      </c>
      <c r="C20" s="124" t="inlineStr">
        <is>
          <t>아쿠아리우스500PET X20</t>
        </is>
      </c>
      <c r="D20" s="256" t="n">
        <v>183</v>
      </c>
      <c r="E20" s="256" t="n">
        <v>182.5</v>
      </c>
      <c r="F20" s="155" t="n">
        <v>365</v>
      </c>
      <c r="G20" s="257" t="n">
        <v>182</v>
      </c>
    </row>
    <row r="21" ht="14.25" customHeight="1" s="237">
      <c r="A21" s="120" t="n">
        <v>8554</v>
      </c>
      <c r="B21" s="120" t="inlineStr">
        <is>
          <t>AQ8554</t>
        </is>
      </c>
      <c r="C21" s="124" t="inlineStr">
        <is>
          <t>아쿠아리우스1.5PET X12</t>
        </is>
      </c>
      <c r="D21" s="256" t="n">
        <v>183</v>
      </c>
      <c r="E21" s="256" t="n">
        <v>182.5</v>
      </c>
      <c r="F21" s="155" t="n">
        <v>365</v>
      </c>
      <c r="G21" s="257" t="n">
        <v>182</v>
      </c>
    </row>
    <row r="22" ht="14.25" customHeight="1" s="237">
      <c r="A22" s="120" t="n">
        <v>4276</v>
      </c>
      <c r="B22" s="120" t="inlineStr">
        <is>
          <t>BB4276</t>
        </is>
      </c>
      <c r="C22" s="124" t="inlineStr">
        <is>
          <t>포도봉봉 238CAN 6X12</t>
        </is>
      </c>
      <c r="D22" s="256" t="n">
        <v>365</v>
      </c>
      <c r="E22" s="256" t="n">
        <v>365</v>
      </c>
      <c r="F22" s="155" t="n">
        <v>730</v>
      </c>
      <c r="G22" s="257" t="n">
        <v>365</v>
      </c>
    </row>
    <row r="23" ht="14.25" customHeight="1" s="237">
      <c r="A23" s="120" t="n">
        <v>4277</v>
      </c>
      <c r="B23" s="120" t="inlineStr">
        <is>
          <t>BB4277</t>
        </is>
      </c>
      <c r="C23" s="124" t="inlineStr">
        <is>
          <t>포도봉봉 238CAN X24</t>
        </is>
      </c>
      <c r="D23" s="256" t="n">
        <v>365</v>
      </c>
      <c r="E23" s="256" t="n">
        <v>365</v>
      </c>
      <c r="F23" s="155" t="n">
        <v>730</v>
      </c>
      <c r="G23" s="257" t="n">
        <v>365</v>
      </c>
    </row>
    <row r="24" ht="14.25" customHeight="1" s="237">
      <c r="A24" s="120" t="n">
        <v>5600</v>
      </c>
      <c r="B24" s="120" t="inlineStr">
        <is>
          <t>BI5600</t>
        </is>
      </c>
      <c r="C24" s="124" t="inlineStr">
        <is>
          <t>번인텐스 250CAN X30</t>
        </is>
      </c>
      <c r="D24" s="256" t="n">
        <v>183</v>
      </c>
      <c r="E24" s="256" t="n">
        <v>182.5</v>
      </c>
      <c r="F24" s="155" t="n">
        <v>365</v>
      </c>
      <c r="G24" s="257" t="n">
        <v>182</v>
      </c>
    </row>
    <row r="25" ht="14.25" customHeight="1" s="237">
      <c r="A25" s="120" t="n">
        <v>5601</v>
      </c>
      <c r="B25" s="120" t="inlineStr">
        <is>
          <t>BI5601</t>
        </is>
      </c>
      <c r="C25" s="124" t="inlineStr">
        <is>
          <t>번인텐스 250CAN 5X6</t>
        </is>
      </c>
      <c r="D25" s="256" t="n">
        <v>183</v>
      </c>
      <c r="E25" s="256" t="n">
        <v>182.5</v>
      </c>
      <c r="F25" s="155" t="n">
        <v>365</v>
      </c>
      <c r="G25" s="257" t="n">
        <v>182</v>
      </c>
    </row>
    <row r="26" ht="14.25" customHeight="1" s="237">
      <c r="A26" s="120" t="n">
        <v>5604</v>
      </c>
      <c r="B26" s="120" t="inlineStr">
        <is>
          <t>BI5604</t>
        </is>
      </c>
      <c r="C26" s="124" t="inlineStr">
        <is>
          <t>신)번인텐스250CAN X30</t>
        </is>
      </c>
      <c r="D26" s="256" t="n">
        <v>183</v>
      </c>
      <c r="E26" s="256" t="n">
        <v>182.5</v>
      </c>
      <c r="F26" s="155" t="n">
        <v>365</v>
      </c>
      <c r="G26" s="257" t="n">
        <v>182</v>
      </c>
    </row>
    <row r="27" ht="14.25" customHeight="1" s="237">
      <c r="A27" s="120" t="n">
        <v>5605</v>
      </c>
      <c r="B27" s="120" t="inlineStr">
        <is>
          <t>BI5605</t>
        </is>
      </c>
      <c r="C27" s="124" t="inlineStr">
        <is>
          <t>신)번인텐스250CAN 5X6</t>
        </is>
      </c>
      <c r="D27" s="256" t="n">
        <v>183</v>
      </c>
      <c r="E27" s="256" t="n">
        <v>182.5</v>
      </c>
      <c r="F27" s="155" t="n">
        <v>365</v>
      </c>
      <c r="G27" s="257" t="n">
        <v>182</v>
      </c>
    </row>
    <row r="28" ht="14.25" customHeight="1" s="237">
      <c r="A28" s="126" t="n">
        <v>1524</v>
      </c>
      <c r="B28" s="127" t="inlineStr">
        <is>
          <t>BQ1524</t>
        </is>
      </c>
      <c r="C28" s="128" t="inlineStr">
        <is>
          <t>바크 355CAN X24</t>
        </is>
      </c>
      <c r="D28" s="256" t="n">
        <v>365</v>
      </c>
      <c r="E28" s="256" t="n">
        <v>365</v>
      </c>
      <c r="F28" s="155" t="n">
        <v>730</v>
      </c>
      <c r="G28" s="257" t="n">
        <v>365</v>
      </c>
    </row>
    <row r="29" ht="14.25" customHeight="1" s="237">
      <c r="A29" s="126" t="n">
        <v>1526</v>
      </c>
      <c r="B29" s="127" t="inlineStr">
        <is>
          <t>BQ1526</t>
        </is>
      </c>
      <c r="C29" s="128" t="inlineStr">
        <is>
          <t>바크 355CAN X18</t>
        </is>
      </c>
      <c r="D29" s="256" t="n">
        <v>365</v>
      </c>
      <c r="E29" s="256" t="n">
        <v>365</v>
      </c>
      <c r="F29" s="155" t="n">
        <v>730</v>
      </c>
      <c r="G29" s="257" t="n">
        <v>365</v>
      </c>
    </row>
    <row r="30" ht="14.25" customHeight="1" s="237">
      <c r="A30" s="126" t="n">
        <v>5614</v>
      </c>
      <c r="B30" s="127" t="inlineStr">
        <is>
          <t>BS5614</t>
        </is>
      </c>
      <c r="C30" s="128" t="inlineStr">
        <is>
          <t>빼어날수 다이아EC 500PET X20</t>
        </is>
      </c>
      <c r="D30" s="256" t="n">
        <v>183</v>
      </c>
      <c r="E30" s="256" t="n">
        <v>182.5</v>
      </c>
      <c r="F30" s="155" t="n">
        <v>365</v>
      </c>
      <c r="G30" s="257" t="n">
        <v>182</v>
      </c>
    </row>
    <row r="31" ht="14.25" customHeight="1" s="237">
      <c r="A31" s="120" t="n">
        <v>1192</v>
      </c>
      <c r="B31" s="120" t="inlineStr">
        <is>
          <t>CA1192</t>
        </is>
      </c>
      <c r="C31" s="124" t="inlineStr">
        <is>
          <t>캐 진저엘 250CAN X30</t>
        </is>
      </c>
      <c r="D31" s="256" t="n">
        <v>365</v>
      </c>
      <c r="E31" s="256" t="n">
        <v>365</v>
      </c>
      <c r="F31" s="155" t="n">
        <v>730</v>
      </c>
      <c r="G31" s="257" t="n">
        <v>365</v>
      </c>
    </row>
    <row r="32" ht="14.25" customHeight="1" s="237">
      <c r="A32" s="120" t="n">
        <v>1193</v>
      </c>
      <c r="B32" s="120" t="inlineStr">
        <is>
          <t>CA1193</t>
        </is>
      </c>
      <c r="C32" s="124" t="inlineStr">
        <is>
          <t>캐 진저엘 250CAN 5X6</t>
        </is>
      </c>
      <c r="D32" s="256" t="n">
        <v>365</v>
      </c>
      <c r="E32" s="256" t="n">
        <v>365</v>
      </c>
      <c r="F32" s="155" t="n">
        <v>730</v>
      </c>
      <c r="G32" s="257" t="n">
        <v>365</v>
      </c>
    </row>
    <row r="33" ht="14.25" customHeight="1" s="237">
      <c r="A33" s="126" t="n">
        <v>1195</v>
      </c>
      <c r="B33" s="127" t="inlineStr">
        <is>
          <t>CA1195</t>
        </is>
      </c>
      <c r="C33" s="128" t="inlineStr">
        <is>
          <t>캐나다 진저엘 355CAN X24</t>
        </is>
      </c>
      <c r="D33" s="256" t="n">
        <v>365</v>
      </c>
      <c r="E33" s="256" t="n">
        <v>365</v>
      </c>
      <c r="F33" s="155" t="n">
        <v>730</v>
      </c>
      <c r="G33" s="257" t="n">
        <v>365</v>
      </c>
    </row>
    <row r="34" ht="14.25" customHeight="1" s="237">
      <c r="A34" s="120" t="n">
        <v>1200</v>
      </c>
      <c r="B34" s="120" t="inlineStr">
        <is>
          <t>CA1200</t>
        </is>
      </c>
      <c r="C34" s="124" t="inlineStr">
        <is>
          <t>캐 토닉워터250CAN X30</t>
        </is>
      </c>
      <c r="D34" s="256" t="n">
        <v>365</v>
      </c>
      <c r="E34" s="256" t="n">
        <v>365</v>
      </c>
      <c r="F34" s="155" t="n">
        <v>730</v>
      </c>
      <c r="G34" s="257" t="n">
        <v>365</v>
      </c>
    </row>
    <row r="35" ht="14.25" customHeight="1" s="237">
      <c r="A35" s="120" t="n">
        <v>1201</v>
      </c>
      <c r="B35" s="120" t="inlineStr">
        <is>
          <t>CA1201</t>
        </is>
      </c>
      <c r="C35" s="124" t="inlineStr">
        <is>
          <t>캐 토닉워터250CAN 5X6</t>
        </is>
      </c>
      <c r="D35" s="256" t="n">
        <v>365</v>
      </c>
      <c r="E35" s="256" t="n">
        <v>365</v>
      </c>
      <c r="F35" s="155" t="n">
        <v>730</v>
      </c>
      <c r="G35" s="257" t="n">
        <v>365</v>
      </c>
    </row>
    <row r="36" ht="14.25" customHeight="1" s="237">
      <c r="A36" s="120" t="n">
        <v>1203</v>
      </c>
      <c r="B36" s="120" t="inlineStr">
        <is>
          <t>CA1203</t>
        </is>
      </c>
      <c r="C36" s="124" t="inlineStr">
        <is>
          <t>캐 토닉워터350PET X24</t>
        </is>
      </c>
      <c r="D36" s="256" t="n">
        <v>70</v>
      </c>
      <c r="E36" s="256" t="n">
        <v>182.5</v>
      </c>
      <c r="F36" s="155" t="n">
        <v>365</v>
      </c>
      <c r="G36" s="257" t="n">
        <v>295</v>
      </c>
    </row>
    <row r="37" ht="14.25" customHeight="1" s="237">
      <c r="A37" s="120" t="n">
        <v>1204</v>
      </c>
      <c r="B37" s="120" t="inlineStr">
        <is>
          <t>CA1204</t>
        </is>
      </c>
      <c r="C37" s="124" t="inlineStr">
        <is>
          <t>ET)캐 토닉워터350P 6X4</t>
        </is>
      </c>
      <c r="D37" s="256" t="n">
        <v>70</v>
      </c>
      <c r="E37" s="256" t="n">
        <v>182.5</v>
      </c>
      <c r="F37" s="155" t="n">
        <v>365</v>
      </c>
      <c r="G37" s="257" t="n">
        <v>295</v>
      </c>
    </row>
    <row r="38" ht="14.25" customHeight="1" s="237">
      <c r="A38" s="126" t="n">
        <v>1205</v>
      </c>
      <c r="B38" s="127" t="inlineStr">
        <is>
          <t>CA1205</t>
        </is>
      </c>
      <c r="C38" s="128" t="inlineStr">
        <is>
          <t>캐나다 토닉워터 350PET 4X6</t>
        </is>
      </c>
      <c r="D38" s="256" t="n">
        <v>183</v>
      </c>
      <c r="E38" s="256" t="n">
        <v>182.5</v>
      </c>
      <c r="F38" s="155" t="n">
        <v>365</v>
      </c>
      <c r="G38" s="257" t="n">
        <v>182</v>
      </c>
    </row>
    <row r="39" ht="14.25" customHeight="1" s="237">
      <c r="A39" s="126" t="n">
        <v>1206</v>
      </c>
      <c r="B39" s="127" t="inlineStr">
        <is>
          <t>CA1206</t>
        </is>
      </c>
      <c r="C39" s="128" t="inlineStr">
        <is>
          <t>캐나다 진저에일 250CAN X12</t>
        </is>
      </c>
      <c r="D39" s="256" t="n">
        <v>365</v>
      </c>
      <c r="E39" s="256" t="n">
        <v>365</v>
      </c>
      <c r="F39" s="155" t="n">
        <v>730</v>
      </c>
      <c r="G39" s="257" t="n">
        <v>365</v>
      </c>
    </row>
    <row r="40" ht="14.25" customHeight="1" s="237">
      <c r="A40" s="120" t="n">
        <v>1210</v>
      </c>
      <c r="B40" s="120" t="inlineStr">
        <is>
          <t>CA1210</t>
        </is>
      </c>
      <c r="C40" s="124" t="inlineStr">
        <is>
          <t>캐 클럽소다250CAN X30</t>
        </is>
      </c>
      <c r="D40" s="256" t="n">
        <v>365</v>
      </c>
      <c r="E40" s="256" t="n">
        <v>365</v>
      </c>
      <c r="F40" s="155" t="n">
        <v>730</v>
      </c>
      <c r="G40" s="257" t="n">
        <v>365</v>
      </c>
    </row>
    <row r="41" ht="14.25" customHeight="1" s="237">
      <c r="A41" s="126" t="inlineStr">
        <is>
          <t>CC0001</t>
        </is>
      </c>
      <c r="B41" s="127" t="inlineStr">
        <is>
          <t>CC0001</t>
        </is>
      </c>
      <c r="C41" s="128" t="inlineStr">
        <is>
          <t>온)코카콜라 390PET X20</t>
        </is>
      </c>
      <c r="D41" s="256" t="n">
        <v>70</v>
      </c>
      <c r="E41" s="256" t="n">
        <v>182.5</v>
      </c>
      <c r="F41" s="155" t="n">
        <v>365</v>
      </c>
      <c r="G41" s="257" t="n">
        <v>295</v>
      </c>
    </row>
    <row r="42" ht="14.25" customHeight="1" s="237">
      <c r="A42" s="120" t="n">
        <v>62</v>
      </c>
      <c r="B42" s="120" t="inlineStr">
        <is>
          <t>CC0062</t>
        </is>
      </c>
      <c r="C42" s="124" t="inlineStr">
        <is>
          <t>코카-콜라 1.25PET X12</t>
        </is>
      </c>
      <c r="D42" s="256" t="n">
        <v>98</v>
      </c>
      <c r="E42" s="256" t="n">
        <v>182.5</v>
      </c>
      <c r="F42" s="155" t="n">
        <v>365</v>
      </c>
      <c r="G42" s="257" t="n">
        <v>267</v>
      </c>
    </row>
    <row r="43" ht="14.25" customHeight="1" s="237">
      <c r="A43" s="120" t="n">
        <v>360</v>
      </c>
      <c r="B43" s="120" t="inlineStr">
        <is>
          <t>CC0360</t>
        </is>
      </c>
      <c r="C43" s="124" t="inlineStr">
        <is>
          <t>코카-콜라 20LBIB PMX</t>
        </is>
      </c>
      <c r="D43" s="256" t="n">
        <v>75</v>
      </c>
      <c r="E43" s="256" t="n">
        <v>91.5</v>
      </c>
      <c r="F43" s="155" t="n">
        <v>183</v>
      </c>
      <c r="G43" s="257" t="n">
        <v>108</v>
      </c>
    </row>
    <row r="44" ht="14.25" customHeight="1" s="237">
      <c r="A44" s="120" t="n">
        <v>446</v>
      </c>
      <c r="B44" s="120" t="inlineStr">
        <is>
          <t>CC0446</t>
        </is>
      </c>
      <c r="C44" s="124" t="inlineStr">
        <is>
          <t>코카콜라 350CAN X24</t>
        </is>
      </c>
      <c r="D44" s="256" t="n">
        <v>365</v>
      </c>
      <c r="E44" s="256" t="n">
        <v>365</v>
      </c>
      <c r="F44" s="155" t="n">
        <v>730</v>
      </c>
      <c r="G44" s="257" t="n">
        <v>365</v>
      </c>
    </row>
    <row r="45" ht="14.25" customHeight="1" s="237">
      <c r="A45" s="120" t="n">
        <v>447</v>
      </c>
      <c r="B45" s="120" t="inlineStr">
        <is>
          <t>CC0447</t>
        </is>
      </c>
      <c r="C45" s="124" t="inlineStr">
        <is>
          <t>코카-콜라 355CAN X24</t>
        </is>
      </c>
      <c r="D45" s="256" t="n">
        <v>365</v>
      </c>
      <c r="E45" s="256" t="n">
        <v>365</v>
      </c>
      <c r="F45" s="155" t="n">
        <v>730</v>
      </c>
      <c r="G45" s="257" t="n">
        <v>365</v>
      </c>
    </row>
    <row r="46" ht="14.25" customHeight="1" s="237">
      <c r="A46" s="120" t="n">
        <v>448</v>
      </c>
      <c r="B46" s="120" t="inlineStr">
        <is>
          <t>CC0448</t>
        </is>
      </c>
      <c r="C46" s="124" t="inlineStr">
        <is>
          <t>코카콜라-치킨355C X24</t>
        </is>
      </c>
      <c r="D46" s="256" t="n">
        <v>365</v>
      </c>
      <c r="E46" s="256" t="n">
        <v>365</v>
      </c>
      <c r="F46" s="155" t="n">
        <v>730</v>
      </c>
      <c r="G46" s="257" t="n">
        <v>365</v>
      </c>
    </row>
    <row r="47" ht="14.25" customHeight="1" s="237">
      <c r="A47" s="126" t="inlineStr">
        <is>
          <t>0449</t>
        </is>
      </c>
      <c r="B47" s="127" t="inlineStr">
        <is>
          <t>CC0449</t>
        </is>
      </c>
      <c r="C47" s="128" t="inlineStr">
        <is>
          <t>코카콜라 330CAN X24</t>
        </is>
      </c>
      <c r="D47" s="256" t="n">
        <v>365</v>
      </c>
      <c r="E47" s="256" t="n">
        <v>365</v>
      </c>
      <c r="F47" s="155" t="n">
        <v>730</v>
      </c>
      <c r="G47" s="257" t="n">
        <v>365</v>
      </c>
    </row>
    <row r="48" ht="14.25" customHeight="1" s="237">
      <c r="A48" s="126" t="inlineStr">
        <is>
          <t>0451</t>
        </is>
      </c>
      <c r="B48" s="127" t="inlineStr">
        <is>
          <t>CC0451</t>
        </is>
      </c>
      <c r="C48" s="128" t="inlineStr">
        <is>
          <t>코카콜라 330CAN 4X6</t>
        </is>
      </c>
      <c r="D48" s="256" t="n">
        <v>365</v>
      </c>
      <c r="E48" s="256" t="n">
        <v>365</v>
      </c>
      <c r="F48" s="155" t="n">
        <v>730</v>
      </c>
      <c r="G48" s="257" t="n">
        <v>365</v>
      </c>
    </row>
    <row r="49" ht="14.25" customHeight="1" s="237">
      <c r="A49" s="126" t="n">
        <v>453</v>
      </c>
      <c r="B49" s="127" t="inlineStr">
        <is>
          <t>CC0453</t>
        </is>
      </c>
      <c r="C49" s="128" t="inlineStr">
        <is>
          <t>코카콜라 330CAN 4X6(4+2)</t>
        </is>
      </c>
      <c r="D49" s="256" t="n">
        <v>365</v>
      </c>
      <c r="E49" s="256" t="n">
        <v>365</v>
      </c>
      <c r="F49" s="155" t="n">
        <v>730</v>
      </c>
      <c r="G49" s="257" t="n">
        <v>365</v>
      </c>
    </row>
    <row r="50" ht="14.25" customHeight="1" s="237">
      <c r="A50" s="120" t="n">
        <v>1300</v>
      </c>
      <c r="B50" s="120" t="inlineStr">
        <is>
          <t>CC1300</t>
        </is>
      </c>
      <c r="C50" s="124" t="inlineStr">
        <is>
          <t>코카콜라SW 250CAN 5X6</t>
        </is>
      </c>
      <c r="D50" s="256" t="n">
        <v>365</v>
      </c>
      <c r="E50" s="256" t="n">
        <v>365</v>
      </c>
      <c r="F50" s="155" t="n">
        <v>730</v>
      </c>
      <c r="G50" s="257" t="n">
        <v>365</v>
      </c>
    </row>
    <row r="51" ht="14.25" customHeight="1" s="237">
      <c r="A51" s="120" t="n">
        <v>1305</v>
      </c>
      <c r="B51" s="120" t="inlineStr">
        <is>
          <t>CC1305</t>
        </is>
      </c>
      <c r="C51" s="124" t="inlineStr">
        <is>
          <t>코카-콜라 315CAN 4X6</t>
        </is>
      </c>
      <c r="D51" s="256" t="n">
        <v>365</v>
      </c>
      <c r="E51" s="256" t="n">
        <v>365</v>
      </c>
      <c r="F51" s="155" t="n">
        <v>730</v>
      </c>
      <c r="G51" s="257" t="n">
        <v>365</v>
      </c>
    </row>
    <row r="52" ht="14.25" customHeight="1" s="237">
      <c r="A52" s="120" t="n">
        <v>63</v>
      </c>
      <c r="B52" s="120" t="inlineStr">
        <is>
          <t>CC1333</t>
        </is>
      </c>
      <c r="C52" s="124" t="inlineStr">
        <is>
          <t>M&amp;P)코카-콜라1.25P X12</t>
        </is>
      </c>
      <c r="D52" s="256" t="n">
        <v>98</v>
      </c>
      <c r="E52" s="256" t="n">
        <v>182.5</v>
      </c>
      <c r="F52" s="155" t="n">
        <v>365</v>
      </c>
      <c r="G52" s="257" t="n">
        <v>267</v>
      </c>
    </row>
    <row r="53" ht="14.25" customHeight="1" s="237">
      <c r="A53" s="120" t="n">
        <v>1333</v>
      </c>
      <c r="B53" s="120" t="inlineStr">
        <is>
          <t>CC1333</t>
        </is>
      </c>
      <c r="C53" s="124" t="inlineStr">
        <is>
          <t>코카콜라HP 1.25PETX12</t>
        </is>
      </c>
      <c r="D53" s="256" t="n">
        <v>98</v>
      </c>
      <c r="E53" s="256" t="n">
        <v>182.5</v>
      </c>
      <c r="F53" s="155" t="n">
        <v>365</v>
      </c>
      <c r="G53" s="257" t="n">
        <v>267</v>
      </c>
    </row>
    <row r="54" ht="14.25" customHeight="1" s="237">
      <c r="A54" s="126" t="n">
        <v>1511</v>
      </c>
      <c r="B54" s="127" t="inlineStr">
        <is>
          <t>CC1511</t>
        </is>
      </c>
      <c r="C54" s="128" t="inlineStr">
        <is>
          <t>커피 코카콜라 250CAN X30</t>
        </is>
      </c>
      <c r="D54" s="256" t="n">
        <v>365</v>
      </c>
      <c r="E54" s="256" t="n">
        <v>365</v>
      </c>
      <c r="F54" s="155" t="n">
        <v>730</v>
      </c>
      <c r="G54" s="257" t="n">
        <v>365</v>
      </c>
    </row>
    <row r="55" ht="14.25" customHeight="1" s="237">
      <c r="A55" s="126" t="n">
        <v>1512</v>
      </c>
      <c r="B55" s="127" t="inlineStr">
        <is>
          <t>CC1512</t>
        </is>
      </c>
      <c r="C55" s="128" t="inlineStr">
        <is>
          <t>커피 코카콜라 250CAN 5X6</t>
        </is>
      </c>
      <c r="D55" s="256" t="n">
        <v>365</v>
      </c>
      <c r="E55" s="256" t="n">
        <v>365</v>
      </c>
      <c r="F55" s="155" t="n">
        <v>730</v>
      </c>
      <c r="G55" s="257" t="n">
        <v>365</v>
      </c>
    </row>
    <row r="56" ht="14.25" customHeight="1" s="237">
      <c r="A56" s="126" t="n">
        <v>1518</v>
      </c>
      <c r="B56" s="120" t="inlineStr">
        <is>
          <t>CC1518</t>
        </is>
      </c>
      <c r="C56" s="128" t="inlineStr">
        <is>
          <t>체리　코크  355CAN X24</t>
        </is>
      </c>
      <c r="D56" s="256" t="n">
        <v>365</v>
      </c>
      <c r="E56" s="256" t="n">
        <v>365</v>
      </c>
      <c r="F56" s="155" t="n">
        <v>730</v>
      </c>
      <c r="G56" s="257" t="n">
        <v>365</v>
      </c>
    </row>
    <row r="57" ht="14.25" customHeight="1" s="237">
      <c r="A57" s="126" t="n">
        <v>1521</v>
      </c>
      <c r="B57" s="120" t="inlineStr">
        <is>
          <t>CC1521</t>
        </is>
      </c>
      <c r="C57" s="128" t="inlineStr">
        <is>
          <t>체리　코크(S) 355C 4X6</t>
        </is>
      </c>
      <c r="D57" s="256" t="n">
        <v>365</v>
      </c>
      <c r="E57" s="256" t="n">
        <v>365</v>
      </c>
      <c r="F57" s="155" t="n">
        <v>730</v>
      </c>
      <c r="G57" s="257" t="n">
        <v>365</v>
      </c>
    </row>
    <row r="58" ht="14.25" customHeight="1" s="237">
      <c r="A58" s="120" t="n">
        <v>2430</v>
      </c>
      <c r="B58" s="120" t="inlineStr">
        <is>
          <t>CC2430</t>
        </is>
      </c>
      <c r="C58" s="124" t="inlineStr">
        <is>
          <t>코카콜라 185CAN X30</t>
        </is>
      </c>
      <c r="D58" s="256" t="n">
        <v>365</v>
      </c>
      <c r="E58" s="256" t="n">
        <v>365</v>
      </c>
      <c r="F58" s="155" t="n">
        <v>730</v>
      </c>
      <c r="G58" s="257" t="n">
        <v>365</v>
      </c>
    </row>
    <row r="59" ht="14.25" customHeight="1" s="237">
      <c r="A59" s="120" t="n">
        <v>2440</v>
      </c>
      <c r="B59" s="120" t="inlineStr">
        <is>
          <t>CC2440</t>
        </is>
      </c>
      <c r="C59" s="124" t="inlineStr">
        <is>
          <t>코카-콜라 185CAN 5X6</t>
        </is>
      </c>
      <c r="D59" s="256" t="n">
        <v>365</v>
      </c>
      <c r="E59" s="256" t="n">
        <v>365</v>
      </c>
      <c r="F59" s="155" t="n">
        <v>730</v>
      </c>
      <c r="G59" s="257" t="n">
        <v>365</v>
      </c>
    </row>
    <row r="60" ht="14.25" customHeight="1" s="237">
      <c r="A60" s="120" t="n">
        <v>2444</v>
      </c>
      <c r="B60" s="120" t="inlineStr">
        <is>
          <t>CC2444</t>
        </is>
      </c>
      <c r="C60" s="124" t="inlineStr">
        <is>
          <t>코카-콜라185C 5X6(4+2)</t>
        </is>
      </c>
      <c r="D60" s="256" t="n">
        <v>365</v>
      </c>
      <c r="E60" s="256" t="n">
        <v>365</v>
      </c>
      <c r="F60" s="155" t="n">
        <v>730</v>
      </c>
      <c r="G60" s="257" t="n">
        <v>365</v>
      </c>
    </row>
    <row r="61" ht="14.25" customHeight="1" s="237">
      <c r="A61" s="120" t="n">
        <v>2447</v>
      </c>
      <c r="B61" s="120" t="inlineStr">
        <is>
          <t>CC2447</t>
        </is>
      </c>
      <c r="C61" s="124" t="inlineStr">
        <is>
          <t>홈플)코카콜라 185C X30</t>
        </is>
      </c>
      <c r="D61" s="256" t="n">
        <v>365</v>
      </c>
      <c r="E61" s="256" t="n">
        <v>365</v>
      </c>
      <c r="F61" s="155" t="n">
        <v>730</v>
      </c>
      <c r="G61" s="257" t="n">
        <v>365</v>
      </c>
    </row>
    <row r="62" ht="14.25" customHeight="1" s="237">
      <c r="A62" s="126" t="n">
        <v>2450</v>
      </c>
      <c r="B62" s="127" t="inlineStr">
        <is>
          <t>CC2450</t>
        </is>
      </c>
      <c r="C62" s="128" t="inlineStr">
        <is>
          <t>코카콜라 평창성화 185CAN 5X6</t>
        </is>
      </c>
      <c r="D62" s="256" t="n">
        <v>365</v>
      </c>
      <c r="E62" s="256" t="n">
        <v>365</v>
      </c>
      <c r="F62" s="155" t="n">
        <v>730</v>
      </c>
      <c r="G62" s="257" t="n">
        <v>365</v>
      </c>
    </row>
    <row r="63" ht="14.25" customHeight="1" s="237">
      <c r="A63" s="126" t="n">
        <v>2451</v>
      </c>
      <c r="B63" s="127" t="inlineStr">
        <is>
          <t>CC2451</t>
        </is>
      </c>
      <c r="C63" s="128" t="inlineStr">
        <is>
          <t>코카콜라 증정용 185CAN X30</t>
        </is>
      </c>
      <c r="D63" s="256" t="n">
        <v>365</v>
      </c>
      <c r="E63" s="256" t="n">
        <v>365</v>
      </c>
      <c r="F63" s="155" t="n">
        <v>730</v>
      </c>
      <c r="G63" s="257" t="n">
        <v>365</v>
      </c>
    </row>
    <row r="64" ht="14.25" customHeight="1" s="237">
      <c r="A64" s="126" t="n">
        <v>2452</v>
      </c>
      <c r="B64" s="127" t="inlineStr">
        <is>
          <t>CC2452</t>
        </is>
      </c>
      <c r="C64" s="128" t="inlineStr">
        <is>
          <t>코크제로 증정용 185CAN X30</t>
        </is>
      </c>
      <c r="D64" s="256" t="n">
        <v>365</v>
      </c>
      <c r="E64" s="256" t="n">
        <v>365</v>
      </c>
      <c r="F64" s="155" t="n">
        <v>730</v>
      </c>
      <c r="G64" s="257" t="n">
        <v>365</v>
      </c>
    </row>
    <row r="65" ht="14.25" customHeight="1" s="237">
      <c r="A65" s="126" t="n">
        <v>2453</v>
      </c>
      <c r="B65" s="127" t="inlineStr">
        <is>
          <t>CC2453</t>
        </is>
      </c>
      <c r="C65" s="128" t="inlineStr">
        <is>
          <t>코크제로 185CAN 5X6</t>
        </is>
      </c>
      <c r="D65" s="256" t="n">
        <v>365</v>
      </c>
      <c r="E65" s="256" t="n">
        <v>365</v>
      </c>
      <c r="F65" s="155" t="n">
        <v>730</v>
      </c>
      <c r="G65" s="257" t="n">
        <v>365</v>
      </c>
    </row>
    <row r="66" ht="14.25" customHeight="1" s="237">
      <c r="A66" s="126" t="n">
        <v>2515</v>
      </c>
      <c r="B66" s="127" t="inlineStr">
        <is>
          <t>CC2515</t>
        </is>
      </c>
      <c r="C66" s="128" t="inlineStr">
        <is>
          <t>QSR)코카콜라(생산용) 355CAN 4X6</t>
        </is>
      </c>
      <c r="D66" s="256" t="n">
        <v>365</v>
      </c>
      <c r="E66" s="256" t="n">
        <v>365</v>
      </c>
      <c r="F66" s="155" t="n">
        <v>730</v>
      </c>
      <c r="G66" s="257" t="n">
        <v>365</v>
      </c>
    </row>
    <row r="67" ht="14.25" customHeight="1" s="237">
      <c r="A67" s="126" t="n">
        <v>2516</v>
      </c>
      <c r="B67" s="127" t="inlineStr">
        <is>
          <t>CC2516</t>
        </is>
      </c>
      <c r="C67" s="128" t="inlineStr">
        <is>
          <t>SSP)코카콜라(생산용) 355CAN 4X6</t>
        </is>
      </c>
      <c r="D67" s="256" t="n">
        <v>365</v>
      </c>
      <c r="E67" s="256" t="n">
        <v>365</v>
      </c>
      <c r="F67" s="155" t="n">
        <v>730</v>
      </c>
      <c r="G67" s="257" t="n">
        <v>365</v>
      </c>
    </row>
    <row r="68" ht="14.25" customHeight="1" s="237">
      <c r="A68" s="120" t="n">
        <v>2519</v>
      </c>
      <c r="B68" s="120" t="inlineStr">
        <is>
          <t>CC2519</t>
        </is>
      </c>
      <c r="C68" s="124" t="inlineStr">
        <is>
          <t>코카콜라 한국 355CAN X24</t>
        </is>
      </c>
      <c r="D68" s="256" t="n">
        <v>365</v>
      </c>
      <c r="E68" s="256" t="n">
        <v>365</v>
      </c>
      <c r="F68" s="155" t="n">
        <v>730</v>
      </c>
      <c r="G68" s="257" t="n">
        <v>365</v>
      </c>
    </row>
    <row r="69" ht="14.25" customHeight="1" s="237">
      <c r="A69" s="120" t="n">
        <v>1301</v>
      </c>
      <c r="B69" s="120" t="inlineStr">
        <is>
          <t>CC1301</t>
        </is>
      </c>
      <c r="C69" s="124" t="inlineStr">
        <is>
          <t>코크레드 250CAN 4X6 + 뉴진스 포토엽서</t>
        </is>
      </c>
      <c r="D69" s="256" t="n">
        <v>365</v>
      </c>
      <c r="E69" s="256" t="n">
        <v>365</v>
      </c>
      <c r="F69" s="155" t="n">
        <v>730</v>
      </c>
      <c r="G69" s="257" t="n">
        <v>365</v>
      </c>
    </row>
    <row r="70" ht="14.25" customHeight="1" s="237">
      <c r="A70" s="120" t="n">
        <v>2520</v>
      </c>
      <c r="B70" s="120" t="inlineStr">
        <is>
          <t>CC2520</t>
        </is>
      </c>
      <c r="C70" s="124" t="inlineStr">
        <is>
          <t>코카-콜라 355CAN 6X4</t>
        </is>
      </c>
      <c r="D70" s="256" t="n">
        <v>365</v>
      </c>
      <c r="E70" s="256" t="n">
        <v>365</v>
      </c>
      <c r="F70" s="155" t="n">
        <v>730</v>
      </c>
      <c r="G70" s="257" t="n">
        <v>365</v>
      </c>
    </row>
    <row r="71" ht="14.25" customHeight="1" s="237">
      <c r="A71" s="126" t="n">
        <v>2521</v>
      </c>
      <c r="B71" s="127" t="inlineStr">
        <is>
          <t>CC2521</t>
        </is>
      </c>
      <c r="C71" s="128" t="inlineStr">
        <is>
          <t>코카콜라(골드) 355CAN 6X4</t>
        </is>
      </c>
      <c r="D71" s="256" t="n">
        <v>365</v>
      </c>
      <c r="E71" s="256" t="n">
        <v>365</v>
      </c>
      <c r="F71" s="155" t="n">
        <v>730</v>
      </c>
      <c r="G71" s="257" t="n">
        <v>365</v>
      </c>
    </row>
    <row r="72" ht="14.25" customHeight="1" s="237">
      <c r="A72" s="126" t="n">
        <v>2522</v>
      </c>
      <c r="B72" s="127" t="inlineStr">
        <is>
          <t>CC2522</t>
        </is>
      </c>
      <c r="C72" s="128" t="inlineStr">
        <is>
          <t>Coca-Cola 355ML.(6X4)  박스포장</t>
        </is>
      </c>
      <c r="D72" s="256" t="n">
        <v>365</v>
      </c>
      <c r="E72" s="256" t="n">
        <v>365</v>
      </c>
      <c r="F72" s="155" t="n">
        <v>730</v>
      </c>
      <c r="G72" s="257" t="n">
        <v>365</v>
      </c>
    </row>
    <row r="73" ht="14.25" customHeight="1" s="237">
      <c r="A73" s="126" t="n">
        <v>5770</v>
      </c>
      <c r="B73" s="127" t="inlineStr">
        <is>
          <t>CC5770</t>
        </is>
      </c>
      <c r="C73" s="128" t="inlineStr">
        <is>
          <t>코크제로 레전드 355CAN 4X6</t>
        </is>
      </c>
      <c r="D73" s="256" t="n">
        <v>183</v>
      </c>
      <c r="E73" s="256" t="n">
        <v>183</v>
      </c>
      <c r="F73" s="155" t="n">
        <v>365</v>
      </c>
      <c r="G73" s="257" t="n">
        <v>182</v>
      </c>
    </row>
    <row r="74" ht="14.25" customHeight="1" s="237">
      <c r="A74" s="120" t="n">
        <v>2523</v>
      </c>
      <c r="B74" s="120" t="inlineStr">
        <is>
          <t>CC2523</t>
        </is>
      </c>
      <c r="C74" s="124" t="inlineStr">
        <is>
          <t>코카콜라EDLP355CAN 4X6</t>
        </is>
      </c>
      <c r="D74" s="256" t="n">
        <v>365</v>
      </c>
      <c r="E74" s="256" t="n">
        <v>365</v>
      </c>
      <c r="F74" s="155" t="n">
        <v>730</v>
      </c>
      <c r="G74" s="257" t="n">
        <v>365</v>
      </c>
    </row>
    <row r="75" ht="14.25" customHeight="1" s="237">
      <c r="A75" s="126" t="n">
        <v>2524</v>
      </c>
      <c r="B75" s="127" t="inlineStr">
        <is>
          <t>CC2524</t>
        </is>
      </c>
      <c r="C75" s="128" t="inlineStr">
        <is>
          <t>Coca-Cola 355ML.(6X4)  E-mart 골드</t>
        </is>
      </c>
      <c r="D75" s="256" t="n">
        <v>365</v>
      </c>
      <c r="E75" s="256" t="n">
        <v>365</v>
      </c>
      <c r="F75" s="155" t="n">
        <v>730</v>
      </c>
      <c r="G75" s="257" t="n">
        <v>365</v>
      </c>
    </row>
    <row r="76" ht="14.25" customHeight="1" s="237">
      <c r="A76" s="126" t="n">
        <v>2525</v>
      </c>
      <c r="B76" s="127" t="inlineStr">
        <is>
          <t>CC2525</t>
        </is>
      </c>
      <c r="C76" s="128" t="inlineStr">
        <is>
          <t>코카콜라 평창성화 355CAN 4X6</t>
        </is>
      </c>
      <c r="D76" s="256" t="n">
        <v>365</v>
      </c>
      <c r="E76" s="256" t="n">
        <v>365</v>
      </c>
      <c r="F76" s="155" t="n">
        <v>730</v>
      </c>
      <c r="G76" s="257" t="n">
        <v>365</v>
      </c>
    </row>
    <row r="77" ht="14.25" customHeight="1" s="237">
      <c r="A77" s="120" t="n">
        <v>2526</v>
      </c>
      <c r="B77" s="120" t="inlineStr">
        <is>
          <t>CC2526</t>
        </is>
      </c>
      <c r="C77" s="124" t="inlineStr">
        <is>
          <t>코카콜라SSP 355CAN X24</t>
        </is>
      </c>
      <c r="D77" s="256" t="n">
        <v>365</v>
      </c>
      <c r="E77" s="256" t="n">
        <v>365</v>
      </c>
      <c r="F77" s="155" t="n">
        <v>730</v>
      </c>
      <c r="G77" s="257" t="n">
        <v>365</v>
      </c>
    </row>
    <row r="78" ht="14.25" customHeight="1" s="237">
      <c r="A78" s="126" t="n">
        <v>2527</v>
      </c>
      <c r="B78" s="127" t="inlineStr">
        <is>
          <t>CC2527</t>
        </is>
      </c>
      <c r="C78" s="128" t="inlineStr">
        <is>
          <t>Coca-Cola 355ML. (SSP) 리니지</t>
        </is>
      </c>
      <c r="D78" s="256" t="n">
        <v>365</v>
      </c>
      <c r="E78" s="256" t="n">
        <v>365</v>
      </c>
      <c r="F78" s="155" t="n">
        <v>730</v>
      </c>
      <c r="G78" s="257" t="n">
        <v>365</v>
      </c>
    </row>
    <row r="79" ht="14.25" customHeight="1" s="237">
      <c r="A79" s="126" t="n">
        <v>2529</v>
      </c>
      <c r="B79" s="127" t="inlineStr">
        <is>
          <t>CC2529</t>
        </is>
      </c>
      <c r="C79" s="128" t="inlineStr">
        <is>
          <t>코카콜라(골드) 355CAN X24</t>
        </is>
      </c>
      <c r="D79" s="256" t="n">
        <v>365</v>
      </c>
      <c r="E79" s="256" t="n">
        <v>365</v>
      </c>
      <c r="F79" s="155" t="n">
        <v>730</v>
      </c>
      <c r="G79" s="257" t="n">
        <v>365</v>
      </c>
    </row>
    <row r="80" ht="14.25" customHeight="1" s="237">
      <c r="A80" s="126" t="n">
        <v>454</v>
      </c>
      <c r="B80" s="127" t="inlineStr">
        <is>
          <t>CC0454</t>
        </is>
      </c>
      <c r="C80" s="128" t="inlineStr">
        <is>
          <t>코크 제로 레몬 355CAN 4X6</t>
        </is>
      </c>
      <c r="D80" s="256" t="n">
        <v>273</v>
      </c>
      <c r="E80" s="256" t="n">
        <v>270</v>
      </c>
      <c r="F80" s="155" t="n">
        <v>548</v>
      </c>
      <c r="G80" s="257" t="n">
        <v>267</v>
      </c>
    </row>
    <row r="81" ht="14.25" customHeight="1" s="237">
      <c r="A81" s="126" t="n">
        <v>5194</v>
      </c>
      <c r="B81" s="127" t="inlineStr">
        <is>
          <t>CC5194</t>
        </is>
      </c>
      <c r="C81" s="128" t="inlineStr">
        <is>
          <t>S)코크제로 레몬 350CAN 4X6</t>
        </is>
      </c>
      <c r="D81" s="256" t="n">
        <v>273</v>
      </c>
      <c r="E81" s="256" t="n">
        <v>270</v>
      </c>
      <c r="F81" s="155" t="n">
        <v>548</v>
      </c>
      <c r="G81" s="257" t="n">
        <v>267</v>
      </c>
    </row>
    <row r="82" ht="14.25" customHeight="1" s="237">
      <c r="A82" s="126" t="n">
        <v>5774</v>
      </c>
      <c r="B82" s="127" t="inlineStr">
        <is>
          <t>CC5774</t>
        </is>
      </c>
      <c r="C82" s="128" t="inlineStr">
        <is>
          <t>코크레드 350ml CAN 2 X 12 +타투스티커</t>
        </is>
      </c>
      <c r="D82" s="256" t="n">
        <v>365</v>
      </c>
      <c r="E82" s="256" t="n">
        <v>365</v>
      </c>
      <c r="F82" s="155" t="n">
        <v>730</v>
      </c>
      <c r="G82" s="257" t="n">
        <v>365</v>
      </c>
    </row>
    <row r="83" ht="14.25" customHeight="1" s="237">
      <c r="A83" s="126" t="n">
        <v>2531</v>
      </c>
      <c r="B83" s="127" t="inlineStr">
        <is>
          <t>CC2531</t>
        </is>
      </c>
      <c r="C83" s="128" t="inlineStr">
        <is>
          <t>코카콜라 350CAN 4X6</t>
        </is>
      </c>
      <c r="D83" s="256" t="n">
        <v>365</v>
      </c>
      <c r="E83" s="256" t="n">
        <v>365</v>
      </c>
      <c r="F83" s="155" t="n">
        <v>730</v>
      </c>
      <c r="G83" s="257" t="n">
        <v>365</v>
      </c>
    </row>
    <row r="84" ht="14.25" customHeight="1" s="237">
      <c r="A84" s="126" t="n">
        <v>5186</v>
      </c>
      <c r="B84" s="127" t="inlineStr">
        <is>
          <t>CC5186</t>
        </is>
      </c>
      <c r="C84" s="128" t="inlineStr">
        <is>
          <t>코카콜라 490CAN 6X4</t>
        </is>
      </c>
      <c r="D84" s="256" t="n">
        <v>365</v>
      </c>
      <c r="E84" s="256" t="n">
        <v>365</v>
      </c>
      <c r="F84" s="155" t="n">
        <v>730</v>
      </c>
      <c r="G84" s="257" t="n">
        <v>365</v>
      </c>
    </row>
    <row r="85" ht="14.25" customHeight="1" s="237">
      <c r="A85" s="126" t="n">
        <v>5189</v>
      </c>
      <c r="B85" s="127" t="inlineStr">
        <is>
          <t>CC5189</t>
        </is>
      </c>
      <c r="C85" s="128" t="inlineStr">
        <is>
          <t>코크제로 490ml CAN 6X4</t>
        </is>
      </c>
      <c r="D85" s="256" t="n">
        <v>365</v>
      </c>
      <c r="E85" s="256" t="n">
        <v>365</v>
      </c>
      <c r="F85" s="155" t="n">
        <v>730</v>
      </c>
      <c r="G85" s="257" t="n">
        <v>365</v>
      </c>
    </row>
    <row r="86" ht="14.25" customHeight="1" s="237">
      <c r="A86" s="126" t="n">
        <v>5191</v>
      </c>
      <c r="B86" s="127" t="inlineStr">
        <is>
          <t>CC5191</t>
        </is>
      </c>
      <c r="C86" s="128" t="inlineStr">
        <is>
          <t>코카콜라 490CAN 6X4</t>
        </is>
      </c>
      <c r="D86" s="256" t="n">
        <v>365</v>
      </c>
      <c r="E86" s="256" t="n">
        <v>365</v>
      </c>
      <c r="F86" s="155" t="n">
        <v>730</v>
      </c>
      <c r="G86" s="257" t="n">
        <v>365</v>
      </c>
    </row>
    <row r="87" ht="14.25" customHeight="1" s="237">
      <c r="A87" s="126" t="n">
        <v>5192</v>
      </c>
      <c r="B87" s="127" t="inlineStr">
        <is>
          <t>CC5192</t>
        </is>
      </c>
      <c r="C87" s="128" t="inlineStr">
        <is>
          <t>코크제로 490ml CAN 6X4</t>
        </is>
      </c>
      <c r="D87" s="256" t="n">
        <v>365</v>
      </c>
      <c r="E87" s="256" t="n">
        <v>365</v>
      </c>
      <c r="F87" s="155" t="n">
        <v>365</v>
      </c>
      <c r="G87" s="257" t="n">
        <v>365</v>
      </c>
    </row>
    <row r="88" ht="14.25" customHeight="1" s="237">
      <c r="A88" s="126" t="n">
        <v>2532</v>
      </c>
      <c r="B88" s="127" t="inlineStr">
        <is>
          <t>CC2532</t>
        </is>
      </c>
      <c r="C88" s="128" t="inlineStr">
        <is>
          <t>코카콜라 350CAN 6X4</t>
        </is>
      </c>
      <c r="D88" s="256" t="n">
        <v>365</v>
      </c>
      <c r="E88" s="256" t="n">
        <v>365</v>
      </c>
      <c r="F88" s="155" t="n">
        <v>730</v>
      </c>
      <c r="G88" s="257" t="n">
        <v>365</v>
      </c>
    </row>
    <row r="89" ht="14.25" customHeight="1" s="237">
      <c r="A89" s="120" t="n">
        <v>7928</v>
      </c>
      <c r="B89" s="120" t="inlineStr">
        <is>
          <t>CC7928</t>
        </is>
      </c>
      <c r="C89" s="124" t="inlineStr">
        <is>
          <t>코카콜라 500PET 2X12 +올림픽 쿨러백</t>
        </is>
      </c>
      <c r="D89" s="256" t="n">
        <v>84</v>
      </c>
      <c r="E89" s="256" t="n">
        <v>182.5</v>
      </c>
      <c r="F89" s="155" t="n">
        <v>365</v>
      </c>
      <c r="G89" s="257" t="n">
        <v>281</v>
      </c>
    </row>
    <row r="90" ht="14.25" customHeight="1" s="237">
      <c r="A90" s="120" t="n">
        <v>2565</v>
      </c>
      <c r="B90" s="120" t="inlineStr">
        <is>
          <t>CC2565</t>
        </is>
      </c>
      <c r="C90" s="124" t="inlineStr">
        <is>
          <t>코카콜라업소용500PETX24</t>
        </is>
      </c>
      <c r="D90" s="256" t="n">
        <v>84</v>
      </c>
      <c r="E90" s="256" t="n">
        <v>182.5</v>
      </c>
      <c r="F90" s="155" t="n">
        <v>365</v>
      </c>
      <c r="G90" s="257" t="n">
        <v>281</v>
      </c>
    </row>
    <row r="91" ht="14.25" customHeight="1" s="237">
      <c r="A91" s="120" t="n">
        <v>2691</v>
      </c>
      <c r="B91" s="120" t="inlineStr">
        <is>
          <t>CC2691</t>
        </is>
      </c>
      <c r="C91" s="124" t="inlineStr">
        <is>
          <t>코카콜라SAC(A) 500P X24</t>
        </is>
      </c>
      <c r="D91" s="256" t="n">
        <v>84</v>
      </c>
      <c r="E91" s="256" t="n">
        <v>182.5</v>
      </c>
      <c r="F91" s="155" t="n">
        <v>365</v>
      </c>
      <c r="G91" s="257" t="n">
        <v>281</v>
      </c>
    </row>
    <row r="92" ht="14.25" customHeight="1" s="237">
      <c r="A92" s="120" t="n">
        <v>2692</v>
      </c>
      <c r="B92" s="120" t="inlineStr">
        <is>
          <t>CC2692</t>
        </is>
      </c>
      <c r="C92" s="124" t="inlineStr">
        <is>
          <t>코카콜라SAC(B) 500P X24</t>
        </is>
      </c>
      <c r="D92" s="256" t="n">
        <v>84</v>
      </c>
      <c r="E92" s="256" t="n">
        <v>182.5</v>
      </c>
      <c r="F92" s="155" t="n">
        <v>365</v>
      </c>
      <c r="G92" s="257" t="n">
        <v>281</v>
      </c>
    </row>
    <row r="93" ht="14.25" customHeight="1" s="237">
      <c r="A93" s="120" t="n">
        <v>2693</v>
      </c>
      <c r="B93" s="120" t="inlineStr">
        <is>
          <t>CC2693</t>
        </is>
      </c>
      <c r="C93" s="124" t="inlineStr">
        <is>
          <t>코카콜라SAC(C) 500P X24</t>
        </is>
      </c>
      <c r="D93" s="256" t="n">
        <v>84</v>
      </c>
      <c r="E93" s="256" t="n">
        <v>182.5</v>
      </c>
      <c r="F93" s="155" t="n">
        <v>365</v>
      </c>
      <c r="G93" s="257" t="n">
        <v>281</v>
      </c>
    </row>
    <row r="94" ht="14.25" customHeight="1" s="237">
      <c r="A94" s="120" t="n">
        <v>5181</v>
      </c>
      <c r="B94" s="120" t="inlineStr">
        <is>
          <t>CC5181</t>
        </is>
      </c>
      <c r="C94" s="124" t="inlineStr">
        <is>
          <t>코카콜라 무라벨 370PET X6</t>
        </is>
      </c>
      <c r="D94" s="256" t="n">
        <v>182.5</v>
      </c>
      <c r="E94" s="256" t="n">
        <v>182.5</v>
      </c>
      <c r="F94" s="155" t="n">
        <v>365</v>
      </c>
      <c r="G94" s="257" t="n">
        <v>281</v>
      </c>
    </row>
    <row r="95" ht="14.25" customHeight="1" s="237">
      <c r="A95" s="120" t="n">
        <v>5182</v>
      </c>
      <c r="B95" s="120" t="inlineStr">
        <is>
          <t>CC5182</t>
        </is>
      </c>
      <c r="C95" s="124" t="inlineStr">
        <is>
          <t>코크제로 무라벨 370PET X6</t>
        </is>
      </c>
      <c r="D95" s="256" t="n">
        <v>182.5</v>
      </c>
      <c r="E95" s="256" t="n">
        <v>182.5</v>
      </c>
      <c r="F95" s="155" t="n">
        <v>365</v>
      </c>
      <c r="G95" s="257" t="n">
        <v>281</v>
      </c>
    </row>
    <row r="96" ht="14.25" customHeight="1" s="237">
      <c r="A96" s="120" t="n">
        <v>5180</v>
      </c>
      <c r="B96" s="120" t="inlineStr">
        <is>
          <t>CC5180</t>
        </is>
      </c>
      <c r="C96" s="124" t="inlineStr">
        <is>
          <t>코크제로 무라벨 370PET X24</t>
        </is>
      </c>
      <c r="D96" s="256" t="n">
        <v>122</v>
      </c>
      <c r="E96" s="256" t="n">
        <v>136.5</v>
      </c>
      <c r="F96" s="155" t="n">
        <v>273</v>
      </c>
      <c r="G96" s="257" t="n">
        <v>151</v>
      </c>
    </row>
    <row r="97" ht="14.25" customHeight="1" s="237">
      <c r="A97" s="120" t="n">
        <v>2694</v>
      </c>
      <c r="B97" s="120" t="inlineStr">
        <is>
          <t>CC2694</t>
        </is>
      </c>
      <c r="C97" s="124" t="inlineStr">
        <is>
          <t>코카-콜라 1.0PET X12</t>
        </is>
      </c>
      <c r="D97" s="256" t="n">
        <v>98</v>
      </c>
      <c r="E97" s="256" t="n">
        <v>182.5</v>
      </c>
      <c r="F97" s="155" t="n">
        <v>365</v>
      </c>
      <c r="G97" s="257" t="n">
        <v>267</v>
      </c>
    </row>
    <row r="98" ht="14.25" customHeight="1" s="237">
      <c r="A98" s="120" t="n">
        <v>2696</v>
      </c>
      <c r="B98" s="120" t="inlineStr">
        <is>
          <t>CC2696</t>
        </is>
      </c>
      <c r="C98" s="124" t="inlineStr">
        <is>
          <t>코카-콜라 1.0PET 6X2 HP</t>
        </is>
      </c>
      <c r="D98" s="256" t="n">
        <v>98</v>
      </c>
      <c r="E98" s="256" t="n">
        <v>182.5</v>
      </c>
      <c r="F98" s="155" t="n">
        <v>365</v>
      </c>
      <c r="G98" s="257" t="n">
        <v>267</v>
      </c>
    </row>
    <row r="99" ht="14.25" customHeight="1" s="237">
      <c r="A99" s="120" t="n">
        <v>2941</v>
      </c>
      <c r="B99" s="120" t="inlineStr">
        <is>
          <t>CC2941</t>
        </is>
      </c>
      <c r="C99" s="124" t="inlineStr">
        <is>
          <t>코크라이트ERGO 500PET X24</t>
        </is>
      </c>
      <c r="D99" s="256" t="n">
        <v>84</v>
      </c>
      <c r="E99" s="256" t="n">
        <v>182.5</v>
      </c>
      <c r="F99" s="155" t="n">
        <v>365</v>
      </c>
      <c r="G99" s="257" t="n">
        <v>281</v>
      </c>
    </row>
    <row r="100" ht="14.25" customHeight="1" s="237">
      <c r="A100" s="120" t="n">
        <v>3392</v>
      </c>
      <c r="B100" s="120" t="inlineStr">
        <is>
          <t>CC3392</t>
        </is>
      </c>
      <c r="C100" s="124" t="inlineStr">
        <is>
          <t>체리 코크 250CAN X30</t>
        </is>
      </c>
      <c r="D100" s="256" t="n">
        <v>365</v>
      </c>
      <c r="E100" s="256" t="n">
        <v>365</v>
      </c>
      <c r="F100" s="155" t="n">
        <v>730</v>
      </c>
      <c r="G100" s="257" t="n">
        <v>365</v>
      </c>
    </row>
    <row r="101" ht="14.25" customHeight="1" s="237">
      <c r="A101" s="120" t="n">
        <v>3393</v>
      </c>
      <c r="B101" s="120" t="inlineStr">
        <is>
          <t>CC3393</t>
        </is>
      </c>
      <c r="C101" s="124" t="inlineStr">
        <is>
          <t>체리 코크 250CAN 5X6</t>
        </is>
      </c>
      <c r="D101" s="256" t="n">
        <v>365</v>
      </c>
      <c r="E101" s="256" t="n">
        <v>365</v>
      </c>
      <c r="F101" s="155" t="n">
        <v>730</v>
      </c>
      <c r="G101" s="257" t="n">
        <v>365</v>
      </c>
    </row>
    <row r="102" ht="14.25" customHeight="1" s="237">
      <c r="A102" s="120" t="n">
        <v>3394</v>
      </c>
      <c r="B102" s="120" t="inlineStr">
        <is>
          <t>CC3394</t>
        </is>
      </c>
      <c r="C102" s="124" t="inlineStr">
        <is>
          <t>코카콜라 레몬 250CAN X30</t>
        </is>
      </c>
      <c r="D102" s="256" t="n">
        <v>365</v>
      </c>
      <c r="E102" s="256" t="n">
        <v>365</v>
      </c>
      <c r="F102" s="155" t="n">
        <v>730</v>
      </c>
      <c r="G102" s="257" t="n">
        <v>365</v>
      </c>
    </row>
    <row r="103" ht="14.25" customHeight="1" s="237">
      <c r="A103" s="120" t="n">
        <v>3395</v>
      </c>
      <c r="B103" s="120" t="inlineStr">
        <is>
          <t>CC3395</t>
        </is>
      </c>
      <c r="C103" s="124" t="inlineStr">
        <is>
          <t>코카콜라 레몬 500PET X24</t>
        </is>
      </c>
      <c r="D103" s="256" t="n">
        <v>84</v>
      </c>
      <c r="E103" s="256" t="n">
        <v>182.5</v>
      </c>
      <c r="F103" s="155" t="n">
        <v>365</v>
      </c>
      <c r="G103" s="257" t="n">
        <v>281</v>
      </c>
    </row>
    <row r="104" ht="14.25" customHeight="1" s="237">
      <c r="A104" s="120" t="n">
        <v>3396</v>
      </c>
      <c r="B104" s="120" t="inlineStr">
        <is>
          <t>CC3396</t>
        </is>
      </c>
      <c r="C104" s="124" t="inlineStr">
        <is>
          <t>코카콜라 레몬 250CAN 5X6 M</t>
        </is>
      </c>
      <c r="D104" s="256" t="n">
        <v>365</v>
      </c>
      <c r="E104" s="256" t="n">
        <v>365</v>
      </c>
      <c r="F104" s="155" t="n">
        <v>730</v>
      </c>
      <c r="G104" s="257" t="n">
        <v>365</v>
      </c>
    </row>
    <row r="105" ht="14.25" customHeight="1" s="237">
      <c r="A105" s="126" t="n">
        <v>3397</v>
      </c>
      <c r="B105" s="127" t="inlineStr">
        <is>
          <t>cc3397</t>
        </is>
      </c>
      <c r="C105" s="128" t="inlineStr">
        <is>
          <t>코카콜라 레몬 1.8PET X12</t>
        </is>
      </c>
      <c r="D105" s="256" t="n">
        <v>98</v>
      </c>
      <c r="E105" s="256" t="n">
        <v>182.5</v>
      </c>
      <c r="F105" s="155" t="n">
        <v>365</v>
      </c>
      <c r="G105" s="257" t="n">
        <v>267</v>
      </c>
    </row>
    <row r="106" ht="14.25" customHeight="1" s="237">
      <c r="A106" s="126" t="n">
        <v>3621</v>
      </c>
      <c r="B106" s="127" t="inlineStr">
        <is>
          <t>CC3621</t>
        </is>
      </c>
      <c r="C106" s="128" t="inlineStr">
        <is>
          <t>코카콜라190ml 이마트용-G박스</t>
        </is>
      </c>
      <c r="D106" s="256" t="n">
        <v>365</v>
      </c>
      <c r="E106" s="256" t="n">
        <v>365</v>
      </c>
      <c r="F106" s="155" t="n">
        <v>730</v>
      </c>
      <c r="G106" s="257" t="n">
        <v>365</v>
      </c>
    </row>
    <row r="107" ht="14.25" customHeight="1" s="237">
      <c r="A107" s="120" t="n">
        <v>3622</v>
      </c>
      <c r="B107" s="120" t="inlineStr">
        <is>
          <t>CC3622</t>
        </is>
      </c>
      <c r="C107" s="124" t="inlineStr">
        <is>
          <t>코카콜라기념190RGB 6X4</t>
        </is>
      </c>
      <c r="D107" s="256" t="n">
        <v>365</v>
      </c>
      <c r="E107" s="256" t="n">
        <v>365</v>
      </c>
      <c r="F107" s="155" t="n">
        <v>730</v>
      </c>
      <c r="G107" s="257" t="n">
        <v>365</v>
      </c>
    </row>
    <row r="108" ht="14.25" customHeight="1" s="237">
      <c r="A108" s="120" t="n">
        <v>4040</v>
      </c>
      <c r="B108" s="120" t="inlineStr">
        <is>
          <t>CC4040</t>
        </is>
      </c>
      <c r="C108" s="124" t="inlineStr">
        <is>
          <t>코카-콜라 1.25PET 4X3</t>
        </is>
      </c>
      <c r="D108" s="256" t="n">
        <v>98</v>
      </c>
      <c r="E108" s="256" t="n">
        <v>182.5</v>
      </c>
      <c r="F108" s="155" t="n">
        <v>365</v>
      </c>
      <c r="G108" s="257" t="n">
        <v>267</v>
      </c>
    </row>
    <row r="109" ht="14.25" customHeight="1" s="237">
      <c r="A109" s="120" t="n">
        <v>4178</v>
      </c>
      <c r="B109" s="120" t="inlineStr">
        <is>
          <t>CC4178</t>
        </is>
      </c>
      <c r="C109" s="124" t="inlineStr">
        <is>
          <t>코크 스터비245CAN 3X8</t>
        </is>
      </c>
      <c r="D109" s="256" t="n">
        <v>365</v>
      </c>
      <c r="E109" s="256" t="n">
        <v>365</v>
      </c>
      <c r="F109" s="155" t="n">
        <v>730</v>
      </c>
      <c r="G109" s="257" t="n">
        <v>365</v>
      </c>
    </row>
    <row r="110" ht="14.25" customHeight="1" s="237">
      <c r="A110" s="120" t="n">
        <v>4430</v>
      </c>
      <c r="B110" s="120" t="inlineStr">
        <is>
          <t>CC4430</t>
        </is>
      </c>
      <c r="C110" s="124" t="inlineStr">
        <is>
          <t>코크 제로ERGO 500PET X24</t>
        </is>
      </c>
      <c r="D110" s="256" t="n">
        <v>84</v>
      </c>
      <c r="E110" s="256" t="n">
        <v>182.5</v>
      </c>
      <c r="F110" s="155" t="n">
        <v>365</v>
      </c>
      <c r="G110" s="257" t="n">
        <v>281</v>
      </c>
    </row>
    <row r="111" ht="14.25" customHeight="1" s="237">
      <c r="A111" s="120" t="n">
        <v>455</v>
      </c>
      <c r="B111" s="120" t="inlineStr">
        <is>
          <t>CC0455</t>
        </is>
      </c>
      <c r="C111" s="124" t="inlineStr">
        <is>
          <t>코크제로 레몬 500PET 4X6</t>
        </is>
      </c>
      <c r="D111" s="256" t="n">
        <v>84</v>
      </c>
      <c r="E111" s="256" t="n">
        <v>182.5</v>
      </c>
      <c r="F111" s="155" t="n">
        <v>365</v>
      </c>
      <c r="G111" s="257" t="n">
        <v>281</v>
      </c>
    </row>
    <row r="112" ht="14.25" customHeight="1" s="237">
      <c r="A112" s="120" t="n">
        <v>5782</v>
      </c>
      <c r="B112" s="120" t="inlineStr">
        <is>
          <t>CC5782</t>
        </is>
      </c>
      <c r="C112" s="124" t="inlineStr">
        <is>
          <t>코크제로 체리 500PET 4X6</t>
        </is>
      </c>
      <c r="D112" s="256" t="n">
        <v>84</v>
      </c>
      <c r="E112" s="256" t="n">
        <v>182.5</v>
      </c>
      <c r="F112" s="155" t="n">
        <v>365</v>
      </c>
      <c r="G112" s="257" t="n">
        <v>281</v>
      </c>
    </row>
    <row r="113" ht="14.25" customHeight="1" s="237">
      <c r="A113" s="120" t="n">
        <v>4434</v>
      </c>
      <c r="B113" s="120" t="inlineStr">
        <is>
          <t>CC4434</t>
        </is>
      </c>
      <c r="C113" s="124" t="inlineStr">
        <is>
          <t>C-C코크제로500P X12</t>
        </is>
      </c>
      <c r="D113" s="256" t="n">
        <v>84</v>
      </c>
      <c r="E113" s="256" t="n">
        <v>182.5</v>
      </c>
      <c r="F113" s="155" t="n">
        <v>365</v>
      </c>
      <c r="G113" s="257" t="n">
        <v>281</v>
      </c>
    </row>
    <row r="114" ht="14.25" customHeight="1" s="237">
      <c r="A114" s="120" t="n">
        <v>4550</v>
      </c>
      <c r="B114" s="120" t="inlineStr">
        <is>
          <t>CC4550</t>
        </is>
      </c>
      <c r="C114" s="124" t="inlineStr">
        <is>
          <t>코크 라이트1.5PET X12</t>
        </is>
      </c>
      <c r="D114" s="256" t="n">
        <v>98</v>
      </c>
      <c r="E114" s="256" t="n">
        <v>182.5</v>
      </c>
      <c r="F114" s="155" t="n">
        <v>365</v>
      </c>
      <c r="G114" s="257" t="n">
        <v>267</v>
      </c>
    </row>
    <row r="115" ht="14.25" customHeight="1" s="237">
      <c r="A115" s="126" t="n">
        <v>4605</v>
      </c>
      <c r="B115" s="127" t="inlineStr">
        <is>
          <t>CC4605</t>
        </is>
      </c>
      <c r="C115" s="128" t="inlineStr">
        <is>
          <t>코카콜라 홍콩수출 210CAN 5X6</t>
        </is>
      </c>
      <c r="D115" s="256" t="n">
        <v>365</v>
      </c>
      <c r="E115" s="256" t="n">
        <v>365</v>
      </c>
      <c r="F115" s="155" t="n">
        <v>730</v>
      </c>
      <c r="G115" s="257" t="n">
        <v>365</v>
      </c>
    </row>
    <row r="116" ht="14.25" customHeight="1" s="237">
      <c r="A116" s="120" t="n">
        <v>4622</v>
      </c>
      <c r="B116" s="120" t="inlineStr">
        <is>
          <t>CC4622</t>
        </is>
      </c>
      <c r="C116" s="124" t="inlineStr">
        <is>
          <t>코카-콜라 190RGB X24</t>
        </is>
      </c>
      <c r="D116" s="256" t="n">
        <v>365</v>
      </c>
      <c r="E116" s="256" t="n">
        <v>365</v>
      </c>
      <c r="F116" s="155" t="n">
        <v>730</v>
      </c>
      <c r="G116" s="257" t="n">
        <v>365</v>
      </c>
    </row>
    <row r="117" ht="14.25" customHeight="1" s="237">
      <c r="A117" s="126" t="n">
        <v>4623</v>
      </c>
      <c r="B117" s="127" t="inlineStr">
        <is>
          <t>CC4623</t>
        </is>
      </c>
      <c r="C117" s="128" t="inlineStr">
        <is>
          <t>보100)코카콜라 190RGB X24</t>
        </is>
      </c>
      <c r="D117" s="256" t="n">
        <v>365</v>
      </c>
      <c r="E117" s="256" t="n">
        <v>365</v>
      </c>
      <c r="F117" s="155" t="n">
        <v>730</v>
      </c>
      <c r="G117" s="257" t="n">
        <v>365</v>
      </c>
    </row>
    <row r="118" ht="14.25" customHeight="1" s="237">
      <c r="A118" s="126" t="inlineStr">
        <is>
          <t>CC4634</t>
        </is>
      </c>
      <c r="B118" s="126" t="inlineStr">
        <is>
          <t>CC4634</t>
        </is>
      </c>
      <c r="C118" s="128" t="inlineStr">
        <is>
          <t>코카콜라(B) 265NRB X24</t>
        </is>
      </c>
      <c r="D118" s="256" t="n">
        <v>365</v>
      </c>
      <c r="E118" s="256" t="n">
        <v>365</v>
      </c>
      <c r="F118" s="155" t="n">
        <v>730</v>
      </c>
      <c r="G118" s="257" t="n">
        <v>365</v>
      </c>
    </row>
    <row r="119" ht="14.25" customHeight="1" s="237">
      <c r="A119" s="126" t="inlineStr">
        <is>
          <t>CC4635</t>
        </is>
      </c>
      <c r="B119" s="126" t="inlineStr">
        <is>
          <t>CC4635</t>
        </is>
      </c>
      <c r="C119" s="128" t="inlineStr">
        <is>
          <t>코카콜라(A) 265NRB X24</t>
        </is>
      </c>
      <c r="D119" s="256" t="n">
        <v>365</v>
      </c>
      <c r="E119" s="256" t="n">
        <v>365</v>
      </c>
      <c r="F119" s="155" t="n">
        <v>730</v>
      </c>
      <c r="G119" s="257" t="n">
        <v>365</v>
      </c>
    </row>
    <row r="120" ht="14.25" customHeight="1" s="237">
      <c r="A120" s="126" t="n">
        <v>4636</v>
      </c>
      <c r="B120" s="127" t="inlineStr">
        <is>
          <t>CC4636</t>
        </is>
      </c>
      <c r="C120" s="128" t="inlineStr">
        <is>
          <t>코카콜라 폴라베어 250NRB X24</t>
        </is>
      </c>
      <c r="D120" s="256" t="n">
        <v>365</v>
      </c>
      <c r="E120" s="256" t="n">
        <v>365</v>
      </c>
      <c r="F120" s="155" t="n">
        <v>730</v>
      </c>
      <c r="G120" s="257" t="n">
        <v>365</v>
      </c>
    </row>
    <row r="121" ht="14.25" customHeight="1" s="237">
      <c r="A121" s="126" t="n">
        <v>4643</v>
      </c>
      <c r="B121" s="127" t="inlineStr">
        <is>
          <t>CC4643</t>
        </is>
      </c>
      <c r="C121" s="128" t="inlineStr">
        <is>
          <t>코카콜라　산타250NRB X24</t>
        </is>
      </c>
      <c r="D121" s="256" t="n">
        <v>365</v>
      </c>
      <c r="E121" s="256" t="n">
        <v>365</v>
      </c>
      <c r="F121" s="155" t="n">
        <v>730</v>
      </c>
      <c r="G121" s="257" t="n">
        <v>365</v>
      </c>
    </row>
    <row r="122" ht="14.25" customHeight="1" s="237">
      <c r="A122" s="120" t="n">
        <v>4660</v>
      </c>
      <c r="B122" s="120" t="inlineStr">
        <is>
          <t>CC4660</t>
        </is>
      </c>
      <c r="C122" s="124" t="inlineStr">
        <is>
          <t>코크폴라베어250CAN 5X6</t>
        </is>
      </c>
      <c r="D122" s="256" t="n">
        <v>365</v>
      </c>
      <c r="E122" s="256" t="n">
        <v>365</v>
      </c>
      <c r="F122" s="155" t="n">
        <v>730</v>
      </c>
      <c r="G122" s="257" t="n">
        <v>365</v>
      </c>
    </row>
    <row r="123" ht="14.25" customHeight="1" s="237">
      <c r="A123" s="120" t="n">
        <v>4663</v>
      </c>
      <c r="B123" s="120" t="inlineStr">
        <is>
          <t>CC4663</t>
        </is>
      </c>
      <c r="C123" s="124" t="inlineStr">
        <is>
          <t>코크폴라베어250BTC X24</t>
        </is>
      </c>
      <c r="D123" s="256" t="n">
        <v>365</v>
      </c>
      <c r="E123" s="256" t="n">
        <v>365</v>
      </c>
      <c r="F123" s="155" t="n">
        <v>730</v>
      </c>
      <c r="G123" s="257" t="n">
        <v>365</v>
      </c>
    </row>
    <row r="124" ht="14.25" customHeight="1" s="237">
      <c r="A124" s="120" t="n">
        <v>4665</v>
      </c>
      <c r="B124" s="120" t="inlineStr">
        <is>
          <t>CC4665</t>
        </is>
      </c>
      <c r="C124" s="124" t="inlineStr">
        <is>
          <t>코카콜라한국250NRB X24</t>
        </is>
      </c>
      <c r="D124" s="256" t="n">
        <v>365</v>
      </c>
      <c r="E124" s="256" t="n">
        <v>365</v>
      </c>
      <c r="F124" s="155" t="n">
        <v>730</v>
      </c>
      <c r="G124" s="257" t="n">
        <v>365</v>
      </c>
    </row>
    <row r="125" ht="14.25" customHeight="1" s="237">
      <c r="A125" s="120" t="n">
        <v>4666</v>
      </c>
      <c r="B125" s="120" t="inlineStr">
        <is>
          <t>CC4666</t>
        </is>
      </c>
      <c r="C125" s="124" t="inlineStr">
        <is>
          <t>코카콜라브라질250NRB X24</t>
        </is>
      </c>
      <c r="D125" s="256" t="n">
        <v>365</v>
      </c>
      <c r="E125" s="256" t="n">
        <v>365</v>
      </c>
      <c r="F125" s="155" t="n">
        <v>730</v>
      </c>
      <c r="G125" s="257" t="n">
        <v>365</v>
      </c>
    </row>
    <row r="126" ht="14.25" customHeight="1" s="237">
      <c r="A126" s="120" t="n">
        <v>4667</v>
      </c>
      <c r="B126" s="120" t="inlineStr">
        <is>
          <t>CC4667</t>
        </is>
      </c>
      <c r="C126" s="124" t="inlineStr">
        <is>
          <t>코카콜라프랑스250NRB X24</t>
        </is>
      </c>
      <c r="D126" s="256" t="n">
        <v>365</v>
      </c>
      <c r="E126" s="256" t="n">
        <v>365</v>
      </c>
      <c r="F126" s="155" t="n">
        <v>730</v>
      </c>
      <c r="G126" s="257" t="n">
        <v>365</v>
      </c>
    </row>
    <row r="127" ht="14.25" customHeight="1" s="237">
      <c r="A127" s="120" t="n">
        <v>4668</v>
      </c>
      <c r="B127" s="120" t="inlineStr">
        <is>
          <t>CC4668</t>
        </is>
      </c>
      <c r="C127" s="124" t="inlineStr">
        <is>
          <t>코카콜라독일250NRB X24</t>
        </is>
      </c>
      <c r="D127" s="256" t="n">
        <v>365</v>
      </c>
      <c r="E127" s="256" t="n">
        <v>365</v>
      </c>
      <c r="F127" s="155" t="n">
        <v>730</v>
      </c>
      <c r="G127" s="257" t="n">
        <v>365</v>
      </c>
    </row>
    <row r="128" ht="14.25" customHeight="1" s="237">
      <c r="A128" s="120" t="n">
        <v>4669</v>
      </c>
      <c r="B128" s="120" t="inlineStr">
        <is>
          <t>CC4669</t>
        </is>
      </c>
      <c r="C128" s="124" t="inlineStr">
        <is>
          <t>코카콜라잉글랜250NRB X24</t>
        </is>
      </c>
      <c r="D128" s="256" t="n">
        <v>365</v>
      </c>
      <c r="E128" s="256" t="n">
        <v>365</v>
      </c>
      <c r="F128" s="155" t="n">
        <v>730</v>
      </c>
      <c r="G128" s="257" t="n">
        <v>365</v>
      </c>
    </row>
    <row r="129" ht="14.25" customHeight="1" s="237">
      <c r="A129" s="120" t="n">
        <v>4670</v>
      </c>
      <c r="B129" s="120" t="inlineStr">
        <is>
          <t>CC4670</t>
        </is>
      </c>
      <c r="C129" s="124" t="inlineStr">
        <is>
          <t>코카콜라스페인250NRB X24</t>
        </is>
      </c>
      <c r="D129" s="256" t="n">
        <v>365</v>
      </c>
      <c r="E129" s="256" t="n">
        <v>365</v>
      </c>
      <c r="F129" s="155" t="n">
        <v>730</v>
      </c>
      <c r="G129" s="257" t="n">
        <v>365</v>
      </c>
    </row>
    <row r="130" ht="14.25" customHeight="1" s="237">
      <c r="A130" s="120" t="n">
        <v>4671</v>
      </c>
      <c r="B130" s="120" t="inlineStr">
        <is>
          <t>CC4671</t>
        </is>
      </c>
      <c r="C130" s="124" t="inlineStr">
        <is>
          <t>코카콜라월드컵250NRB 4X6</t>
        </is>
      </c>
      <c r="D130" s="256" t="n">
        <v>365</v>
      </c>
      <c r="E130" s="256" t="n">
        <v>365</v>
      </c>
      <c r="F130" s="155" t="n">
        <v>730</v>
      </c>
      <c r="G130" s="257" t="n">
        <v>365</v>
      </c>
    </row>
    <row r="131" ht="14.25" customHeight="1" s="237">
      <c r="A131" s="126" t="n">
        <v>4681</v>
      </c>
      <c r="B131" s="120" t="inlineStr">
        <is>
          <t>CC4681</t>
        </is>
      </c>
      <c r="C131" s="128" t="inlineStr">
        <is>
          <t>코카콜라1920 250NRB X24</t>
        </is>
      </c>
      <c r="D131" s="256" t="n">
        <v>365</v>
      </c>
      <c r="E131" s="256" t="n">
        <v>365</v>
      </c>
      <c r="F131" s="155" t="n">
        <v>730</v>
      </c>
      <c r="G131" s="257" t="n">
        <v>365</v>
      </c>
    </row>
    <row r="132" ht="14.25" customHeight="1" s="237">
      <c r="A132" s="126" t="n">
        <v>4682</v>
      </c>
      <c r="B132" s="120" t="inlineStr">
        <is>
          <t>CC4682</t>
        </is>
      </c>
      <c r="C132" s="128" t="inlineStr">
        <is>
          <t>코카콜라1930 250NRB X24</t>
        </is>
      </c>
      <c r="D132" s="256" t="n">
        <v>365</v>
      </c>
      <c r="E132" s="256" t="n">
        <v>365</v>
      </c>
      <c r="F132" s="155" t="n">
        <v>730</v>
      </c>
      <c r="G132" s="257" t="n">
        <v>365</v>
      </c>
    </row>
    <row r="133" ht="14.25" customHeight="1" s="237">
      <c r="A133" s="126" t="n">
        <v>4683</v>
      </c>
      <c r="B133" s="120" t="inlineStr">
        <is>
          <t>CC4683</t>
        </is>
      </c>
      <c r="C133" s="128" t="inlineStr">
        <is>
          <t>코카콜라1940 250NRB X24</t>
        </is>
      </c>
      <c r="D133" s="256" t="n">
        <v>365</v>
      </c>
      <c r="E133" s="256" t="n">
        <v>365</v>
      </c>
      <c r="F133" s="155" t="n">
        <v>730</v>
      </c>
      <c r="G133" s="257" t="n">
        <v>365</v>
      </c>
    </row>
    <row r="134" ht="14.25" customHeight="1" s="237">
      <c r="A134" s="126" t="n">
        <v>4684</v>
      </c>
      <c r="B134" s="120" t="inlineStr">
        <is>
          <t>CC4684</t>
        </is>
      </c>
      <c r="C134" s="128" t="inlineStr">
        <is>
          <t>코카콜라1950 250NRB X24</t>
        </is>
      </c>
      <c r="D134" s="256" t="n">
        <v>365</v>
      </c>
      <c r="E134" s="256" t="n">
        <v>365</v>
      </c>
      <c r="F134" s="155" t="n">
        <v>730</v>
      </c>
      <c r="G134" s="257" t="n">
        <v>365</v>
      </c>
    </row>
    <row r="135" ht="14.25" customHeight="1" s="237">
      <c r="A135" s="126" t="n">
        <v>4685</v>
      </c>
      <c r="B135" s="120" t="inlineStr">
        <is>
          <t>CC4685</t>
        </is>
      </c>
      <c r="C135" s="128" t="inlineStr">
        <is>
          <t>코카콜라1960 250NRB X24</t>
        </is>
      </c>
      <c r="D135" s="256" t="n">
        <v>365</v>
      </c>
      <c r="E135" s="256" t="n">
        <v>365</v>
      </c>
      <c r="F135" s="155" t="n">
        <v>730</v>
      </c>
      <c r="G135" s="257" t="n">
        <v>365</v>
      </c>
    </row>
    <row r="136" ht="14.25" customHeight="1" s="237">
      <c r="A136" s="126" t="n">
        <v>4686</v>
      </c>
      <c r="B136" s="120" t="inlineStr">
        <is>
          <t>CC4686</t>
        </is>
      </c>
      <c r="C136" s="128" t="inlineStr">
        <is>
          <t>코카콜라1970 250NRB X24</t>
        </is>
      </c>
      <c r="D136" s="256" t="n">
        <v>365</v>
      </c>
      <c r="E136" s="256" t="n">
        <v>365</v>
      </c>
      <c r="F136" s="155" t="n">
        <v>730</v>
      </c>
      <c r="G136" s="257" t="n">
        <v>365</v>
      </c>
    </row>
    <row r="137" ht="14.25" customHeight="1" s="237">
      <c r="A137" s="126" t="n">
        <v>4687</v>
      </c>
      <c r="B137" s="120" t="inlineStr">
        <is>
          <t>CC4687</t>
        </is>
      </c>
      <c r="C137" s="128" t="inlineStr">
        <is>
          <t>코카콜라1980 250NRB X24</t>
        </is>
      </c>
      <c r="D137" s="256" t="n">
        <v>365</v>
      </c>
      <c r="E137" s="256" t="n">
        <v>365</v>
      </c>
      <c r="F137" s="155" t="n">
        <v>730</v>
      </c>
      <c r="G137" s="257" t="n">
        <v>365</v>
      </c>
    </row>
    <row r="138" ht="14.25" customHeight="1" s="237">
      <c r="A138" s="126" t="n">
        <v>4688</v>
      </c>
      <c r="B138" s="120" t="inlineStr">
        <is>
          <t>CC4688</t>
        </is>
      </c>
      <c r="C138" s="128" t="inlineStr">
        <is>
          <t>코카콜라1990 250NRB X24</t>
        </is>
      </c>
      <c r="D138" s="256" t="n">
        <v>365</v>
      </c>
      <c r="E138" s="256" t="n">
        <v>365</v>
      </c>
      <c r="F138" s="155" t="n">
        <v>730</v>
      </c>
      <c r="G138" s="257" t="n">
        <v>365</v>
      </c>
    </row>
    <row r="139" ht="14.25" customHeight="1" s="237">
      <c r="A139" s="126" t="n">
        <v>4689</v>
      </c>
      <c r="B139" s="120" t="inlineStr">
        <is>
          <t>CC4689</t>
        </is>
      </c>
      <c r="C139" s="128" t="inlineStr">
        <is>
          <t>코카콜라2000 250NRB X24</t>
        </is>
      </c>
      <c r="D139" s="256" t="n">
        <v>365</v>
      </c>
      <c r="E139" s="256" t="n">
        <v>365</v>
      </c>
      <c r="F139" s="155" t="n">
        <v>730</v>
      </c>
      <c r="G139" s="257" t="n">
        <v>365</v>
      </c>
    </row>
    <row r="140" ht="14.25" customHeight="1" s="237">
      <c r="A140" s="126" t="n">
        <v>4690</v>
      </c>
      <c r="B140" s="120" t="inlineStr">
        <is>
          <t>CC4690</t>
        </is>
      </c>
      <c r="C140" s="128" t="inlineStr">
        <is>
          <t>코카콜라2010 250NRB X24</t>
        </is>
      </c>
      <c r="D140" s="256" t="n">
        <v>365</v>
      </c>
      <c r="E140" s="256" t="n">
        <v>365</v>
      </c>
      <c r="F140" s="155" t="n">
        <v>730</v>
      </c>
      <c r="G140" s="257" t="n">
        <v>365</v>
      </c>
    </row>
    <row r="141" ht="14.25" customHeight="1" s="237">
      <c r="A141" s="126" t="n">
        <v>4691</v>
      </c>
      <c r="B141" s="120" t="inlineStr">
        <is>
          <t>CC4691</t>
        </is>
      </c>
      <c r="C141" s="128" t="inlineStr">
        <is>
          <t>코카콜라기념250NRB 4X5</t>
        </is>
      </c>
      <c r="D141" s="256" t="n">
        <v>365</v>
      </c>
      <c r="E141" s="256" t="n">
        <v>365</v>
      </c>
      <c r="F141" s="155" t="n">
        <v>730</v>
      </c>
      <c r="G141" s="257" t="n">
        <v>365</v>
      </c>
    </row>
    <row r="142" ht="14.25" customHeight="1" s="237">
      <c r="A142" s="126" t="n">
        <v>4692</v>
      </c>
      <c r="B142" s="120" t="inlineStr">
        <is>
          <t>CC4692</t>
        </is>
      </c>
      <c r="C142" s="128" t="inlineStr">
        <is>
          <t>코카콜라기념250NRB X20</t>
        </is>
      </c>
      <c r="D142" s="256" t="n">
        <v>365</v>
      </c>
      <c r="E142" s="256" t="n">
        <v>365</v>
      </c>
      <c r="F142" s="155" t="n">
        <v>730</v>
      </c>
      <c r="G142" s="257" t="n">
        <v>365</v>
      </c>
    </row>
    <row r="143" ht="14.25" customHeight="1" s="237">
      <c r="A143" s="126" t="n">
        <v>4693</v>
      </c>
      <c r="B143" s="120" t="inlineStr">
        <is>
          <t>CC4693</t>
        </is>
      </c>
      <c r="C143" s="128" t="inlineStr">
        <is>
          <t>코카콜라1920-40 250N X24</t>
        </is>
      </c>
      <c r="D143" s="256" t="n">
        <v>365</v>
      </c>
      <c r="E143" s="256" t="n">
        <v>365</v>
      </c>
      <c r="F143" s="155" t="n">
        <v>730</v>
      </c>
      <c r="G143" s="257" t="n">
        <v>365</v>
      </c>
    </row>
    <row r="144" ht="14.25" customHeight="1" s="237">
      <c r="A144" s="126" t="n">
        <v>4694</v>
      </c>
      <c r="B144" s="120" t="inlineStr">
        <is>
          <t>CC4694</t>
        </is>
      </c>
      <c r="C144" s="128" t="inlineStr">
        <is>
          <t>코카콜라1950-70 250N X24</t>
        </is>
      </c>
      <c r="D144" s="256" t="n">
        <v>365</v>
      </c>
      <c r="E144" s="256" t="n">
        <v>365</v>
      </c>
      <c r="F144" s="155" t="n">
        <v>730</v>
      </c>
      <c r="G144" s="257" t="n">
        <v>365</v>
      </c>
    </row>
    <row r="145" ht="14.25" customHeight="1" s="237">
      <c r="A145" s="126" t="n">
        <v>4695</v>
      </c>
      <c r="B145" s="120" t="inlineStr">
        <is>
          <t>CC4695</t>
        </is>
      </c>
      <c r="C145" s="128" t="inlineStr">
        <is>
          <t>코카콜라1980-00 250N X24</t>
        </is>
      </c>
      <c r="D145" s="256" t="n">
        <v>365</v>
      </c>
      <c r="E145" s="256" t="n">
        <v>365</v>
      </c>
      <c r="F145" s="155" t="n">
        <v>730</v>
      </c>
      <c r="G145" s="257" t="n">
        <v>365</v>
      </c>
    </row>
    <row r="146" ht="14.25" customHeight="1" s="237">
      <c r="A146" s="120" t="n">
        <v>4705</v>
      </c>
      <c r="B146" s="120" t="inlineStr">
        <is>
          <t>CC4705</t>
        </is>
      </c>
      <c r="C146" s="124" t="inlineStr">
        <is>
          <t>코크스터비QSR 245C X24</t>
        </is>
      </c>
      <c r="D146" s="256" t="n">
        <v>365</v>
      </c>
      <c r="E146" s="256" t="n">
        <v>365</v>
      </c>
      <c r="F146" s="155" t="n">
        <v>730</v>
      </c>
      <c r="G146" s="257" t="n">
        <v>365</v>
      </c>
    </row>
    <row r="147" ht="14.25" customHeight="1" s="237">
      <c r="A147" s="120" t="n">
        <v>4712</v>
      </c>
      <c r="B147" s="120" t="inlineStr">
        <is>
          <t>CC4712</t>
        </is>
      </c>
      <c r="C147" s="124" t="inlineStr">
        <is>
          <t>L-M)코카콜라245CAN X24</t>
        </is>
      </c>
      <c r="D147" s="256" t="n">
        <v>365</v>
      </c>
      <c r="E147" s="256" t="n">
        <v>365</v>
      </c>
      <c r="F147" s="155" t="n">
        <v>730</v>
      </c>
      <c r="G147" s="257" t="n">
        <v>365</v>
      </c>
    </row>
    <row r="148" ht="14.25" customHeight="1" s="237">
      <c r="A148" s="120" t="n">
        <v>4720</v>
      </c>
      <c r="B148" s="120" t="inlineStr">
        <is>
          <t>CC4720</t>
        </is>
      </c>
      <c r="C148" s="124" t="inlineStr">
        <is>
          <t>코카-콜라 210CAN X30</t>
        </is>
      </c>
      <c r="D148" s="256" t="n">
        <v>365</v>
      </c>
      <c r="E148" s="256" t="n">
        <v>365</v>
      </c>
      <c r="F148" s="155" t="n">
        <v>730</v>
      </c>
      <c r="G148" s="257" t="n">
        <v>365</v>
      </c>
    </row>
    <row r="149" ht="14.25" customHeight="1" s="237">
      <c r="A149" s="126" t="n">
        <v>4721</v>
      </c>
      <c r="B149" s="127" t="inlineStr">
        <is>
          <t>CC4721</t>
        </is>
      </c>
      <c r="C149" s="128" t="inlineStr">
        <is>
          <t>코카－콜라 200CAN X30</t>
        </is>
      </c>
      <c r="D149" s="256" t="n">
        <v>365</v>
      </c>
      <c r="E149" s="256" t="n">
        <v>365</v>
      </c>
      <c r="F149" s="155" t="n">
        <v>730</v>
      </c>
      <c r="G149" s="257" t="n">
        <v>365</v>
      </c>
    </row>
    <row r="150" ht="14.25" customHeight="1" s="237">
      <c r="A150" s="120" t="n">
        <v>4820</v>
      </c>
      <c r="B150" s="120" t="inlineStr">
        <is>
          <t>CC4820</t>
        </is>
      </c>
      <c r="C150" s="124" t="inlineStr">
        <is>
          <t>코카콜라올림픽500C X24</t>
        </is>
      </c>
      <c r="D150" s="256" t="n">
        <v>365</v>
      </c>
      <c r="E150" s="256" t="n">
        <v>365</v>
      </c>
      <c r="F150" s="155" t="n">
        <v>730</v>
      </c>
      <c r="G150" s="257" t="n">
        <v>365</v>
      </c>
    </row>
    <row r="151" ht="14.25" customHeight="1" s="237">
      <c r="A151" s="120" t="n">
        <v>4822</v>
      </c>
      <c r="B151" s="120" t="inlineStr">
        <is>
          <t>CC4822</t>
        </is>
      </c>
      <c r="C151" s="124" t="inlineStr">
        <is>
          <t>코카-콜라 500CAN X24</t>
        </is>
      </c>
      <c r="D151" s="256" t="n">
        <v>365</v>
      </c>
      <c r="E151" s="256" t="n">
        <v>365</v>
      </c>
      <c r="F151" s="155" t="n">
        <v>730</v>
      </c>
      <c r="G151" s="257" t="n">
        <v>365</v>
      </c>
    </row>
    <row r="152" ht="14.25" customHeight="1" s="237">
      <c r="A152" s="120" t="n">
        <v>4830</v>
      </c>
      <c r="B152" s="120" t="inlineStr">
        <is>
          <t>CC4830</t>
        </is>
      </c>
      <c r="C152" s="124" t="inlineStr">
        <is>
          <t>M&amp;P)코카콜라210CAN 5X6</t>
        </is>
      </c>
      <c r="D152" s="256" t="n">
        <v>365</v>
      </c>
      <c r="E152" s="256" t="n">
        <v>365</v>
      </c>
      <c r="F152" s="155" t="n">
        <v>730</v>
      </c>
      <c r="G152" s="257" t="n">
        <v>365</v>
      </c>
    </row>
    <row r="153" ht="14.25" customHeight="1" s="237">
      <c r="A153" s="120" t="n">
        <v>4835</v>
      </c>
      <c r="B153" s="120" t="inlineStr">
        <is>
          <t>CC4835</t>
        </is>
      </c>
      <c r="C153" s="124" t="inlineStr">
        <is>
          <t>코카-콜라 250CAN X30</t>
        </is>
      </c>
      <c r="D153" s="256" t="n">
        <v>365</v>
      </c>
      <c r="E153" s="256" t="n">
        <v>365</v>
      </c>
      <c r="F153" s="155" t="n">
        <v>730</v>
      </c>
      <c r="G153" s="257" t="n">
        <v>365</v>
      </c>
    </row>
    <row r="154" ht="14.25" customHeight="1" s="237">
      <c r="A154" s="120" t="n">
        <v>4843</v>
      </c>
      <c r="B154" s="120" t="inlineStr">
        <is>
          <t>CC4843</t>
        </is>
      </c>
      <c r="C154" s="124" t="inlineStr">
        <is>
          <t>코카콜라(HP)245CAN X24</t>
        </is>
      </c>
      <c r="D154" s="256" t="n">
        <v>365</v>
      </c>
      <c r="E154" s="256" t="n">
        <v>365</v>
      </c>
      <c r="F154" s="155" t="n">
        <v>730</v>
      </c>
      <c r="G154" s="257" t="n">
        <v>365</v>
      </c>
    </row>
    <row r="155" ht="14.25" customHeight="1" s="237">
      <c r="A155" s="120" t="n">
        <v>4857</v>
      </c>
      <c r="B155" s="120" t="inlineStr">
        <is>
          <t>CC4857</t>
        </is>
      </c>
      <c r="C155" s="124" t="inlineStr">
        <is>
          <t>코카콜라SSP 210CAN X30</t>
        </is>
      </c>
      <c r="D155" s="256" t="n">
        <v>365</v>
      </c>
      <c r="E155" s="256" t="n">
        <v>365</v>
      </c>
      <c r="F155" s="155" t="n">
        <v>730</v>
      </c>
      <c r="G155" s="257" t="n">
        <v>365</v>
      </c>
    </row>
    <row r="156" ht="14.25" customHeight="1" s="237">
      <c r="A156" s="120" t="n">
        <v>4861</v>
      </c>
      <c r="B156" s="120" t="inlineStr">
        <is>
          <t>CC4861</t>
        </is>
      </c>
      <c r="C156" s="124" t="inlineStr">
        <is>
          <t>코카 콜라 210CAN 5X6</t>
        </is>
      </c>
      <c r="D156" s="256" t="n">
        <v>365</v>
      </c>
      <c r="E156" s="256" t="n">
        <v>365</v>
      </c>
      <c r="F156" s="155" t="n">
        <v>730</v>
      </c>
      <c r="G156" s="257" t="n">
        <v>365</v>
      </c>
    </row>
    <row r="157" ht="14.25" customHeight="1" s="237">
      <c r="A157" s="120" t="n">
        <v>4893</v>
      </c>
      <c r="B157" s="120" t="inlineStr">
        <is>
          <t>CC4893</t>
        </is>
      </c>
      <c r="C157" s="124" t="inlineStr">
        <is>
          <t>코크 라이트250CAN X30</t>
        </is>
      </c>
      <c r="D157" s="256" t="n">
        <v>140</v>
      </c>
      <c r="E157" s="256" t="n">
        <v>365</v>
      </c>
      <c r="F157" s="155" t="n">
        <v>730</v>
      </c>
      <c r="G157" s="257" t="n">
        <v>590</v>
      </c>
    </row>
    <row r="158" ht="14.25" customHeight="1" s="237">
      <c r="A158" s="126" t="n">
        <v>5104</v>
      </c>
      <c r="B158" s="127" t="inlineStr">
        <is>
          <t>CC5104</t>
        </is>
      </c>
      <c r="C158" s="128" t="inlineStr">
        <is>
          <t>코카콜라 1.6PET X4</t>
        </is>
      </c>
      <c r="D158" s="256" t="n">
        <v>98</v>
      </c>
      <c r="E158" s="256" t="n">
        <v>182.5</v>
      </c>
      <c r="F158" s="155" t="n">
        <v>365</v>
      </c>
      <c r="G158" s="257" t="n">
        <v>267</v>
      </c>
    </row>
    <row r="159" ht="14.25" customHeight="1" s="237">
      <c r="A159" s="120" t="n">
        <v>5106</v>
      </c>
      <c r="B159" s="120" t="inlineStr">
        <is>
          <t>CC5106</t>
        </is>
      </c>
      <c r="C159" s="124" t="inlineStr">
        <is>
          <t>코카-콜라 1.8PET X12</t>
        </is>
      </c>
      <c r="D159" s="256" t="n">
        <v>98</v>
      </c>
      <c r="E159" s="256" t="n">
        <v>182.5</v>
      </c>
      <c r="F159" s="155" t="n">
        <v>365</v>
      </c>
      <c r="G159" s="257" t="n">
        <v>267</v>
      </c>
    </row>
    <row r="160" ht="14.25" customHeight="1" s="237">
      <c r="A160" s="120" t="n">
        <v>5108</v>
      </c>
      <c r="B160" s="120" t="inlineStr">
        <is>
          <t>CC5108</t>
        </is>
      </c>
      <c r="C160" s="124" t="inlineStr">
        <is>
          <t>코카-콜라 1.6PET X6</t>
        </is>
      </c>
      <c r="D160" s="256" t="n">
        <v>98</v>
      </c>
      <c r="E160" s="256" t="n">
        <v>182.5</v>
      </c>
      <c r="F160" s="155" t="n">
        <v>365</v>
      </c>
      <c r="G160" s="257" t="n">
        <v>267</v>
      </c>
    </row>
    <row r="161" ht="14.25" customHeight="1" s="237">
      <c r="A161" s="120" t="n">
        <v>5109</v>
      </c>
      <c r="B161" s="120" t="inlineStr">
        <is>
          <t>CC5109</t>
        </is>
      </c>
      <c r="C161" s="124" t="inlineStr">
        <is>
          <t>코카-콜라 1.6PET X12</t>
        </is>
      </c>
      <c r="D161" s="256" t="n">
        <v>98</v>
      </c>
      <c r="E161" s="256" t="n">
        <v>182.5</v>
      </c>
      <c r="F161" s="155" t="n">
        <v>365</v>
      </c>
      <c r="G161" s="257" t="n">
        <v>267</v>
      </c>
      <c r="K161" s="129" t="n"/>
      <c r="L161" s="129" t="n"/>
    </row>
    <row r="162" ht="14.25" customHeight="1" s="237">
      <c r="A162" s="120" t="n">
        <v>5110</v>
      </c>
      <c r="B162" s="120" t="inlineStr">
        <is>
          <t>CC5110</t>
        </is>
      </c>
      <c r="C162" s="124" t="inlineStr">
        <is>
          <t>코카-콜라 777PET X15</t>
        </is>
      </c>
      <c r="D162" s="256" t="n">
        <v>98</v>
      </c>
      <c r="E162" s="256" t="n">
        <v>182.5</v>
      </c>
      <c r="F162" s="155" t="n">
        <v>365</v>
      </c>
      <c r="G162" s="257" t="n">
        <v>267</v>
      </c>
    </row>
    <row r="163" ht="14.25" customHeight="1" s="237">
      <c r="A163" s="120" t="n">
        <v>5111</v>
      </c>
      <c r="B163" s="120" t="inlineStr">
        <is>
          <t>CC5111</t>
        </is>
      </c>
      <c r="C163" s="124" t="inlineStr">
        <is>
          <t>코카 콜라 350PET X15</t>
        </is>
      </c>
      <c r="D163" s="256" t="n">
        <v>84</v>
      </c>
      <c r="E163" s="256" t="n">
        <v>182.5</v>
      </c>
      <c r="F163" s="155" t="n">
        <v>365</v>
      </c>
      <c r="G163" s="257" t="n">
        <v>281</v>
      </c>
    </row>
    <row r="164" ht="14.25" customHeight="1" s="237">
      <c r="A164" s="120" t="n">
        <v>5113</v>
      </c>
      <c r="B164" s="120" t="inlineStr">
        <is>
          <t>CC5112</t>
        </is>
      </c>
      <c r="C164" s="124" t="inlineStr">
        <is>
          <t>M&amp;P)코카콜라777PET 8X2</t>
        </is>
      </c>
      <c r="D164" s="256" t="n">
        <v>98</v>
      </c>
      <c r="E164" s="256" t="n">
        <v>182.5</v>
      </c>
      <c r="F164" s="155" t="n">
        <v>365</v>
      </c>
      <c r="G164" s="257" t="n">
        <v>267</v>
      </c>
    </row>
    <row r="165" ht="14.25" customHeight="1" s="237">
      <c r="A165" s="126" t="n">
        <v>5113</v>
      </c>
      <c r="B165" s="127" t="inlineStr">
        <is>
          <t>CC5113</t>
        </is>
      </c>
      <c r="C165" s="128" t="inlineStr">
        <is>
          <t>코카콜라 350PET 12X2</t>
        </is>
      </c>
      <c r="D165" s="256" t="n">
        <v>84</v>
      </c>
      <c r="E165" s="256" t="n">
        <v>182.5</v>
      </c>
      <c r="F165" s="155" t="n">
        <v>365</v>
      </c>
      <c r="G165" s="257" t="n">
        <v>281</v>
      </c>
    </row>
    <row r="166" ht="14.25" customHeight="1" s="237">
      <c r="A166" s="120" t="n">
        <v>5116</v>
      </c>
      <c r="B166" s="120" t="inlineStr">
        <is>
          <t>CC5116</t>
        </is>
      </c>
      <c r="C166" s="124" t="inlineStr">
        <is>
          <t>코카콜라+컵777P 8X2</t>
        </is>
      </c>
      <c r="D166" s="256" t="n">
        <v>98</v>
      </c>
      <c r="E166" s="256" t="n">
        <v>182.5</v>
      </c>
      <c r="F166" s="155" t="n">
        <v>365</v>
      </c>
      <c r="G166" s="257" t="n">
        <v>267</v>
      </c>
    </row>
    <row r="167" ht="14.25" customHeight="1" s="237">
      <c r="A167" s="120" t="n">
        <v>5117</v>
      </c>
      <c r="B167" s="120" t="inlineStr">
        <is>
          <t>CC5117</t>
        </is>
      </c>
      <c r="C167" s="124" t="inlineStr">
        <is>
          <t>코크+축구공500P 6X4</t>
        </is>
      </c>
      <c r="D167" s="256" t="n">
        <v>98</v>
      </c>
      <c r="E167" s="256" t="n">
        <v>182.5</v>
      </c>
      <c r="F167" s="155" t="n">
        <v>365</v>
      </c>
      <c r="G167" s="257" t="n">
        <v>267</v>
      </c>
    </row>
    <row r="168" ht="14.25" customHeight="1" s="237">
      <c r="A168" s="120" t="n">
        <v>5118</v>
      </c>
      <c r="B168" s="120" t="inlineStr">
        <is>
          <t>CC5118</t>
        </is>
      </c>
      <c r="C168" s="124" t="inlineStr">
        <is>
          <t>E)코카콜라+컵355C 4X5</t>
        </is>
      </c>
      <c r="D168" s="256" t="n">
        <v>365</v>
      </c>
      <c r="E168" s="256" t="n">
        <v>365</v>
      </c>
      <c r="F168" s="155" t="n">
        <v>730</v>
      </c>
      <c r="G168" s="257" t="n">
        <v>365</v>
      </c>
    </row>
    <row r="169" ht="14.25" customHeight="1" s="237">
      <c r="A169" s="120" t="n">
        <v>5135</v>
      </c>
      <c r="B169" s="120" t="inlineStr">
        <is>
          <t>CC5135</t>
        </is>
      </c>
      <c r="C169" s="124" t="inlineStr">
        <is>
          <t>코크산타스플래쉬350P X15</t>
        </is>
      </c>
      <c r="D169" s="256" t="n">
        <v>84</v>
      </c>
      <c r="E169" s="256" t="n">
        <v>182.5</v>
      </c>
      <c r="F169" s="155" t="n">
        <v>365</v>
      </c>
      <c r="G169" s="257" t="n">
        <v>281</v>
      </c>
    </row>
    <row r="170" ht="14.25" customHeight="1" s="237">
      <c r="A170" s="120" t="n">
        <v>5136</v>
      </c>
      <c r="B170" s="120" t="inlineStr">
        <is>
          <t>CC5136</t>
        </is>
      </c>
      <c r="C170" s="124" t="inlineStr">
        <is>
          <t>코크산타스플래쉬350P 6X4</t>
        </is>
      </c>
      <c r="D170" s="256" t="n">
        <v>84</v>
      </c>
      <c r="E170" s="256" t="n">
        <v>182.5</v>
      </c>
      <c r="F170" s="155" t="n">
        <v>365</v>
      </c>
      <c r="G170" s="257" t="n">
        <v>281</v>
      </c>
    </row>
    <row r="171" ht="14.25" customHeight="1" s="237">
      <c r="A171" s="126" t="n">
        <v>5174</v>
      </c>
      <c r="B171" s="127" t="inlineStr">
        <is>
          <t>CC5174</t>
        </is>
      </c>
      <c r="C171" s="128" t="inlineStr">
        <is>
          <t>코카콜라 390PET X12</t>
        </is>
      </c>
      <c r="D171" s="256" t="n">
        <v>84</v>
      </c>
      <c r="E171" s="256" t="n">
        <v>182.5</v>
      </c>
      <c r="F171" s="155" t="n">
        <v>365</v>
      </c>
      <c r="G171" s="257" t="n">
        <v>281</v>
      </c>
    </row>
    <row r="172" ht="14.25" customHeight="1" s="237">
      <c r="A172" s="126" t="n">
        <v>5175</v>
      </c>
      <c r="B172" s="120" t="inlineStr">
        <is>
          <t>CC5175</t>
        </is>
      </c>
      <c r="C172" s="128" t="inlineStr">
        <is>
          <t>코카　콜라  390PET X24</t>
        </is>
      </c>
      <c r="D172" s="256" t="n">
        <v>84</v>
      </c>
      <c r="E172" s="256" t="n">
        <v>182.5</v>
      </c>
      <c r="F172" s="155" t="n">
        <v>365</v>
      </c>
      <c r="G172" s="257" t="n">
        <v>281</v>
      </c>
    </row>
    <row r="173" ht="14.25" customHeight="1" s="237">
      <c r="A173" s="120" t="n">
        <v>5657</v>
      </c>
      <c r="B173" s="120" t="inlineStr">
        <is>
          <t>CC5657</t>
        </is>
      </c>
      <c r="C173" s="124" t="inlineStr">
        <is>
          <t>코카 콜라 1.25PET 6X2</t>
        </is>
      </c>
      <c r="D173" s="256" t="n">
        <v>98</v>
      </c>
      <c r="E173" s="256" t="n">
        <v>182.5</v>
      </c>
      <c r="F173" s="155" t="n">
        <v>365</v>
      </c>
      <c r="G173" s="257" t="n">
        <v>267</v>
      </c>
    </row>
    <row r="174" ht="14.25" customHeight="1" s="237">
      <c r="A174" s="126" t="n">
        <v>5695</v>
      </c>
      <c r="B174" s="127" t="inlineStr">
        <is>
          <t>CC5695</t>
        </is>
      </c>
      <c r="C174" s="128" t="inlineStr">
        <is>
          <t>코카콜라 평창성화 250BTC 6X4</t>
        </is>
      </c>
      <c r="D174" s="256" t="n">
        <v>365</v>
      </c>
      <c r="E174" s="256" t="n">
        <v>365</v>
      </c>
      <c r="F174" s="155" t="n">
        <v>730</v>
      </c>
      <c r="G174" s="257" t="n">
        <v>365</v>
      </c>
    </row>
    <row r="175" ht="14.25" customHeight="1" s="237">
      <c r="A175" s="126" t="n">
        <v>5696</v>
      </c>
      <c r="B175" s="127" t="inlineStr">
        <is>
          <t>CC5696</t>
        </is>
      </c>
      <c r="C175" s="128" t="inlineStr">
        <is>
          <t>코카콜라 인천대교 250BTC X24</t>
        </is>
      </c>
      <c r="D175" s="256" t="n">
        <v>365</v>
      </c>
      <c r="E175" s="256" t="n">
        <v>365</v>
      </c>
      <c r="F175" s="155" t="n">
        <v>730</v>
      </c>
      <c r="G175" s="257" t="n">
        <v>365</v>
      </c>
    </row>
    <row r="176" ht="14.25" customHeight="1" s="237">
      <c r="A176" s="126" t="n">
        <v>5697</v>
      </c>
      <c r="B176" s="127" t="inlineStr">
        <is>
          <t>CC5697</t>
        </is>
      </c>
      <c r="C176" s="128" t="inlineStr">
        <is>
          <t>코카콜라 인천대교 250BTC 6X4</t>
        </is>
      </c>
      <c r="D176" s="256" t="n">
        <v>365</v>
      </c>
      <c r="E176" s="256" t="n">
        <v>365</v>
      </c>
      <c r="F176" s="155" t="n">
        <v>730</v>
      </c>
      <c r="G176" s="257" t="n">
        <v>365</v>
      </c>
    </row>
    <row r="177" ht="14.25" customHeight="1" s="237">
      <c r="A177" s="126" t="n">
        <v>5698</v>
      </c>
      <c r="B177" s="127" t="inlineStr">
        <is>
          <t>CC5698</t>
        </is>
      </c>
      <c r="C177" s="128" t="inlineStr">
        <is>
          <t>코카콜라 평창성화 250BTC X24</t>
        </is>
      </c>
      <c r="D177" s="256" t="n">
        <v>365</v>
      </c>
      <c r="E177" s="256" t="n">
        <v>365</v>
      </c>
      <c r="F177" s="155" t="n">
        <v>730</v>
      </c>
      <c r="G177" s="257" t="n">
        <v>365</v>
      </c>
    </row>
    <row r="178" ht="14.25" customHeight="1" s="237">
      <c r="A178" s="120" t="n">
        <v>5700</v>
      </c>
      <c r="B178" s="120" t="inlineStr">
        <is>
          <t>CC5700</t>
        </is>
      </c>
      <c r="C178" s="124" t="inlineStr">
        <is>
          <t>코카-콜라 250BTC X24</t>
        </is>
      </c>
      <c r="D178" s="256" t="n">
        <v>365</v>
      </c>
      <c r="E178" s="256" t="n">
        <v>365</v>
      </c>
      <c r="F178" s="155" t="n">
        <v>730</v>
      </c>
      <c r="G178" s="257" t="n">
        <v>365</v>
      </c>
    </row>
    <row r="179" ht="14.25" customHeight="1" s="237">
      <c r="A179" s="127" t="inlineStr">
        <is>
          <t>CC5701</t>
        </is>
      </c>
      <c r="B179" s="127" t="inlineStr">
        <is>
          <t>CC5701</t>
        </is>
      </c>
      <c r="C179" s="128" t="inlineStr">
        <is>
          <t>코크 골드250BTC X24</t>
        </is>
      </c>
      <c r="D179" s="256" t="n">
        <v>365</v>
      </c>
      <c r="E179" s="256" t="n">
        <v>365</v>
      </c>
      <c r="F179" s="155" t="n">
        <v>730</v>
      </c>
      <c r="G179" s="257" t="n">
        <v>365</v>
      </c>
    </row>
    <row r="180" ht="14.25" customHeight="1" s="237">
      <c r="A180" s="120" t="n">
        <v>5702</v>
      </c>
      <c r="B180" s="120" t="inlineStr">
        <is>
          <t>CC5702</t>
        </is>
      </c>
      <c r="C180" s="124" t="inlineStr">
        <is>
          <t>코카-콜라 250BTC X16</t>
        </is>
      </c>
      <c r="D180" s="256" t="n">
        <v>365</v>
      </c>
      <c r="E180" s="256" t="n">
        <v>365</v>
      </c>
      <c r="F180" s="155" t="n">
        <v>730</v>
      </c>
      <c r="G180" s="257" t="n">
        <v>365</v>
      </c>
    </row>
    <row r="181" ht="14.25" customHeight="1" s="237">
      <c r="A181" s="126" t="inlineStr">
        <is>
          <t>cc5703</t>
        </is>
      </c>
      <c r="B181" s="127" t="inlineStr">
        <is>
          <t>cc5703</t>
        </is>
      </c>
      <c r="C181" s="128" t="inlineStr">
        <is>
          <t>코카콜라 한국 250BTC X24</t>
        </is>
      </c>
      <c r="D181" s="256" t="n">
        <v>365</v>
      </c>
      <c r="E181" s="256" t="n">
        <v>365</v>
      </c>
      <c r="F181" s="155" t="n">
        <v>730</v>
      </c>
      <c r="G181" s="257" t="n">
        <v>365</v>
      </c>
    </row>
    <row r="182" ht="14.25" customHeight="1" s="237">
      <c r="A182" s="120" t="n">
        <v>5704</v>
      </c>
      <c r="B182" s="120" t="inlineStr">
        <is>
          <t>CC5704</t>
        </is>
      </c>
      <c r="C182" s="124" t="inlineStr">
        <is>
          <t>코카-콜라 500BTC X12</t>
        </is>
      </c>
      <c r="D182" s="256" t="n">
        <v>365</v>
      </c>
      <c r="E182" s="256" t="n">
        <v>365</v>
      </c>
      <c r="F182" s="155" t="n">
        <v>730</v>
      </c>
      <c r="G182" s="257" t="n">
        <v>365</v>
      </c>
    </row>
    <row r="183" ht="14.25" customHeight="1" s="237">
      <c r="A183" s="126" t="n">
        <v>5707</v>
      </c>
      <c r="B183" s="127" t="inlineStr">
        <is>
          <t>CC5707</t>
        </is>
      </c>
      <c r="C183" s="128" t="inlineStr">
        <is>
          <t>코카　콜라  300BTC X20</t>
        </is>
      </c>
      <c r="D183" s="256" t="n">
        <v>365</v>
      </c>
      <c r="E183" s="256" t="n">
        <v>365</v>
      </c>
      <c r="F183" s="155" t="n">
        <v>730</v>
      </c>
      <c r="G183" s="257" t="n">
        <v>365</v>
      </c>
    </row>
    <row r="184" ht="14.25" customHeight="1" s="237">
      <c r="A184" s="127" t="inlineStr">
        <is>
          <t>CC5709</t>
        </is>
      </c>
      <c r="B184" s="127" t="inlineStr">
        <is>
          <t>CC5709</t>
        </is>
      </c>
      <c r="C184" s="128" t="inlineStr">
        <is>
          <t>코크-리본250BTC</t>
        </is>
      </c>
      <c r="D184" s="256" t="n">
        <v>365</v>
      </c>
      <c r="E184" s="256" t="n">
        <v>365</v>
      </c>
      <c r="F184" s="155" t="n">
        <v>730</v>
      </c>
      <c r="G184" s="257" t="n">
        <v>365</v>
      </c>
    </row>
    <row r="185" ht="14.25" customHeight="1" s="237">
      <c r="A185" s="120" t="n">
        <v>5710</v>
      </c>
      <c r="B185" s="120" t="inlineStr">
        <is>
          <t>CC5710</t>
        </is>
      </c>
      <c r="C185" s="124" t="inlineStr">
        <is>
          <t>코카 콜라 300PET X24</t>
        </is>
      </c>
      <c r="D185" s="256" t="n">
        <v>70</v>
      </c>
      <c r="E185" s="256" t="n">
        <v>182.5</v>
      </c>
      <c r="F185" s="155" t="n">
        <v>365</v>
      </c>
      <c r="G185" s="257" t="n">
        <v>295</v>
      </c>
    </row>
    <row r="186" ht="14.25" customHeight="1" s="237">
      <c r="A186" s="120" t="n">
        <v>5711</v>
      </c>
      <c r="B186" s="120" t="inlineStr">
        <is>
          <t>CC5711</t>
        </is>
      </c>
      <c r="C186" s="124" t="inlineStr">
        <is>
          <t>코크 제로 300PET X24</t>
        </is>
      </c>
      <c r="D186" s="256" t="n">
        <v>70</v>
      </c>
      <c r="E186" s="256" t="n">
        <v>182.5</v>
      </c>
      <c r="F186" s="155" t="n">
        <v>365</v>
      </c>
      <c r="G186" s="257" t="n">
        <v>295</v>
      </c>
    </row>
    <row r="187" ht="14.25" customHeight="1" s="237">
      <c r="A187" s="126" t="n">
        <v>5714</v>
      </c>
      <c r="B187" s="127" t="inlineStr">
        <is>
          <t>CC5714</t>
        </is>
      </c>
      <c r="C187" s="128" t="inlineStr">
        <is>
          <t>코카콜라 벚꽃 250BTC X24</t>
        </is>
      </c>
      <c r="D187" s="256" t="n">
        <v>365</v>
      </c>
      <c r="E187" s="256" t="n">
        <v>365</v>
      </c>
      <c r="F187" s="155" t="n">
        <v>730</v>
      </c>
      <c r="G187" s="257" t="n">
        <v>365</v>
      </c>
    </row>
    <row r="188" ht="14.25" customHeight="1" s="237">
      <c r="A188" s="120" t="n">
        <v>5717</v>
      </c>
      <c r="B188" s="120" t="inlineStr">
        <is>
          <t>CC5717</t>
        </is>
      </c>
      <c r="C188" s="124" t="inlineStr">
        <is>
          <t>코카콜라소분300PET 4X6</t>
        </is>
      </c>
      <c r="D188" s="256" t="n">
        <v>70</v>
      </c>
      <c r="E188" s="256" t="n">
        <v>182.5</v>
      </c>
      <c r="F188" s="155" t="n">
        <v>365</v>
      </c>
      <c r="G188" s="257" t="n">
        <v>295</v>
      </c>
    </row>
    <row r="189" ht="14.25" customHeight="1" s="237">
      <c r="A189" s="126" t="n">
        <v>5721</v>
      </c>
      <c r="B189" s="127" t="inlineStr">
        <is>
          <t>CC5721</t>
        </is>
      </c>
      <c r="C189" s="128" t="inlineStr">
        <is>
          <t>코카콜라 300PET X12</t>
        </is>
      </c>
      <c r="D189" s="256" t="n">
        <v>70</v>
      </c>
      <c r="E189" s="256" t="n">
        <v>182.5</v>
      </c>
      <c r="F189" s="155" t="n">
        <v>365</v>
      </c>
      <c r="G189" s="257" t="n">
        <v>295</v>
      </c>
    </row>
    <row r="190" ht="14.25" customHeight="1" s="237">
      <c r="A190" s="126" t="n">
        <v>5727</v>
      </c>
      <c r="B190" s="127" t="inlineStr">
        <is>
          <t>CC5727</t>
        </is>
      </c>
      <c r="C190" s="128" t="inlineStr">
        <is>
          <t>코카콜라 카카오 250BTC X24</t>
        </is>
      </c>
      <c r="D190" s="256" t="n">
        <v>365</v>
      </c>
      <c r="E190" s="256" t="n">
        <v>365</v>
      </c>
      <c r="F190" s="155" t="n">
        <v>730</v>
      </c>
      <c r="G190" s="257" t="n">
        <v>365</v>
      </c>
    </row>
    <row r="191" ht="14.25" customHeight="1" s="237">
      <c r="A191" s="126" t="n">
        <v>5729</v>
      </c>
      <c r="B191" s="127" t="inlineStr">
        <is>
          <t>CC5729</t>
        </is>
      </c>
      <c r="C191" s="128" t="inlineStr">
        <is>
          <t>코카콜라 300PET 2X12</t>
        </is>
      </c>
      <c r="D191" s="256" t="n">
        <v>70</v>
      </c>
      <c r="E191" s="256" t="n">
        <v>182.5</v>
      </c>
      <c r="F191" s="155" t="n">
        <v>365</v>
      </c>
      <c r="G191" s="257" t="n">
        <v>295</v>
      </c>
    </row>
    <row r="192" ht="14.25" customHeight="1" s="237">
      <c r="A192" s="120" t="n">
        <v>5732</v>
      </c>
      <c r="B192" s="120" t="inlineStr">
        <is>
          <t>CC5732</t>
        </is>
      </c>
      <c r="C192" s="124" t="inlineStr">
        <is>
          <t>코카-콜라 600PET X24</t>
        </is>
      </c>
      <c r="D192" s="256" t="n">
        <v>84</v>
      </c>
      <c r="E192" s="256" t="n">
        <v>182.5</v>
      </c>
      <c r="F192" s="155" t="n">
        <v>365</v>
      </c>
      <c r="G192" s="257" t="n">
        <v>281</v>
      </c>
    </row>
    <row r="193" ht="14.25" customHeight="1" s="237">
      <c r="A193" s="120" t="n">
        <v>5738</v>
      </c>
      <c r="B193" s="120" t="inlineStr">
        <is>
          <t>CC5738</t>
        </is>
      </c>
      <c r="C193" s="124" t="inlineStr">
        <is>
          <t>S)코카-콜라600P X12(C-C</t>
        </is>
      </c>
      <c r="D193" s="256" t="n">
        <v>84</v>
      </c>
      <c r="E193" s="256" t="n">
        <v>182.5</v>
      </c>
      <c r="F193" s="155" t="n">
        <v>365</v>
      </c>
      <c r="G193" s="257" t="n">
        <v>281</v>
      </c>
    </row>
    <row r="194" ht="14.25" customHeight="1" s="237">
      <c r="A194" s="126" t="n">
        <v>5757</v>
      </c>
      <c r="B194" s="127" t="inlineStr">
        <is>
          <t>CC5757</t>
        </is>
      </c>
      <c r="C194" s="128" t="inlineStr">
        <is>
          <t>코카콜라 215CAN 5X6</t>
        </is>
      </c>
      <c r="D194" s="256" t="n">
        <v>365</v>
      </c>
      <c r="E194" s="256" t="n">
        <v>365</v>
      </c>
      <c r="F194" s="155" t="n">
        <v>730</v>
      </c>
      <c r="G194" s="257" t="n">
        <v>365</v>
      </c>
    </row>
    <row r="195" ht="14.25" customHeight="1" s="237">
      <c r="A195" s="126" t="n">
        <v>5761</v>
      </c>
      <c r="B195" s="127" t="inlineStr">
        <is>
          <t>CC5761</t>
        </is>
      </c>
      <c r="C195" s="128" t="inlineStr">
        <is>
          <t>코카콜라 215CAN X30</t>
        </is>
      </c>
      <c r="D195" s="256" t="n">
        <v>365</v>
      </c>
      <c r="E195" s="256" t="n">
        <v>365</v>
      </c>
      <c r="F195" s="155" t="n">
        <v>730</v>
      </c>
      <c r="G195" s="257" t="n">
        <v>365</v>
      </c>
    </row>
    <row r="196" ht="14.25" customHeight="1" s="237">
      <c r="A196" s="126" t="n">
        <v>5762</v>
      </c>
      <c r="B196" s="127" t="inlineStr">
        <is>
          <t>CC5762</t>
        </is>
      </c>
      <c r="C196" s="128" t="inlineStr">
        <is>
          <t>코카콜라 215CAN X12</t>
        </is>
      </c>
      <c r="D196" s="256" t="n">
        <v>365</v>
      </c>
      <c r="E196" s="256" t="n">
        <v>365</v>
      </c>
      <c r="F196" s="155" t="n">
        <v>730</v>
      </c>
      <c r="G196" s="257" t="n">
        <v>365</v>
      </c>
    </row>
    <row r="197" ht="14.25" customHeight="1" s="237">
      <c r="A197" s="126" t="n">
        <v>5763</v>
      </c>
      <c r="B197" s="127" t="inlineStr">
        <is>
          <t>CC5763</t>
        </is>
      </c>
      <c r="C197" s="128" t="inlineStr">
        <is>
          <t>코카콜라 215CAN 3X10</t>
        </is>
      </c>
      <c r="D197" s="256" t="n">
        <v>365</v>
      </c>
      <c r="E197" s="256" t="n">
        <v>365</v>
      </c>
      <c r="F197" s="155" t="n">
        <v>730</v>
      </c>
      <c r="G197" s="257" t="n">
        <v>365</v>
      </c>
    </row>
    <row r="198" ht="14.25" customHeight="1" s="237">
      <c r="A198" s="120" t="n">
        <v>6194</v>
      </c>
      <c r="B198" s="120" t="inlineStr">
        <is>
          <t>CC6194</t>
        </is>
      </c>
      <c r="C198" s="124" t="inlineStr">
        <is>
          <t>코카-콜라 355RGB X24</t>
        </is>
      </c>
      <c r="D198" s="256" t="n">
        <v>365</v>
      </c>
      <c r="E198" s="256" t="n">
        <v>365</v>
      </c>
      <c r="F198" s="155" t="n">
        <v>730</v>
      </c>
      <c r="G198" s="257" t="n">
        <v>365</v>
      </c>
    </row>
    <row r="199" ht="14.25" customHeight="1" s="237">
      <c r="A199" s="126" t="n">
        <v>6195</v>
      </c>
      <c r="B199" s="127" t="inlineStr">
        <is>
          <t>CC6195</t>
        </is>
      </c>
      <c r="C199" s="128" t="inlineStr">
        <is>
          <t>보100)코카콜라 355RGB X24</t>
        </is>
      </c>
      <c r="D199" s="256" t="n">
        <v>365</v>
      </c>
      <c r="E199" s="256" t="n">
        <v>365</v>
      </c>
      <c r="F199" s="155" t="n">
        <v>730</v>
      </c>
      <c r="G199" s="257" t="n">
        <v>365</v>
      </c>
    </row>
    <row r="200" ht="14.25" customHeight="1" s="237">
      <c r="A200" s="120" t="n">
        <v>6309</v>
      </c>
      <c r="B200" s="120" t="inlineStr">
        <is>
          <t>CC6309</t>
        </is>
      </c>
      <c r="C200" s="124" t="inlineStr">
        <is>
          <t>코카-콜라콘1.5PET X12</t>
        </is>
      </c>
      <c r="D200" s="256" t="n">
        <v>98</v>
      </c>
      <c r="E200" s="256" t="n">
        <v>182.5</v>
      </c>
      <c r="F200" s="155" t="n">
        <v>365</v>
      </c>
      <c r="G200" s="257" t="n">
        <v>267</v>
      </c>
    </row>
    <row r="201" ht="14.25" customHeight="1" s="237">
      <c r="A201" s="120" t="n">
        <v>6310</v>
      </c>
      <c r="B201" s="120" t="inlineStr">
        <is>
          <t>CC6310</t>
        </is>
      </c>
      <c r="C201" s="124" t="inlineStr">
        <is>
          <t>코카-콜라 2.0PET X8</t>
        </is>
      </c>
      <c r="D201" s="256" t="n">
        <v>98</v>
      </c>
      <c r="E201" s="256" t="n">
        <v>182.5</v>
      </c>
      <c r="F201" s="155" t="n">
        <v>365</v>
      </c>
      <c r="G201" s="257" t="n">
        <v>267</v>
      </c>
    </row>
    <row r="202" ht="14.25" customHeight="1" s="237">
      <c r="A202" s="120" t="n">
        <v>6311</v>
      </c>
      <c r="B202" s="120" t="inlineStr">
        <is>
          <t>CC6311</t>
        </is>
      </c>
      <c r="C202" s="124" t="inlineStr">
        <is>
          <t>코카-콜라 2.0PET X4 HP</t>
        </is>
      </c>
      <c r="D202" s="256" t="n">
        <v>98</v>
      </c>
      <c r="E202" s="256" t="n">
        <v>182.5</v>
      </c>
      <c r="F202" s="155" t="n">
        <v>365</v>
      </c>
      <c r="G202" s="257" t="n">
        <v>267</v>
      </c>
    </row>
    <row r="203" ht="14.25" customHeight="1" s="237">
      <c r="A203" s="126" t="n">
        <v>6312</v>
      </c>
      <c r="B203" s="127" t="inlineStr">
        <is>
          <t>CC6312</t>
        </is>
      </c>
      <c r="C203" s="128" t="inlineStr">
        <is>
          <t>코카콜라 리본라벨 1.5PET X12</t>
        </is>
      </c>
      <c r="D203" s="256" t="n">
        <v>98</v>
      </c>
      <c r="E203" s="256" t="n">
        <v>182.5</v>
      </c>
      <c r="F203" s="155" t="n">
        <v>365</v>
      </c>
      <c r="G203" s="257" t="n">
        <v>267</v>
      </c>
    </row>
    <row r="204" ht="14.25" customHeight="1" s="237">
      <c r="A204" s="120" t="n">
        <v>6670</v>
      </c>
      <c r="B204" s="120" t="inlineStr">
        <is>
          <t>CC6670</t>
        </is>
      </c>
      <c r="C204" s="124" t="inlineStr">
        <is>
          <t>코카콜라ERGO 500PET X24</t>
        </is>
      </c>
      <c r="D204" s="256" t="n">
        <v>84</v>
      </c>
      <c r="E204" s="256" t="n">
        <v>182.5</v>
      </c>
      <c r="F204" s="155" t="n">
        <v>365</v>
      </c>
      <c r="G204" s="257" t="n">
        <v>281</v>
      </c>
    </row>
    <row r="205" ht="14.25" customHeight="1" s="237">
      <c r="A205" s="126" t="n">
        <v>6671</v>
      </c>
      <c r="B205" s="127" t="inlineStr">
        <is>
          <t>CC6671</t>
        </is>
      </c>
      <c r="C205" s="128" t="inlineStr">
        <is>
          <t>코카콜라 리본라벨 500PET X24</t>
        </is>
      </c>
      <c r="D205" s="256" t="n">
        <v>84</v>
      </c>
      <c r="E205" s="256" t="n">
        <v>182.5</v>
      </c>
      <c r="F205" s="155" t="n">
        <v>365</v>
      </c>
      <c r="G205" s="257" t="n">
        <v>281</v>
      </c>
    </row>
    <row r="206" ht="14.25" customHeight="1" s="237">
      <c r="A206" s="126" t="n">
        <v>6673</v>
      </c>
      <c r="B206" s="127" t="inlineStr">
        <is>
          <t>CC6673</t>
        </is>
      </c>
      <c r="C206" s="128" t="inlineStr">
        <is>
          <t>코카콜라 리본라벨 500PET 8X3</t>
        </is>
      </c>
      <c r="D206" s="256" t="n">
        <v>84</v>
      </c>
      <c r="E206" s="256" t="n">
        <v>182.5</v>
      </c>
      <c r="F206" s="155" t="n">
        <v>365</v>
      </c>
      <c r="G206" s="257" t="n">
        <v>281</v>
      </c>
    </row>
    <row r="207" ht="14.25" customHeight="1" s="237">
      <c r="A207" s="120" t="n">
        <v>6674</v>
      </c>
      <c r="B207" s="120" t="inlineStr">
        <is>
          <t>CC6674</t>
        </is>
      </c>
      <c r="C207" s="124" t="inlineStr">
        <is>
          <t>코카콜라 VIC 500PET X6</t>
        </is>
      </c>
      <c r="D207" s="256" t="n">
        <v>84</v>
      </c>
      <c r="E207" s="256" t="n">
        <v>182.5</v>
      </c>
      <c r="F207" s="155" t="n">
        <v>365</v>
      </c>
      <c r="G207" s="257" t="n">
        <v>281</v>
      </c>
    </row>
    <row r="208" ht="14.25" customHeight="1" s="237">
      <c r="A208" s="126" t="n">
        <v>6675</v>
      </c>
      <c r="B208" s="127" t="inlineStr">
        <is>
          <t>CC6675</t>
        </is>
      </c>
      <c r="C208" s="128" t="inlineStr">
        <is>
          <t>S)코카콜라 리본라벨 500PET 4X6</t>
        </is>
      </c>
      <c r="D208" s="256" t="n">
        <v>84</v>
      </c>
      <c r="E208" s="256" t="n">
        <v>182.5</v>
      </c>
      <c r="F208" s="155" t="n">
        <v>365</v>
      </c>
      <c r="G208" s="257" t="n">
        <v>281</v>
      </c>
    </row>
    <row r="209" ht="14.25" customHeight="1" s="237">
      <c r="A209" s="120" t="n">
        <v>6676</v>
      </c>
      <c r="B209" s="120" t="inlineStr">
        <is>
          <t>CC6676</t>
        </is>
      </c>
      <c r="C209" s="124" t="inlineStr">
        <is>
          <t>S)코카콜라 500PET 4X6</t>
        </is>
      </c>
      <c r="D209" s="256" t="n">
        <v>84</v>
      </c>
      <c r="E209" s="256" t="n">
        <v>182.5</v>
      </c>
      <c r="F209" s="155" t="n">
        <v>365</v>
      </c>
      <c r="G209" s="257" t="n">
        <v>281</v>
      </c>
    </row>
    <row r="210" ht="14.25" customHeight="1" s="237">
      <c r="A210" s="120" t="n">
        <v>5201</v>
      </c>
      <c r="B210" s="120" t="inlineStr">
        <is>
          <t>CC5201</t>
        </is>
      </c>
      <c r="C210" s="124" t="inlineStr">
        <is>
          <t>S)코크제로 제로 500PET 4X6</t>
        </is>
      </c>
      <c r="D210" s="256" t="n">
        <v>84</v>
      </c>
      <c r="E210" s="256" t="n">
        <v>182.5</v>
      </c>
      <c r="F210" s="155" t="n">
        <v>365</v>
      </c>
      <c r="G210" s="257" t="n">
        <v>281</v>
      </c>
    </row>
    <row r="211" ht="14.25" customHeight="1" s="237">
      <c r="A211" s="120" t="n">
        <v>6678</v>
      </c>
      <c r="B211" s="120" t="inlineStr">
        <is>
          <t>CC6678</t>
        </is>
      </c>
      <c r="C211" s="124" t="inlineStr">
        <is>
          <t>코카콜라ERGO 500PET 6X4</t>
        </is>
      </c>
      <c r="D211" s="256" t="n">
        <v>84</v>
      </c>
      <c r="E211" s="256" t="n">
        <v>182.5</v>
      </c>
      <c r="F211" s="155" t="n">
        <v>365</v>
      </c>
      <c r="G211" s="257" t="n">
        <v>281</v>
      </c>
    </row>
    <row r="212" ht="14.25" customHeight="1" s="237">
      <c r="A212" s="126" t="n">
        <v>6679</v>
      </c>
      <c r="B212" s="120" t="inlineStr">
        <is>
          <t>CC6679</t>
        </is>
      </c>
      <c r="C212" s="128" t="inlineStr">
        <is>
          <t>코카　콜라500PET 12X2</t>
        </is>
      </c>
      <c r="D212" s="256" t="n">
        <v>84</v>
      </c>
      <c r="E212" s="256" t="n">
        <v>182.5</v>
      </c>
      <c r="F212" s="155" t="n">
        <v>365</v>
      </c>
      <c r="G212" s="257" t="n">
        <v>281</v>
      </c>
    </row>
    <row r="213" ht="14.25" customHeight="1" s="237">
      <c r="A213" s="120" t="n">
        <v>6725</v>
      </c>
      <c r="B213" s="120" t="inlineStr">
        <is>
          <t>CC6725</t>
        </is>
      </c>
      <c r="C213" s="124" t="inlineStr">
        <is>
          <t>코카콜라 프로즌 130PU 3*10</t>
        </is>
      </c>
      <c r="D213" s="256" t="n">
        <v>122</v>
      </c>
      <c r="E213" s="256" t="n">
        <v>136.5</v>
      </c>
      <c r="F213" s="155" t="n">
        <v>273</v>
      </c>
      <c r="G213" s="257" t="n">
        <v>151</v>
      </c>
    </row>
    <row r="214" ht="14.25" customHeight="1" s="237">
      <c r="A214" s="120" t="n">
        <v>6971</v>
      </c>
      <c r="B214" s="120" t="inlineStr">
        <is>
          <t>CC6971</t>
        </is>
      </c>
      <c r="C214" s="124" t="inlineStr">
        <is>
          <t>코카콜라 185CAN 3X10</t>
        </is>
      </c>
      <c r="D214" s="256" t="n">
        <v>365</v>
      </c>
      <c r="E214" s="256" t="n">
        <v>365</v>
      </c>
      <c r="F214" s="155" t="n">
        <v>730</v>
      </c>
      <c r="G214" s="257" t="n">
        <v>365</v>
      </c>
    </row>
    <row r="215" ht="14.25" customHeight="1" s="237">
      <c r="A215" s="120" t="n">
        <v>7532</v>
      </c>
      <c r="B215" s="120" t="inlineStr">
        <is>
          <t>CC7532</t>
        </is>
      </c>
      <c r="C215" s="124" t="inlineStr">
        <is>
          <t>코크 제로 1.5PET X12</t>
        </is>
      </c>
      <c r="D215" s="256" t="n">
        <v>98</v>
      </c>
      <c r="E215" s="256" t="n">
        <v>182.5</v>
      </c>
      <c r="F215" s="155" t="n">
        <v>365</v>
      </c>
      <c r="G215" s="257" t="n">
        <v>267</v>
      </c>
    </row>
    <row r="216" ht="14.25" customHeight="1" s="237">
      <c r="A216" s="161" t="n">
        <v>7539</v>
      </c>
      <c r="B216" s="162" t="inlineStr">
        <is>
          <t>CC7539</t>
        </is>
      </c>
      <c r="C216" s="163" t="inlineStr">
        <is>
          <t>코크제로 스타더스트 355CAN 4X6</t>
        </is>
      </c>
      <c r="D216" s="260" t="n">
        <v>84</v>
      </c>
      <c r="E216" s="260" t="n">
        <v>182.5</v>
      </c>
      <c r="F216" s="165" t="n">
        <v>365</v>
      </c>
      <c r="G216" s="261" t="n">
        <v>281</v>
      </c>
    </row>
    <row r="217" ht="14.25" customHeight="1" s="237">
      <c r="A217" s="120" t="n">
        <v>7549</v>
      </c>
      <c r="B217" s="120" t="inlineStr">
        <is>
          <t>CC7549</t>
        </is>
      </c>
      <c r="C217" s="124" t="inlineStr">
        <is>
          <t>코크 제로 5L BIB PMX</t>
        </is>
      </c>
      <c r="D217" s="256" t="n">
        <v>75</v>
      </c>
      <c r="E217" s="256" t="n">
        <v>91.5</v>
      </c>
      <c r="F217" s="155" t="n">
        <v>183</v>
      </c>
      <c r="G217" s="257" t="n">
        <v>108</v>
      </c>
    </row>
    <row r="218" ht="14.25" customHeight="1" s="237">
      <c r="A218" s="120" t="n">
        <v>7923</v>
      </c>
      <c r="B218" s="120" t="inlineStr">
        <is>
          <t>CC7923</t>
        </is>
      </c>
      <c r="C218" s="124" t="inlineStr">
        <is>
          <t>S)코카-콜라1.5PET 2X6</t>
        </is>
      </c>
      <c r="D218" s="256" t="n">
        <v>98</v>
      </c>
      <c r="E218" s="256" t="n">
        <v>182.5</v>
      </c>
      <c r="F218" s="155" t="n">
        <v>365</v>
      </c>
      <c r="G218" s="257" t="n">
        <v>267</v>
      </c>
    </row>
    <row r="219" ht="14.25" customHeight="1" s="237">
      <c r="A219" s="120" t="n">
        <v>5200</v>
      </c>
      <c r="B219" s="120" t="inlineStr">
        <is>
          <t>CC5200</t>
        </is>
      </c>
      <c r="C219" s="124" t="inlineStr">
        <is>
          <t>코카콜라 900PET 2X6</t>
        </is>
      </c>
      <c r="D219" s="256" t="n">
        <v>98</v>
      </c>
      <c r="E219" s="256" t="n">
        <v>182.5</v>
      </c>
      <c r="F219" s="155" t="n">
        <v>365</v>
      </c>
      <c r="G219" s="257" t="n">
        <v>267</v>
      </c>
    </row>
    <row r="220" ht="14.25" customHeight="1" s="237">
      <c r="A220" s="126" t="n">
        <v>5777</v>
      </c>
      <c r="B220" s="120" t="inlineStr">
        <is>
          <t>CC5777</t>
        </is>
      </c>
      <c r="C220" s="128" t="inlineStr">
        <is>
          <t>코크제로 350CAN 4X6</t>
        </is>
      </c>
      <c r="D220" s="256" t="n">
        <v>98</v>
      </c>
      <c r="E220" s="256" t="n">
        <v>182.5</v>
      </c>
      <c r="F220" s="155" t="n">
        <v>365</v>
      </c>
      <c r="G220" s="257" t="n">
        <v>267</v>
      </c>
    </row>
    <row r="221" ht="14.25" customHeight="1" s="237">
      <c r="A221" s="126" t="n">
        <v>8273</v>
      </c>
      <c r="B221" s="120" t="inlineStr">
        <is>
          <t>CC8273</t>
        </is>
      </c>
      <c r="C221" s="124" t="inlineStr">
        <is>
          <t>코크 제로 250CAN 5X6</t>
        </is>
      </c>
      <c r="D221" s="256" t="n">
        <v>98</v>
      </c>
      <c r="E221" s="256" t="n">
        <v>182.5</v>
      </c>
      <c r="F221" s="155" t="n">
        <v>365</v>
      </c>
      <c r="G221" s="257" t="n">
        <v>267</v>
      </c>
    </row>
    <row r="222" ht="14.25" customHeight="1" s="237">
      <c r="A222" s="120" t="n">
        <v>8272</v>
      </c>
      <c r="B222" s="120" t="inlineStr">
        <is>
          <t>CC8272</t>
        </is>
      </c>
      <c r="C222" s="124" t="inlineStr">
        <is>
          <t>코크 제로 250CAN X30</t>
        </is>
      </c>
      <c r="D222" s="256" t="n">
        <v>140</v>
      </c>
      <c r="E222" s="256" t="n">
        <v>365</v>
      </c>
      <c r="F222" s="155" t="n">
        <v>730</v>
      </c>
      <c r="G222" s="257" t="n">
        <v>590</v>
      </c>
    </row>
    <row r="223" ht="14.25" customHeight="1" s="237">
      <c r="A223" s="120" t="n">
        <v>5769</v>
      </c>
      <c r="B223" s="120" t="inlineStr">
        <is>
          <t>CC5769</t>
        </is>
      </c>
      <c r="C223" s="128" t="inlineStr">
        <is>
          <t>S)코크제로 제로 350CAN 4X6</t>
        </is>
      </c>
      <c r="D223" s="256" t="n">
        <v>273</v>
      </c>
      <c r="E223" s="256" t="n">
        <v>270</v>
      </c>
      <c r="F223" s="155" t="n">
        <v>548</v>
      </c>
      <c r="G223" s="257" t="n">
        <v>267</v>
      </c>
    </row>
    <row r="224" ht="14.25" customHeight="1" s="237">
      <c r="A224" s="120" t="n">
        <v>5771</v>
      </c>
      <c r="B224" s="120" t="inlineStr">
        <is>
          <t>CC5771</t>
        </is>
      </c>
      <c r="C224" s="124" t="inlineStr">
        <is>
          <t>코크제로 제로 250CAN 5X6</t>
        </is>
      </c>
      <c r="D224" s="256" t="n">
        <v>273</v>
      </c>
      <c r="E224" s="256" t="n">
        <v>270</v>
      </c>
      <c r="F224" s="155" t="n">
        <v>548</v>
      </c>
      <c r="G224" s="257" t="n">
        <v>267</v>
      </c>
    </row>
    <row r="225" ht="14.25" customHeight="1" s="237">
      <c r="A225" s="126" t="n">
        <v>8276</v>
      </c>
      <c r="B225" s="120" t="inlineStr">
        <is>
          <t>CC8276</t>
        </is>
      </c>
      <c r="C225" s="128" t="inlineStr">
        <is>
          <t>코크　제로  355CAN X24</t>
        </is>
      </c>
      <c r="D225" s="256" t="n">
        <v>140</v>
      </c>
      <c r="E225" s="256" t="n">
        <v>365</v>
      </c>
      <c r="F225" s="155" t="n">
        <v>730</v>
      </c>
      <c r="G225" s="257" t="n">
        <v>590</v>
      </c>
    </row>
    <row r="226" ht="14.25" customHeight="1" s="237">
      <c r="A226" s="126" t="n">
        <v>8279</v>
      </c>
      <c r="B226" s="120" t="inlineStr">
        <is>
          <t>CC8279</t>
        </is>
      </c>
      <c r="C226" s="128" t="inlineStr">
        <is>
          <t>코크제로 355CAN 4X6</t>
        </is>
      </c>
      <c r="D226" s="256" t="n">
        <v>140</v>
      </c>
      <c r="E226" s="256" t="n">
        <v>365</v>
      </c>
      <c r="F226" s="155" t="n">
        <v>730</v>
      </c>
      <c r="G226" s="257" t="n">
        <v>590</v>
      </c>
    </row>
    <row r="227" ht="14.25" customHeight="1" s="237">
      <c r="A227" s="120" t="n">
        <v>8428</v>
      </c>
      <c r="B227" s="120" t="inlineStr">
        <is>
          <t>CC8428</t>
        </is>
      </c>
      <c r="C227" s="124" t="inlineStr">
        <is>
          <t>코크 제로 1.5PET 6X2</t>
        </is>
      </c>
      <c r="D227" s="256" t="n">
        <v>98</v>
      </c>
      <c r="E227" s="256" t="n">
        <v>182.5</v>
      </c>
      <c r="F227" s="155" t="n">
        <v>365</v>
      </c>
      <c r="G227" s="257" t="n">
        <v>267</v>
      </c>
    </row>
    <row r="228" ht="14.25" customHeight="1" s="237">
      <c r="A228" s="126" t="n">
        <v>8447</v>
      </c>
      <c r="B228" s="127" t="inlineStr">
        <is>
          <t>CC8447</t>
        </is>
      </c>
      <c r="C228" s="128" t="inlineStr">
        <is>
          <t>COKE 1.8+COKE1.8 2x6</t>
        </is>
      </c>
      <c r="D228" s="256" t="n">
        <v>98</v>
      </c>
      <c r="E228" s="256" t="n">
        <v>182.5</v>
      </c>
      <c r="F228" s="155" t="n">
        <v>365</v>
      </c>
      <c r="G228" s="257" t="n">
        <v>267</v>
      </c>
    </row>
    <row r="229" ht="14.25" customHeight="1" s="237">
      <c r="A229" s="120" t="n">
        <v>8010</v>
      </c>
      <c r="B229" s="120" t="inlineStr">
        <is>
          <t>CD8010</t>
        </is>
      </c>
      <c r="C229" s="124" t="inlineStr">
        <is>
          <t>빙로 아이스듀500P X20</t>
        </is>
      </c>
      <c r="D229" s="256" t="n">
        <v>183</v>
      </c>
      <c r="E229" s="256" t="n">
        <v>182.5</v>
      </c>
      <c r="F229" s="155" t="n">
        <v>365</v>
      </c>
      <c r="G229" s="257" t="n">
        <v>182</v>
      </c>
    </row>
    <row r="230" ht="14.25" customHeight="1" s="237">
      <c r="A230" s="120" t="n">
        <v>8184</v>
      </c>
      <c r="B230" s="120" t="inlineStr">
        <is>
          <t>CD8184</t>
        </is>
      </c>
      <c r="C230" s="124" t="inlineStr">
        <is>
          <t>소켄비맑은기운차350P X24</t>
        </is>
      </c>
      <c r="D230" s="256" t="n">
        <v>183</v>
      </c>
      <c r="E230" s="256" t="n">
        <v>182.5</v>
      </c>
      <c r="F230" s="155" t="n">
        <v>365</v>
      </c>
      <c r="G230" s="257" t="n">
        <v>182</v>
      </c>
    </row>
    <row r="231" ht="14.25" customHeight="1" s="237">
      <c r="A231" s="126" t="n">
        <v>5750</v>
      </c>
      <c r="B231" s="127" t="inlineStr">
        <is>
          <t>CH5750</t>
        </is>
      </c>
      <c r="C231" s="128" t="inlineStr">
        <is>
          <t>코크6+스프6+환타6+토레12 250CAN X30</t>
        </is>
      </c>
      <c r="D231" s="256" t="n">
        <v>183</v>
      </c>
      <c r="E231" s="256" t="n">
        <v>365</v>
      </c>
      <c r="F231" s="155" t="n">
        <v>730</v>
      </c>
      <c r="G231" s="257" t="n">
        <v>547</v>
      </c>
    </row>
    <row r="232" ht="14.25" customHeight="1" s="237">
      <c r="A232" s="120" t="n">
        <v>6517</v>
      </c>
      <c r="B232" s="120" t="inlineStr">
        <is>
          <t>CH6517</t>
        </is>
      </c>
      <c r="C232" s="124" t="inlineStr">
        <is>
          <t>M오리지널오+코크1.8P 6X2</t>
        </is>
      </c>
      <c r="D232" s="256" t="n">
        <v>122</v>
      </c>
      <c r="E232" s="256" t="n">
        <v>136.5</v>
      </c>
      <c r="F232" s="155" t="n">
        <v>273</v>
      </c>
      <c r="G232" s="257" t="n">
        <v>151</v>
      </c>
    </row>
    <row r="233" ht="14.25" customHeight="1" s="237">
      <c r="A233" s="120" t="n">
        <v>8448</v>
      </c>
      <c r="B233" s="120" t="inlineStr">
        <is>
          <t>CH8448</t>
        </is>
      </c>
      <c r="C233" s="124" t="inlineStr">
        <is>
          <t>CK 1.8+MM OR 1.8+CK 350P 4X3</t>
        </is>
      </c>
      <c r="D233" s="256" t="n">
        <v>122</v>
      </c>
      <c r="E233" s="256" t="n">
        <v>136.5</v>
      </c>
      <c r="F233" s="155" t="n">
        <v>273</v>
      </c>
      <c r="G233" s="257" t="n">
        <v>151</v>
      </c>
    </row>
    <row r="234" ht="14.25" customHeight="1" s="237">
      <c r="A234" s="126" t="n">
        <v>4270</v>
      </c>
      <c r="B234" s="127" t="inlineStr">
        <is>
          <t>CP4270</t>
        </is>
      </c>
      <c r="C234" s="128" t="inlineStr">
        <is>
          <t>코코팜 피치핑크 340CAN X24</t>
        </is>
      </c>
      <c r="D234" s="256" t="n">
        <v>365</v>
      </c>
      <c r="E234" s="256" t="n">
        <v>365</v>
      </c>
      <c r="F234" s="155" t="n">
        <v>730</v>
      </c>
      <c r="G234" s="257" t="n">
        <v>365</v>
      </c>
    </row>
    <row r="235" ht="14.25" customHeight="1" s="237">
      <c r="A235" s="126" t="n">
        <v>4271</v>
      </c>
      <c r="B235" s="127" t="inlineStr">
        <is>
          <t>CP4271</t>
        </is>
      </c>
      <c r="C235" s="128" t="inlineStr">
        <is>
          <t>코코팜 화이트 340CAN X24</t>
        </is>
      </c>
      <c r="D235" s="256" t="n">
        <v>365</v>
      </c>
      <c r="E235" s="256" t="n">
        <v>365</v>
      </c>
      <c r="F235" s="155" t="n">
        <v>730</v>
      </c>
      <c r="G235" s="257" t="n">
        <v>365</v>
      </c>
    </row>
    <row r="236" ht="14.25" customHeight="1" s="237">
      <c r="A236" s="126" t="n">
        <v>4272</v>
      </c>
      <c r="B236" s="127" t="inlineStr">
        <is>
          <t>CP4272</t>
        </is>
      </c>
      <c r="C236" s="128" t="inlineStr">
        <is>
          <t>코코팜 포도 340CAN X24</t>
        </is>
      </c>
      <c r="D236" s="256" t="n">
        <v>365</v>
      </c>
      <c r="E236" s="256" t="n">
        <v>365</v>
      </c>
      <c r="F236" s="155" t="n">
        <v>730</v>
      </c>
      <c r="G236" s="257" t="n">
        <v>365</v>
      </c>
    </row>
    <row r="237" ht="14.25" customHeight="1" s="237">
      <c r="A237" s="120" t="n">
        <v>720</v>
      </c>
      <c r="B237" s="120" t="inlineStr">
        <is>
          <t>CP4278</t>
        </is>
      </c>
      <c r="C237" s="124" t="inlineStr">
        <is>
          <t>코코팜 포도238C 6X12</t>
        </is>
      </c>
      <c r="D237" s="256" t="n">
        <v>365</v>
      </c>
      <c r="E237" s="256" t="n">
        <v>365</v>
      </c>
      <c r="F237" s="155" t="n">
        <v>730</v>
      </c>
      <c r="G237" s="257" t="n">
        <v>365</v>
      </c>
    </row>
    <row r="238" ht="14.25" customHeight="1" s="237">
      <c r="A238" s="120" t="n">
        <v>669</v>
      </c>
      <c r="B238" s="120" t="inlineStr">
        <is>
          <t>CP4279</t>
        </is>
      </c>
      <c r="C238" s="124" t="inlineStr">
        <is>
          <t>코코팜 포도238CAN X24</t>
        </is>
      </c>
      <c r="D238" s="256" t="n">
        <v>365</v>
      </c>
      <c r="E238" s="256" t="n">
        <v>365</v>
      </c>
      <c r="F238" s="155" t="n">
        <v>730</v>
      </c>
      <c r="G238" s="257" t="n">
        <v>365</v>
      </c>
    </row>
    <row r="239" ht="14.25" customHeight="1" s="237">
      <c r="A239" s="120" t="n">
        <v>674</v>
      </c>
      <c r="B239" s="120" t="inlineStr">
        <is>
          <t>CP4280</t>
        </is>
      </c>
      <c r="C239" s="124" t="inlineStr">
        <is>
          <t>코코팜화이트240CAN X30</t>
        </is>
      </c>
      <c r="D239" s="256" t="n">
        <v>182.5</v>
      </c>
      <c r="E239" s="256" t="n">
        <v>182.5</v>
      </c>
      <c r="F239" s="155" t="n">
        <v>365</v>
      </c>
      <c r="G239" s="257" t="n">
        <v>182.5</v>
      </c>
    </row>
    <row r="240" ht="14.25" customHeight="1" s="237">
      <c r="A240" s="120" t="n">
        <v>676</v>
      </c>
      <c r="B240" s="120" t="inlineStr">
        <is>
          <t>CP4282</t>
        </is>
      </c>
      <c r="C240" s="124" t="inlineStr">
        <is>
          <t>코코팜화이트스쿨240CAN X30</t>
        </is>
      </c>
      <c r="D240" s="256" t="n">
        <v>183</v>
      </c>
      <c r="E240" s="256" t="n">
        <v>182.5</v>
      </c>
      <c r="F240" s="155" t="n">
        <v>365</v>
      </c>
      <c r="G240" s="257" t="n">
        <v>182</v>
      </c>
    </row>
    <row r="241" ht="14.25" customHeight="1" s="237">
      <c r="A241" s="120" t="n">
        <v>672</v>
      </c>
      <c r="B241" s="120" t="inlineStr">
        <is>
          <t>CP4283</t>
        </is>
      </c>
      <c r="C241" s="124" t="inlineStr">
        <is>
          <t>코코팜피치핑크240C X30</t>
        </is>
      </c>
      <c r="D241" s="256" t="n">
        <v>183</v>
      </c>
      <c r="E241" s="256" t="n">
        <v>182.5</v>
      </c>
      <c r="F241" s="155" t="n">
        <v>365</v>
      </c>
      <c r="G241" s="257" t="n">
        <v>182</v>
      </c>
    </row>
    <row r="242" ht="14.25" customHeight="1" s="237">
      <c r="A242" s="120" t="n">
        <v>4284</v>
      </c>
      <c r="B242" s="120" t="inlineStr">
        <is>
          <t>CP4284</t>
        </is>
      </c>
      <c r="C242" s="124" t="inlineStr">
        <is>
          <t>코코팜 피치핑크 스쿨 240CAN X30</t>
        </is>
      </c>
      <c r="D242" s="256" t="n">
        <v>183</v>
      </c>
      <c r="E242" s="256" t="n">
        <v>182.5</v>
      </c>
      <c r="F242" s="155" t="n">
        <v>365</v>
      </c>
      <c r="G242" s="257" t="n">
        <v>182</v>
      </c>
    </row>
    <row r="243" ht="14.25" customHeight="1" s="237">
      <c r="A243" s="126" t="n">
        <v>852</v>
      </c>
      <c r="B243" s="127" t="inlineStr">
        <is>
          <t>CP4303</t>
        </is>
      </c>
      <c r="C243" s="128" t="inlineStr">
        <is>
          <t>코코팜아이스티애플240C X30</t>
        </is>
      </c>
      <c r="D243" s="256" t="n">
        <v>183</v>
      </c>
      <c r="E243" s="256" t="n">
        <v>182.5</v>
      </c>
      <c r="F243" s="155" t="n">
        <v>365</v>
      </c>
      <c r="G243" s="257" t="n">
        <v>182</v>
      </c>
    </row>
    <row r="244" ht="14.25" customHeight="1" s="237">
      <c r="A244" s="126" t="n">
        <v>4614</v>
      </c>
      <c r="B244" s="127" t="inlineStr">
        <is>
          <t>CP4614</t>
        </is>
      </c>
      <c r="C244" s="128" t="inlineStr">
        <is>
          <t>코코팜 망고코넛 240CAN X30</t>
        </is>
      </c>
      <c r="D244" s="256" t="n">
        <v>183</v>
      </c>
      <c r="E244" s="256" t="n">
        <v>182.5</v>
      </c>
      <c r="F244" s="155" t="n">
        <v>365</v>
      </c>
      <c r="G244" s="257" t="n">
        <v>182</v>
      </c>
    </row>
    <row r="245" ht="14.25" customHeight="1" s="237">
      <c r="A245" s="120" t="n">
        <v>675</v>
      </c>
      <c r="B245" s="120" t="inlineStr">
        <is>
          <t>CP7631</t>
        </is>
      </c>
      <c r="C245" s="124" t="inlineStr">
        <is>
          <t>코코팜피치핑크스쿨240C X30</t>
        </is>
      </c>
      <c r="D245" s="256" t="n">
        <v>183</v>
      </c>
      <c r="E245" s="256" t="n">
        <v>182.5</v>
      </c>
      <c r="F245" s="155" t="n">
        <v>365</v>
      </c>
      <c r="G245" s="257" t="n">
        <v>182</v>
      </c>
    </row>
    <row r="246" ht="14.25" customHeight="1" s="237">
      <c r="A246" s="120" t="n">
        <v>797</v>
      </c>
      <c r="B246" s="120" t="inlineStr">
        <is>
          <t>CP7701</t>
        </is>
      </c>
      <c r="C246" s="124" t="inlineStr">
        <is>
          <t>코코팜피치핑크복숭300P X24</t>
        </is>
      </c>
      <c r="D246" s="256" t="n">
        <v>136.5</v>
      </c>
      <c r="E246" s="256" t="n">
        <v>136.5</v>
      </c>
      <c r="F246" s="155" t="n">
        <v>273</v>
      </c>
      <c r="G246" s="257" t="n">
        <v>136.5</v>
      </c>
    </row>
    <row r="247" ht="14.25" customHeight="1" s="237">
      <c r="A247" s="120" t="n">
        <v>695</v>
      </c>
      <c r="B247" s="120" t="inlineStr">
        <is>
          <t>CR4845</t>
        </is>
      </c>
      <c r="C247" s="124" t="inlineStr">
        <is>
          <t>크리미 250CAN X30</t>
        </is>
      </c>
      <c r="D247" s="256" t="n">
        <v>365</v>
      </c>
      <c r="E247" s="256" t="n">
        <v>365</v>
      </c>
      <c r="F247" s="155" t="n">
        <v>730</v>
      </c>
      <c r="G247" s="257" t="n">
        <v>365</v>
      </c>
    </row>
    <row r="248" ht="14.25" customHeight="1" s="237">
      <c r="A248" s="126" t="n">
        <v>4190</v>
      </c>
      <c r="B248" s="127" t="inlineStr">
        <is>
          <t>CT4190</t>
        </is>
      </c>
      <c r="C248" s="128" t="inlineStr">
        <is>
          <t>코크1.5P+슈웹스1.25P 6X2</t>
        </is>
      </c>
      <c r="D248" s="256" t="n">
        <v>122</v>
      </c>
      <c r="E248" s="256" t="n">
        <v>136.5</v>
      </c>
      <c r="F248" s="155" t="n">
        <v>273</v>
      </c>
      <c r="G248" s="257" t="n">
        <v>151</v>
      </c>
    </row>
    <row r="249" ht="14.25" customHeight="1" s="237">
      <c r="A249" s="126" t="n">
        <v>4486</v>
      </c>
      <c r="B249" s="127" t="inlineStr">
        <is>
          <t>CT4486</t>
        </is>
      </c>
      <c r="C249" s="128" t="inlineStr">
        <is>
          <t>코크+스프 롯마 1.5PET 6X2</t>
        </is>
      </c>
      <c r="D249" s="256" t="n">
        <v>98</v>
      </c>
      <c r="E249" s="256" t="n">
        <v>182.5</v>
      </c>
      <c r="F249" s="155" t="n">
        <v>365</v>
      </c>
      <c r="G249" s="257" t="n">
        <v>267</v>
      </c>
    </row>
    <row r="250" ht="14.25" customHeight="1" s="237">
      <c r="A250" s="120" t="n">
        <v>4487</v>
      </c>
      <c r="B250" s="120" t="inlineStr">
        <is>
          <t>CT4487</t>
        </is>
      </c>
      <c r="C250" s="124" t="inlineStr">
        <is>
          <t>코크환타오렌1.5L 6X2</t>
        </is>
      </c>
      <c r="D250" s="256" t="n">
        <v>98</v>
      </c>
      <c r="E250" s="256" t="n">
        <v>182.5</v>
      </c>
      <c r="F250" s="155" t="n">
        <v>365</v>
      </c>
      <c r="G250" s="257" t="n">
        <v>267</v>
      </c>
    </row>
    <row r="251" ht="14.25" customHeight="1" s="237">
      <c r="A251" s="120" t="n">
        <v>4488</v>
      </c>
      <c r="B251" s="120" t="inlineStr">
        <is>
          <t>CT4488</t>
        </is>
      </c>
      <c r="C251" s="124" t="inlineStr">
        <is>
          <t>코카콜라+스프1.5P 6X2</t>
        </is>
      </c>
      <c r="D251" s="256" t="n">
        <v>98</v>
      </c>
      <c r="E251" s="256" t="n">
        <v>182.5</v>
      </c>
      <c r="F251" s="155" t="n">
        <v>365</v>
      </c>
      <c r="G251" s="257" t="n">
        <v>267</v>
      </c>
    </row>
    <row r="252" ht="14.25" customHeight="1" s="237">
      <c r="A252" s="120" t="n">
        <v>4489</v>
      </c>
      <c r="B252" s="120" t="inlineStr">
        <is>
          <t>CT4489</t>
        </is>
      </c>
      <c r="C252" s="124" t="inlineStr">
        <is>
          <t>환타오렌+스프1.5P 6X2</t>
        </is>
      </c>
      <c r="D252" s="256" t="n">
        <v>98</v>
      </c>
      <c r="E252" s="256" t="n">
        <v>182.5</v>
      </c>
      <c r="F252" s="155" t="n">
        <v>365</v>
      </c>
      <c r="G252" s="257" t="n">
        <v>267</v>
      </c>
    </row>
    <row r="253" ht="14.25" customHeight="1" s="237">
      <c r="A253" s="120" t="n">
        <v>4494</v>
      </c>
      <c r="B253" s="120" t="inlineStr">
        <is>
          <t>CT4494</t>
        </is>
      </c>
      <c r="C253" s="124" t="inlineStr">
        <is>
          <t>코크+암바+스프1.5P 4X3</t>
        </is>
      </c>
      <c r="D253" s="256" t="n">
        <v>98</v>
      </c>
      <c r="E253" s="256" t="n">
        <v>182.5</v>
      </c>
      <c r="F253" s="155" t="n">
        <v>365</v>
      </c>
      <c r="G253" s="257" t="n">
        <v>267</v>
      </c>
    </row>
    <row r="254" ht="14.25" customHeight="1" s="237">
      <c r="A254" s="126" t="n">
        <v>4495</v>
      </c>
      <c r="B254" s="127" t="inlineStr">
        <is>
          <t>CT4495</t>
        </is>
      </c>
      <c r="C254" s="128" t="inlineStr">
        <is>
          <t>코크+스프+환타오렌지 390PET 8X3</t>
        </is>
      </c>
      <c r="D254" s="256" t="n">
        <v>98</v>
      </c>
      <c r="E254" s="256" t="n">
        <v>182.5</v>
      </c>
      <c r="F254" s="155" t="n">
        <v>365</v>
      </c>
      <c r="G254" s="257" t="n">
        <v>267</v>
      </c>
    </row>
    <row r="255" ht="14.25" customHeight="1" s="237">
      <c r="A255" s="120" t="n">
        <v>4501</v>
      </c>
      <c r="B255" s="120" t="inlineStr">
        <is>
          <t>CT4501</t>
        </is>
      </c>
      <c r="C255" s="124" t="inlineStr">
        <is>
          <t>코크+환타딸기1.5P 6X2</t>
        </is>
      </c>
      <c r="D255" s="256" t="n">
        <v>98</v>
      </c>
      <c r="E255" s="256" t="n">
        <v>182.5</v>
      </c>
      <c r="F255" s="155" t="n">
        <v>365</v>
      </c>
      <c r="G255" s="257" t="n">
        <v>267</v>
      </c>
    </row>
    <row r="256" ht="14.25" customHeight="1" s="237">
      <c r="A256" s="126" t="n">
        <v>4502</v>
      </c>
      <c r="B256" s="127" t="inlineStr">
        <is>
          <t>CT4502</t>
        </is>
      </c>
      <c r="C256" s="128" t="inlineStr">
        <is>
          <t>코카콜라＋암바사1.5P 6X2</t>
        </is>
      </c>
      <c r="D256" s="256" t="n">
        <v>98</v>
      </c>
      <c r="E256" s="256" t="n">
        <v>182.5</v>
      </c>
      <c r="F256" s="155" t="n">
        <v>365</v>
      </c>
      <c r="G256" s="257" t="n">
        <v>267</v>
      </c>
    </row>
    <row r="257" ht="14.25" customHeight="1" s="237">
      <c r="A257" s="120" t="n">
        <v>5618</v>
      </c>
      <c r="B257" s="120" t="inlineStr">
        <is>
          <t>CT5618</t>
        </is>
      </c>
      <c r="C257" s="124" t="inlineStr">
        <is>
          <t>코크환타오렌1.25P 6X2</t>
        </is>
      </c>
      <c r="D257" s="256" t="n">
        <v>98</v>
      </c>
      <c r="E257" s="256" t="n">
        <v>182.5</v>
      </c>
      <c r="F257" s="155" t="n">
        <v>365</v>
      </c>
      <c r="G257" s="257" t="n">
        <v>267</v>
      </c>
    </row>
    <row r="258" ht="14.25" customHeight="1" s="237">
      <c r="A258" s="120" t="n">
        <v>5731</v>
      </c>
      <c r="B258" s="120" t="inlineStr">
        <is>
          <t>CT5731</t>
        </is>
      </c>
      <c r="C258" s="124" t="inlineStr">
        <is>
          <t>코크2+스프2300P 6X4</t>
        </is>
      </c>
      <c r="D258" s="256" t="n">
        <v>70</v>
      </c>
      <c r="E258" s="256" t="n">
        <v>182.5</v>
      </c>
      <c r="F258" s="155" t="n">
        <v>365</v>
      </c>
      <c r="G258" s="257" t="n">
        <v>295</v>
      </c>
    </row>
    <row r="259" ht="14.25" customHeight="1" s="237">
      <c r="A259" s="126" t="n">
        <v>5751</v>
      </c>
      <c r="B259" s="127" t="inlineStr">
        <is>
          <t>CT5751</t>
        </is>
      </c>
      <c r="C259" s="128" t="inlineStr">
        <is>
          <t>코크12+스프12+환타6 210CAN X30</t>
        </is>
      </c>
      <c r="D259" s="256" t="n">
        <v>140</v>
      </c>
      <c r="E259" s="256" t="n">
        <v>365</v>
      </c>
      <c r="F259" s="155" t="n">
        <v>730</v>
      </c>
      <c r="G259" s="257" t="n">
        <v>590</v>
      </c>
    </row>
    <row r="260" ht="14.25" customHeight="1" s="237">
      <c r="A260" s="120" t="n">
        <v>6974</v>
      </c>
      <c r="B260" s="120" t="inlineStr">
        <is>
          <t>CT6974</t>
        </is>
      </c>
      <c r="C260" s="124" t="inlineStr">
        <is>
          <t>코크+코크+환오1.25P 4X3</t>
        </is>
      </c>
      <c r="D260" s="256" t="n">
        <v>98</v>
      </c>
      <c r="E260" s="256" t="n">
        <v>182.5</v>
      </c>
      <c r="F260" s="155" t="n">
        <v>365</v>
      </c>
      <c r="G260" s="257" t="n">
        <v>267</v>
      </c>
    </row>
    <row r="261" ht="14.25" customHeight="1" s="237">
      <c r="A261" s="126" t="n">
        <v>7360</v>
      </c>
      <c r="B261" s="127" t="inlineStr">
        <is>
          <t>CT7360</t>
        </is>
      </c>
      <c r="C261" s="128" t="inlineStr">
        <is>
          <t>코크+스프라이트 1.25PET 6X2</t>
        </is>
      </c>
      <c r="D261" s="256" t="n">
        <v>98</v>
      </c>
      <c r="E261" s="256" t="n">
        <v>182.5</v>
      </c>
      <c r="F261" s="155" t="n">
        <v>365</v>
      </c>
      <c r="G261" s="257" t="n">
        <v>267</v>
      </c>
    </row>
    <row r="262" ht="14.25" customHeight="1" s="237">
      <c r="A262" s="120" t="n">
        <v>7396</v>
      </c>
      <c r="B262" s="120" t="inlineStr">
        <is>
          <t>CT7396</t>
        </is>
      </c>
      <c r="C262" s="124" t="inlineStr">
        <is>
          <t>COKE+AMBASA+DK 1.5P 4X3</t>
        </is>
      </c>
      <c r="D262" s="256" t="n">
        <v>98</v>
      </c>
      <c r="E262" s="256" t="n">
        <v>182.5</v>
      </c>
      <c r="F262" s="155" t="n">
        <v>365</v>
      </c>
      <c r="G262" s="257" t="n">
        <v>267</v>
      </c>
    </row>
    <row r="263" ht="14.25" customHeight="1" s="237">
      <c r="A263" s="120" t="n">
        <v>8442</v>
      </c>
      <c r="B263" s="120" t="inlineStr">
        <is>
          <t>CT8442</t>
        </is>
      </c>
      <c r="C263" s="124" t="inlineStr">
        <is>
          <t>코크-킨번들1.5PET 6X2</t>
        </is>
      </c>
      <c r="D263" s="256" t="n">
        <v>98</v>
      </c>
      <c r="E263" s="256" t="n">
        <v>182.5</v>
      </c>
      <c r="F263" s="155" t="n">
        <v>365</v>
      </c>
      <c r="G263" s="257" t="n">
        <v>267</v>
      </c>
    </row>
    <row r="264" ht="14.25" customHeight="1" s="237">
      <c r="A264" s="126" t="n">
        <v>8450</v>
      </c>
      <c r="B264" s="120" t="inlineStr">
        <is>
          <t>CT8450</t>
        </is>
      </c>
      <c r="C264" s="128" t="inlineStr">
        <is>
          <t>코크＋스프　1.8PET 6X2</t>
        </is>
      </c>
      <c r="D264" s="256" t="n">
        <v>84</v>
      </c>
      <c r="E264" s="256" t="n">
        <v>182.5</v>
      </c>
      <c r="F264" s="155" t="n">
        <v>365</v>
      </c>
      <c r="G264" s="257" t="n">
        <v>281</v>
      </c>
    </row>
    <row r="265" ht="14.25" customHeight="1" s="237">
      <c r="A265" s="126" t="n">
        <v>8451</v>
      </c>
      <c r="B265" s="127" t="inlineStr">
        <is>
          <t>CT8451</t>
        </is>
      </c>
      <c r="C265" s="128" t="inlineStr">
        <is>
          <t>코크+환타오렌지 1.8PET 6X2</t>
        </is>
      </c>
      <c r="D265" s="256" t="n">
        <v>84</v>
      </c>
      <c r="E265" s="256" t="n">
        <v>182.5</v>
      </c>
      <c r="F265" s="155" t="n">
        <v>365</v>
      </c>
      <c r="G265" s="257" t="n">
        <v>281</v>
      </c>
    </row>
    <row r="266" ht="14.25" customHeight="1" s="237">
      <c r="A266" s="126" t="n">
        <v>8453</v>
      </c>
      <c r="B266" s="127" t="inlineStr">
        <is>
          <t>CC8453</t>
        </is>
      </c>
      <c r="C266" s="128" t="inlineStr">
        <is>
          <t>코크제로 드림월드 355CAN 4X6</t>
        </is>
      </c>
      <c r="D266" s="256" t="n">
        <v>84</v>
      </c>
      <c r="E266" s="256" t="n">
        <v>182.5</v>
      </c>
      <c r="F266" s="155" t="n">
        <v>365</v>
      </c>
      <c r="G266" s="257" t="n">
        <v>281</v>
      </c>
    </row>
    <row r="267" ht="14.25" customHeight="1" s="237">
      <c r="A267" s="120" t="n">
        <v>437</v>
      </c>
      <c r="B267" s="120" t="inlineStr">
        <is>
          <t>DP0437</t>
        </is>
      </c>
      <c r="C267" s="124" t="inlineStr">
        <is>
          <t>닥터 페퍼 250CAN X30</t>
        </is>
      </c>
      <c r="D267" s="256" t="n">
        <v>365</v>
      </c>
      <c r="E267" s="256" t="n">
        <v>365</v>
      </c>
      <c r="F267" s="155" t="n">
        <v>730</v>
      </c>
      <c r="G267" s="257" t="n">
        <v>365</v>
      </c>
    </row>
    <row r="268" ht="14.25" customHeight="1" s="237">
      <c r="A268" s="120" t="n">
        <v>7984</v>
      </c>
      <c r="B268" s="120" t="inlineStr">
        <is>
          <t>DP7984</t>
        </is>
      </c>
      <c r="C268" s="124" t="inlineStr">
        <is>
          <t>닥터 페퍼 355CAN X24</t>
        </is>
      </c>
      <c r="D268" s="256" t="n">
        <v>365</v>
      </c>
      <c r="E268" s="256" t="n">
        <v>365</v>
      </c>
      <c r="F268" s="155" t="n">
        <v>730</v>
      </c>
      <c r="G268" s="257" t="n">
        <v>365</v>
      </c>
    </row>
    <row r="269" ht="14.25" customHeight="1" s="237">
      <c r="A269" s="167" t="n">
        <v>7988</v>
      </c>
      <c r="B269" s="167" t="inlineStr">
        <is>
          <t>DP7988</t>
        </is>
      </c>
      <c r="C269" s="168" t="inlineStr">
        <is>
          <t>닥터페퍼 500PET 4X6</t>
        </is>
      </c>
      <c r="D269" s="262" t="n">
        <v>183</v>
      </c>
      <c r="E269" s="262" t="n">
        <v>182.5</v>
      </c>
      <c r="F269" s="168" t="n">
        <v>365</v>
      </c>
      <c r="G269" s="263" t="n">
        <v>182</v>
      </c>
    </row>
    <row r="270" ht="14.25" customHeight="1" s="237">
      <c r="A270" s="120" t="n">
        <v>64</v>
      </c>
      <c r="B270" s="120" t="inlineStr">
        <is>
          <t>FT0067</t>
        </is>
      </c>
      <c r="C270" s="124" t="inlineStr">
        <is>
          <t>M&amp;P)환타오렌지1.25P X12</t>
        </is>
      </c>
      <c r="D270" s="256" t="n">
        <v>98</v>
      </c>
      <c r="E270" s="256" t="n">
        <v>182.5</v>
      </c>
      <c r="F270" s="155" t="n">
        <v>365</v>
      </c>
      <c r="G270" s="257" t="n">
        <v>267</v>
      </c>
    </row>
    <row r="271" ht="14.25" customHeight="1" s="237">
      <c r="A271" s="120" t="n">
        <v>67</v>
      </c>
      <c r="B271" s="120" t="inlineStr">
        <is>
          <t>FT0067</t>
        </is>
      </c>
      <c r="C271" s="124" t="inlineStr">
        <is>
          <t>환타오렌지 1.25PET X12</t>
        </is>
      </c>
      <c r="D271" s="256" t="n">
        <v>98</v>
      </c>
      <c r="E271" s="256" t="n">
        <v>182.5</v>
      </c>
      <c r="F271" s="155" t="n">
        <v>365</v>
      </c>
      <c r="G271" s="257" t="n">
        <v>267</v>
      </c>
    </row>
    <row r="272" ht="14.25" customHeight="1" s="237">
      <c r="A272" s="126" t="n">
        <v>2281</v>
      </c>
      <c r="B272" s="120" t="inlineStr">
        <is>
          <t>FT2281</t>
        </is>
      </c>
      <c r="C272" s="128" t="inlineStr">
        <is>
          <t>환타오렌지SSP 355C X24</t>
        </is>
      </c>
      <c r="D272" s="256" t="n">
        <v>365</v>
      </c>
      <c r="E272" s="256" t="n">
        <v>365</v>
      </c>
      <c r="F272" s="155" t="n">
        <v>730</v>
      </c>
      <c r="G272" s="257" t="n">
        <v>365</v>
      </c>
    </row>
    <row r="273" ht="14.25" customHeight="1" s="237">
      <c r="A273" s="126" t="n">
        <v>2282</v>
      </c>
      <c r="B273" s="120" t="inlineStr">
        <is>
          <t>FT2282</t>
        </is>
      </c>
      <c r="C273" s="128" t="inlineStr">
        <is>
          <t>환타　파인SSP 355C X24</t>
        </is>
      </c>
      <c r="D273" s="256" t="n">
        <v>365</v>
      </c>
      <c r="E273" s="256" t="n">
        <v>365</v>
      </c>
      <c r="F273" s="155" t="n">
        <v>730</v>
      </c>
      <c r="G273" s="257" t="n">
        <v>365</v>
      </c>
    </row>
    <row r="274" ht="14.25" customHeight="1" s="237">
      <c r="A274" s="126" t="n">
        <v>2283</v>
      </c>
      <c r="B274" s="120" t="inlineStr">
        <is>
          <t>FT2283</t>
        </is>
      </c>
      <c r="C274" s="128" t="inlineStr">
        <is>
          <t>환타　포도SSP 355C X24</t>
        </is>
      </c>
      <c r="D274" s="256" t="n">
        <v>365</v>
      </c>
      <c r="E274" s="256" t="n">
        <v>365</v>
      </c>
      <c r="F274" s="155" t="n">
        <v>730</v>
      </c>
      <c r="G274" s="257" t="n">
        <v>365</v>
      </c>
    </row>
    <row r="275" ht="14.25" customHeight="1" s="237">
      <c r="A275" s="120" t="n">
        <v>2431</v>
      </c>
      <c r="B275" s="120" t="inlineStr">
        <is>
          <t>FT2431</t>
        </is>
      </c>
      <c r="C275" s="124" t="inlineStr">
        <is>
          <t>환타오렌지 185CAN X30</t>
        </is>
      </c>
      <c r="D275" s="256" t="n">
        <v>365</v>
      </c>
      <c r="E275" s="256" t="n">
        <v>365</v>
      </c>
      <c r="F275" s="155" t="n">
        <v>730</v>
      </c>
      <c r="G275" s="257" t="n">
        <v>365</v>
      </c>
    </row>
    <row r="276" ht="14.25" customHeight="1" s="237">
      <c r="A276" s="120" t="n">
        <v>2441</v>
      </c>
      <c r="B276" s="120" t="inlineStr">
        <is>
          <t>FT2441</t>
        </is>
      </c>
      <c r="C276" s="124" t="inlineStr">
        <is>
          <t>환타오렌지 185CAN 5X6</t>
        </is>
      </c>
      <c r="D276" s="256" t="n">
        <v>365</v>
      </c>
      <c r="E276" s="256" t="n">
        <v>365</v>
      </c>
      <c r="F276" s="155" t="n">
        <v>730</v>
      </c>
      <c r="G276" s="257" t="n">
        <v>365</v>
      </c>
    </row>
    <row r="277" ht="14.25" customHeight="1" s="237">
      <c r="A277" s="120" t="n">
        <v>2445</v>
      </c>
      <c r="B277" s="120" t="inlineStr">
        <is>
          <t>FT2445</t>
        </is>
      </c>
      <c r="C277" s="124" t="inlineStr">
        <is>
          <t>환타오렌지185C 5X6(4+2)</t>
        </is>
      </c>
      <c r="D277" s="256" t="n">
        <v>365</v>
      </c>
      <c r="E277" s="256" t="n">
        <v>365</v>
      </c>
      <c r="F277" s="155" t="n">
        <v>730</v>
      </c>
      <c r="G277" s="257" t="n">
        <v>365</v>
      </c>
    </row>
    <row r="278" ht="14.25" customHeight="1" s="237">
      <c r="A278" s="120" t="n">
        <v>2448</v>
      </c>
      <c r="B278" s="120" t="inlineStr">
        <is>
          <t>FT2448</t>
        </is>
      </c>
      <c r="C278" s="124" t="inlineStr">
        <is>
          <t>홈플)환타오렌지185C X30</t>
        </is>
      </c>
      <c r="D278" s="256" t="n">
        <v>365</v>
      </c>
      <c r="E278" s="256" t="n">
        <v>365</v>
      </c>
      <c r="F278" s="155" t="n">
        <v>730</v>
      </c>
      <c r="G278" s="257" t="n">
        <v>365</v>
      </c>
    </row>
    <row r="279" ht="14.25" customHeight="1" s="237">
      <c r="A279" s="126" t="n">
        <v>3214</v>
      </c>
      <c r="B279" s="127" t="inlineStr">
        <is>
          <t>FT3214</t>
        </is>
      </c>
      <c r="C279" s="128" t="inlineStr">
        <is>
          <t>암바사 by 환타 345CAN 4X6</t>
        </is>
      </c>
      <c r="D279" s="256" t="n">
        <v>84</v>
      </c>
      <c r="E279" s="256" t="n">
        <v>182.5</v>
      </c>
      <c r="F279" s="155" t="n">
        <v>365</v>
      </c>
      <c r="G279" s="257" t="n">
        <v>281</v>
      </c>
    </row>
    <row r="280" ht="14.25" customHeight="1" s="237">
      <c r="A280" s="120" t="n">
        <v>4173</v>
      </c>
      <c r="B280" s="120" t="inlineStr">
        <is>
          <t>FT4173</t>
        </is>
      </c>
      <c r="C280" s="124" t="inlineStr">
        <is>
          <t>환타 오렌지245CAN X24</t>
        </is>
      </c>
      <c r="D280" s="256" t="n">
        <v>365</v>
      </c>
      <c r="E280" s="256" t="n">
        <v>365</v>
      </c>
      <c r="F280" s="155" t="n">
        <v>730</v>
      </c>
      <c r="G280" s="257" t="n">
        <v>365</v>
      </c>
    </row>
    <row r="281" ht="14.25" customHeight="1" s="237">
      <c r="A281" s="120" t="n">
        <v>4175</v>
      </c>
      <c r="B281" s="120" t="inlineStr">
        <is>
          <t>FT4175</t>
        </is>
      </c>
      <c r="C281" s="124" t="inlineStr">
        <is>
          <t>환타 오렌지245CAN 3X8</t>
        </is>
      </c>
      <c r="D281" s="256" t="n">
        <v>365</v>
      </c>
      <c r="E281" s="256" t="n">
        <v>365</v>
      </c>
      <c r="F281" s="155" t="n">
        <v>730</v>
      </c>
      <c r="G281" s="257" t="n">
        <v>365</v>
      </c>
    </row>
    <row r="282" ht="14.25" customHeight="1" s="237">
      <c r="A282" s="120" t="n">
        <v>4551</v>
      </c>
      <c r="B282" s="120" t="inlineStr">
        <is>
          <t>FT4551</t>
        </is>
      </c>
      <c r="C282" s="124" t="inlineStr">
        <is>
          <t>환타 포도 1.5PET X12</t>
        </is>
      </c>
      <c r="D282" s="256" t="n">
        <v>98</v>
      </c>
      <c r="E282" s="256" t="n">
        <v>182.5</v>
      </c>
      <c r="F282" s="155" t="n">
        <v>365</v>
      </c>
      <c r="G282" s="257" t="n">
        <v>267</v>
      </c>
    </row>
    <row r="283" ht="14.25" customHeight="1" s="237">
      <c r="A283" s="120" t="n">
        <v>4577</v>
      </c>
      <c r="B283" s="120" t="inlineStr">
        <is>
          <t>FT4577</t>
        </is>
      </c>
      <c r="C283" s="124" t="inlineStr">
        <is>
          <t>환타 포도 10LBIB PMX</t>
        </is>
      </c>
      <c r="D283" s="256" t="n">
        <v>75</v>
      </c>
      <c r="E283" s="256" t="n">
        <v>91.5</v>
      </c>
      <c r="F283" s="155" t="n">
        <v>183</v>
      </c>
      <c r="G283" s="257" t="n">
        <v>108</v>
      </c>
    </row>
    <row r="284" ht="14.25" customHeight="1" s="237">
      <c r="A284" s="120" t="n">
        <v>4823</v>
      </c>
      <c r="B284" s="120" t="inlineStr">
        <is>
          <t>FT4823</t>
        </is>
      </c>
      <c r="C284" s="124" t="inlineStr">
        <is>
          <t>환타오렌지250CAN 5X6 M</t>
        </is>
      </c>
      <c r="D284" s="256" t="n">
        <v>365</v>
      </c>
      <c r="E284" s="256" t="n">
        <v>365</v>
      </c>
      <c r="F284" s="155" t="n">
        <v>730</v>
      </c>
      <c r="G284" s="257" t="n">
        <v>365</v>
      </c>
    </row>
    <row r="285" ht="14.25" customHeight="1" s="237">
      <c r="A285" s="120" t="n">
        <v>4831</v>
      </c>
      <c r="B285" s="120" t="inlineStr">
        <is>
          <t>FT4831</t>
        </is>
      </c>
      <c r="C285" s="124" t="inlineStr">
        <is>
          <t>M&amp;P)환타오렌지210CAN 5X6</t>
        </is>
      </c>
      <c r="D285" s="256" t="n">
        <v>365</v>
      </c>
      <c r="E285" s="256" t="n">
        <v>365</v>
      </c>
      <c r="F285" s="155" t="n">
        <v>730</v>
      </c>
      <c r="G285" s="257" t="n">
        <v>365</v>
      </c>
    </row>
    <row r="286" ht="14.25" customHeight="1" s="237">
      <c r="A286" s="120" t="n">
        <v>4858</v>
      </c>
      <c r="B286" s="120" t="inlineStr">
        <is>
          <t>FT4858</t>
        </is>
      </c>
      <c r="C286" s="124" t="inlineStr">
        <is>
          <t>환타오렌SSP 210CAN X30</t>
        </is>
      </c>
      <c r="D286" s="256" t="n">
        <v>365</v>
      </c>
      <c r="E286" s="256" t="n">
        <v>365</v>
      </c>
      <c r="F286" s="155" t="n">
        <v>730</v>
      </c>
      <c r="G286" s="257" t="n">
        <v>365</v>
      </c>
    </row>
    <row r="287" ht="14.25" customHeight="1" s="237">
      <c r="A287" s="120" t="n">
        <v>4862</v>
      </c>
      <c r="B287" s="120" t="inlineStr">
        <is>
          <t>FT4862</t>
        </is>
      </c>
      <c r="C287" s="124" t="inlineStr">
        <is>
          <t>환타오렌지 210CAN 5X6</t>
        </is>
      </c>
      <c r="D287" s="256" t="n">
        <v>365</v>
      </c>
      <c r="E287" s="256" t="n">
        <v>365</v>
      </c>
      <c r="F287" s="155" t="n">
        <v>730</v>
      </c>
      <c r="G287" s="257" t="n">
        <v>365</v>
      </c>
    </row>
    <row r="288" ht="14.25" customHeight="1" s="237">
      <c r="A288" s="120" t="n">
        <v>4908</v>
      </c>
      <c r="B288" s="120" t="inlineStr">
        <is>
          <t>FT4908</t>
        </is>
      </c>
      <c r="C288" s="124" t="inlineStr">
        <is>
          <t>환타 포도 250CAN X30</t>
        </is>
      </c>
      <c r="D288" s="256" t="n">
        <v>365</v>
      </c>
      <c r="E288" s="256" t="n">
        <v>365</v>
      </c>
      <c r="F288" s="155" t="n">
        <v>730</v>
      </c>
      <c r="G288" s="257" t="n">
        <v>365</v>
      </c>
    </row>
    <row r="289" ht="14.25" customHeight="1" s="237">
      <c r="A289" s="120" t="n">
        <v>4943</v>
      </c>
      <c r="B289" s="120" t="inlineStr">
        <is>
          <t>FT4943</t>
        </is>
      </c>
      <c r="C289" s="124" t="inlineStr">
        <is>
          <t>환타 오렌지250CAN X30</t>
        </is>
      </c>
      <c r="D289" s="256" t="n">
        <v>365</v>
      </c>
      <c r="E289" s="256" t="n">
        <v>365</v>
      </c>
      <c r="F289" s="155" t="n">
        <v>730</v>
      </c>
      <c r="G289" s="257" t="n">
        <v>365</v>
      </c>
    </row>
    <row r="290" ht="14.25" customHeight="1" s="237">
      <c r="A290" s="120" t="n">
        <v>4945</v>
      </c>
      <c r="B290" s="120" t="inlineStr">
        <is>
          <t>FT4945</t>
        </is>
      </c>
      <c r="C290" s="124" t="inlineStr">
        <is>
          <t>환타 오렌지355CAN X24</t>
        </is>
      </c>
      <c r="D290" s="256" t="n">
        <v>365</v>
      </c>
      <c r="E290" s="256" t="n">
        <v>365</v>
      </c>
      <c r="F290" s="155" t="n">
        <v>730</v>
      </c>
      <c r="G290" s="257" t="n">
        <v>365</v>
      </c>
    </row>
    <row r="291" ht="14.25" customHeight="1" s="237">
      <c r="A291" s="120" t="n">
        <v>4947</v>
      </c>
      <c r="B291" s="120" t="inlineStr">
        <is>
          <t>FT4947</t>
        </is>
      </c>
      <c r="C291" s="124" t="inlineStr">
        <is>
          <t>환타오렌EDLP 355C 4X6</t>
        </is>
      </c>
      <c r="D291" s="256" t="n">
        <v>365</v>
      </c>
      <c r="E291" s="256" t="n">
        <v>365</v>
      </c>
      <c r="F291" s="155" t="n">
        <v>730</v>
      </c>
      <c r="G291" s="257" t="n">
        <v>365</v>
      </c>
    </row>
    <row r="292" ht="14.25" customHeight="1" s="237">
      <c r="A292" s="120" t="n">
        <v>4177</v>
      </c>
      <c r="B292" s="120" t="inlineStr">
        <is>
          <t>FT4177</t>
        </is>
      </c>
      <c r="C292" s="124" t="inlineStr">
        <is>
          <t>S)환타 오렌지 350CAN 4X6</t>
        </is>
      </c>
      <c r="D292" s="256" t="n">
        <v>365</v>
      </c>
      <c r="E292" s="256" t="n">
        <v>365</v>
      </c>
      <c r="F292" s="155" t="n">
        <v>730</v>
      </c>
      <c r="G292" s="257" t="n">
        <v>365</v>
      </c>
    </row>
    <row r="293" ht="14.25" customHeight="1" s="237">
      <c r="A293" s="120" t="n">
        <v>2536</v>
      </c>
      <c r="B293" s="120" t="inlineStr">
        <is>
          <t>FT2536</t>
        </is>
      </c>
      <c r="C293" s="124" t="inlineStr">
        <is>
          <t>환타 제로 오렌지 355CAN 4X6</t>
        </is>
      </c>
      <c r="D293" s="256" t="n">
        <v>183</v>
      </c>
      <c r="E293" s="256" t="n">
        <v>182.5</v>
      </c>
      <c r="F293" s="155" t="n">
        <v>365</v>
      </c>
      <c r="G293" s="257" t="n">
        <v>182</v>
      </c>
    </row>
    <row r="294" ht="14.25" customHeight="1" s="237">
      <c r="A294" s="120" t="n">
        <v>4182</v>
      </c>
      <c r="B294" s="120" t="inlineStr">
        <is>
          <t>FT4182</t>
        </is>
      </c>
      <c r="C294" s="124" t="inlineStr">
        <is>
          <t>환타 제로 오렌지 350CAN 4X6</t>
        </is>
      </c>
      <c r="D294" s="256" t="n">
        <v>183</v>
      </c>
      <c r="E294" s="256" t="n">
        <v>182.5</v>
      </c>
      <c r="F294" s="155" t="n">
        <v>365</v>
      </c>
      <c r="G294" s="257" t="n">
        <v>182</v>
      </c>
    </row>
    <row r="295" ht="14.25" customHeight="1" s="237">
      <c r="A295" s="120" t="n">
        <v>2534</v>
      </c>
      <c r="B295" s="120" t="inlineStr">
        <is>
          <t>FT2534</t>
        </is>
      </c>
      <c r="C295" s="124" t="inlineStr">
        <is>
          <t>환타 제로 파인 355CAN 4X6</t>
        </is>
      </c>
      <c r="D295" s="256" t="n">
        <v>183</v>
      </c>
      <c r="E295" s="256" t="n">
        <v>182.5</v>
      </c>
      <c r="F295" s="155" t="n">
        <v>365</v>
      </c>
      <c r="G295" s="257" t="n">
        <v>182</v>
      </c>
    </row>
    <row r="296" ht="14.25" customHeight="1" s="237">
      <c r="A296" s="120" t="inlineStr">
        <is>
          <t>FT4181</t>
        </is>
      </c>
      <c r="B296" s="120" t="inlineStr">
        <is>
          <t>FT4181</t>
        </is>
      </c>
      <c r="C296" s="124" t="inlineStr">
        <is>
          <t>환타 제로 파인 350CAN 4X6</t>
        </is>
      </c>
      <c r="D296" s="256" t="n">
        <v>183</v>
      </c>
      <c r="E296" s="256" t="n">
        <v>182.5</v>
      </c>
      <c r="F296" s="155" t="n">
        <v>365</v>
      </c>
      <c r="G296" s="257" t="n">
        <v>182</v>
      </c>
    </row>
    <row r="297" ht="14.25" customHeight="1" s="237">
      <c r="A297" s="120" t="n">
        <v>4949</v>
      </c>
      <c r="B297" s="120" t="inlineStr">
        <is>
          <t>FT4949</t>
        </is>
      </c>
      <c r="C297" s="124" t="inlineStr">
        <is>
          <t>환타파인업소용355C X24</t>
        </is>
      </c>
      <c r="D297" s="256" t="n">
        <v>365</v>
      </c>
      <c r="E297" s="256" t="n">
        <v>365</v>
      </c>
      <c r="F297" s="155" t="n">
        <v>730</v>
      </c>
      <c r="G297" s="257" t="n">
        <v>365</v>
      </c>
    </row>
    <row r="298" ht="14.25" customHeight="1" s="237">
      <c r="A298" s="120" t="n">
        <v>4950</v>
      </c>
      <c r="B298" s="120" t="inlineStr">
        <is>
          <t>FT4950</t>
        </is>
      </c>
      <c r="C298" s="124" t="inlineStr">
        <is>
          <t>환타 파인 355CAN X24</t>
        </is>
      </c>
      <c r="D298" s="256" t="n">
        <v>365</v>
      </c>
      <c r="E298" s="256" t="n">
        <v>365</v>
      </c>
      <c r="F298" s="155" t="n">
        <v>730</v>
      </c>
      <c r="G298" s="257" t="n">
        <v>365</v>
      </c>
    </row>
    <row r="299" ht="14.25" customHeight="1" s="237">
      <c r="A299" s="120" t="n">
        <v>4951</v>
      </c>
      <c r="B299" s="120" t="inlineStr">
        <is>
          <t>FT4951</t>
        </is>
      </c>
      <c r="C299" s="124" t="inlineStr">
        <is>
          <t>S)환타 파인355CAN 4X6</t>
        </is>
      </c>
      <c r="D299" s="256" t="n">
        <v>365</v>
      </c>
      <c r="E299" s="256" t="n">
        <v>365</v>
      </c>
      <c r="F299" s="155" t="n">
        <v>730</v>
      </c>
      <c r="G299" s="257" t="n">
        <v>365</v>
      </c>
    </row>
    <row r="300" ht="14.25" customHeight="1" s="237">
      <c r="A300" s="126" t="n">
        <v>5101</v>
      </c>
      <c r="B300" s="127" t="inlineStr">
        <is>
          <t>FT5101</t>
        </is>
      </c>
      <c r="C300" s="128" t="inlineStr">
        <is>
          <t>환타오렌지 1.8P X12</t>
        </is>
      </c>
      <c r="D300" s="256" t="n">
        <v>98</v>
      </c>
      <c r="E300" s="256" t="n">
        <v>182.5</v>
      </c>
      <c r="F300" s="155" t="n">
        <v>365</v>
      </c>
      <c r="G300" s="257" t="n">
        <v>267</v>
      </c>
    </row>
    <row r="301" ht="14.25" customHeight="1" s="237">
      <c r="A301" s="126" t="n">
        <v>5102</v>
      </c>
      <c r="B301" s="127" t="inlineStr">
        <is>
          <t>FT5102</t>
        </is>
      </c>
      <c r="C301" s="128" t="inlineStr">
        <is>
          <t>환타파인애플 1.8P X12</t>
        </is>
      </c>
      <c r="D301" s="256" t="n">
        <v>98</v>
      </c>
      <c r="E301" s="256" t="n">
        <v>182.5</v>
      </c>
      <c r="F301" s="155" t="n">
        <v>365</v>
      </c>
      <c r="G301" s="257" t="n">
        <v>267</v>
      </c>
    </row>
    <row r="302" ht="14.25" customHeight="1" s="237">
      <c r="A302" s="126" t="n">
        <v>5177</v>
      </c>
      <c r="B302" s="120" t="inlineStr">
        <is>
          <t>FT5177</t>
        </is>
      </c>
      <c r="C302" s="128" t="inlineStr">
        <is>
          <t>환타오렌지　390PET X24</t>
        </is>
      </c>
      <c r="D302" s="256" t="n">
        <v>84</v>
      </c>
      <c r="E302" s="256" t="n">
        <v>182.5</v>
      </c>
      <c r="F302" s="155" t="n">
        <v>365</v>
      </c>
      <c r="G302" s="257" t="n">
        <v>281</v>
      </c>
    </row>
    <row r="303" ht="14.25" customHeight="1" s="237">
      <c r="A303" s="120" t="n">
        <v>5309</v>
      </c>
      <c r="B303" s="120" t="inlineStr">
        <is>
          <t>FT5309</t>
        </is>
      </c>
      <c r="C303" s="124" t="inlineStr">
        <is>
          <t>환타 파인 250CAN X30</t>
        </is>
      </c>
      <c r="D303" s="256" t="n">
        <v>365</v>
      </c>
      <c r="E303" s="256" t="n">
        <v>365</v>
      </c>
      <c r="F303" s="155" t="n">
        <v>730</v>
      </c>
      <c r="G303" s="257" t="n">
        <v>365</v>
      </c>
    </row>
    <row r="304" ht="14.25" customHeight="1" s="237">
      <c r="A304" s="120" t="n">
        <v>5312</v>
      </c>
      <c r="B304" s="120" t="inlineStr">
        <is>
          <t>FT5312</t>
        </is>
      </c>
      <c r="C304" s="124" t="inlineStr">
        <is>
          <t>환타 파인 250CAN 5X6</t>
        </is>
      </c>
      <c r="D304" s="256" t="n">
        <v>365</v>
      </c>
      <c r="E304" s="256" t="n">
        <v>365</v>
      </c>
      <c r="F304" s="155" t="n">
        <v>730</v>
      </c>
      <c r="G304" s="257" t="n">
        <v>365</v>
      </c>
    </row>
    <row r="305" ht="14.25" customHeight="1" s="237">
      <c r="A305" s="120" t="n">
        <v>5713</v>
      </c>
      <c r="B305" s="120" t="inlineStr">
        <is>
          <t>FT5713</t>
        </is>
      </c>
      <c r="C305" s="124" t="inlineStr">
        <is>
          <t>환타 오렌지300PET X24</t>
        </is>
      </c>
      <c r="D305" s="256" t="n">
        <v>70</v>
      </c>
      <c r="E305" s="256" t="n">
        <v>182.5</v>
      </c>
      <c r="F305" s="155" t="n">
        <v>365</v>
      </c>
      <c r="G305" s="257" t="n">
        <v>295</v>
      </c>
    </row>
    <row r="306" ht="14.25" customHeight="1" s="237">
      <c r="A306" s="120" t="n">
        <v>5715</v>
      </c>
      <c r="B306" s="120" t="inlineStr">
        <is>
          <t>FT5715</t>
        </is>
      </c>
      <c r="C306" s="124" t="inlineStr">
        <is>
          <t>환타 파인 300PET X24</t>
        </is>
      </c>
      <c r="D306" s="256" t="n">
        <v>70</v>
      </c>
      <c r="E306" s="256" t="n">
        <v>182.5</v>
      </c>
      <c r="F306" s="155" t="n">
        <v>365</v>
      </c>
      <c r="G306" s="257" t="n">
        <v>295</v>
      </c>
    </row>
    <row r="307" ht="14.25" customHeight="1" s="237">
      <c r="A307" s="120" t="n">
        <v>5719</v>
      </c>
      <c r="B307" s="120" t="inlineStr">
        <is>
          <t>FT5719</t>
        </is>
      </c>
      <c r="C307" s="124" t="inlineStr">
        <is>
          <t>환타오렌지소분300P 4X6</t>
        </is>
      </c>
      <c r="D307" s="256" t="n">
        <v>70</v>
      </c>
      <c r="E307" s="256" t="n">
        <v>182.5</v>
      </c>
      <c r="F307" s="155" t="n">
        <v>365</v>
      </c>
      <c r="G307" s="257" t="n">
        <v>295</v>
      </c>
    </row>
    <row r="308" ht="14.25" customHeight="1" s="237">
      <c r="A308" s="120" t="n">
        <v>5734</v>
      </c>
      <c r="B308" s="120" t="inlineStr">
        <is>
          <t>FT5734</t>
        </is>
      </c>
      <c r="C308" s="124" t="inlineStr">
        <is>
          <t>환타 오렌지600PET X24</t>
        </is>
      </c>
      <c r="D308" s="256" t="n">
        <v>84</v>
      </c>
      <c r="E308" s="256" t="n">
        <v>182.5</v>
      </c>
      <c r="F308" s="155" t="n">
        <v>365</v>
      </c>
      <c r="G308" s="257" t="n">
        <v>281</v>
      </c>
    </row>
    <row r="309" ht="14.25" customHeight="1" s="237">
      <c r="A309" s="120" t="n">
        <v>5736</v>
      </c>
      <c r="B309" s="120" t="inlineStr">
        <is>
          <t>FT5736</t>
        </is>
      </c>
      <c r="C309" s="124" t="inlineStr">
        <is>
          <t>QSR)환타 파인 500PET X24</t>
        </is>
      </c>
      <c r="D309" s="256" t="n">
        <v>84</v>
      </c>
      <c r="E309" s="256" t="n">
        <v>182.5</v>
      </c>
      <c r="F309" s="155" t="n">
        <v>365</v>
      </c>
      <c r="G309" s="257" t="n">
        <v>281</v>
      </c>
    </row>
    <row r="310" ht="14.25" customHeight="1" s="237">
      <c r="A310" s="126" t="n">
        <v>5740</v>
      </c>
      <c r="B310" s="127" t="inlineStr">
        <is>
          <t>FT5740</t>
        </is>
      </c>
      <c r="C310" s="128" t="inlineStr">
        <is>
          <t>환타 오렌지 300PET 2X12</t>
        </is>
      </c>
      <c r="D310" s="256" t="n">
        <v>70</v>
      </c>
      <c r="E310" s="256" t="n">
        <v>182.5</v>
      </c>
      <c r="F310" s="155" t="n">
        <v>365</v>
      </c>
      <c r="G310" s="257" t="n">
        <v>295</v>
      </c>
    </row>
    <row r="311" ht="14.25" customHeight="1" s="237">
      <c r="A311" s="126" t="n">
        <v>5744</v>
      </c>
      <c r="B311" s="127" t="inlineStr">
        <is>
          <t>FT5744</t>
        </is>
      </c>
      <c r="C311" s="128" t="inlineStr">
        <is>
          <t>환타 오렌지 300PET X12</t>
        </is>
      </c>
      <c r="D311" s="256" t="n">
        <v>70</v>
      </c>
      <c r="E311" s="256" t="n">
        <v>182.5</v>
      </c>
      <c r="F311" s="155" t="n">
        <v>365</v>
      </c>
      <c r="G311" s="257" t="n">
        <v>295</v>
      </c>
    </row>
    <row r="312" ht="14.25" customHeight="1" s="237">
      <c r="A312" s="120" t="n">
        <v>5748</v>
      </c>
      <c r="B312" s="120" t="inlineStr">
        <is>
          <t>FT5748</t>
        </is>
      </c>
      <c r="C312" s="124" t="inlineStr">
        <is>
          <t>환타오렌지(S) 600P 4X6</t>
        </is>
      </c>
      <c r="D312" s="256" t="n">
        <v>84</v>
      </c>
      <c r="E312" s="256" t="n">
        <v>182.5</v>
      </c>
      <c r="F312" s="155" t="n">
        <v>365</v>
      </c>
      <c r="G312" s="257" t="n">
        <v>281</v>
      </c>
    </row>
    <row r="313" ht="14.25" customHeight="1" s="237">
      <c r="A313" s="126" t="n">
        <v>5749</v>
      </c>
      <c r="B313" s="127" t="inlineStr">
        <is>
          <t>FT5749</t>
        </is>
      </c>
      <c r="C313" s="128" t="inlineStr">
        <is>
          <t>S)환타 파인 600PET 4X6</t>
        </is>
      </c>
      <c r="D313" s="256" t="n">
        <v>84</v>
      </c>
      <c r="E313" s="256" t="n">
        <v>182.5</v>
      </c>
      <c r="F313" s="155" t="n">
        <v>365</v>
      </c>
      <c r="G313" s="257" t="n">
        <v>281</v>
      </c>
    </row>
    <row r="314" ht="14.25" customHeight="1" s="237">
      <c r="A314" s="126" t="n">
        <v>4183</v>
      </c>
      <c r="B314" s="127" t="inlineStr">
        <is>
          <t>FT4183</t>
        </is>
      </c>
      <c r="C314" s="128" t="inlineStr">
        <is>
          <t>S)환타 멜론 600PET 4X6</t>
        </is>
      </c>
      <c r="D314" s="256" t="n">
        <v>84</v>
      </c>
      <c r="E314" s="256" t="n">
        <v>182.5</v>
      </c>
      <c r="F314" s="155" t="n">
        <v>365</v>
      </c>
      <c r="G314" s="257" t="n">
        <v>281</v>
      </c>
    </row>
    <row r="315" ht="14.25" customHeight="1" s="237">
      <c r="A315" s="126" t="n">
        <v>5758</v>
      </c>
      <c r="B315" s="127" t="inlineStr">
        <is>
          <t>FT5758</t>
        </is>
      </c>
      <c r="C315" s="128" t="inlineStr">
        <is>
          <t>환타 오렌지 215CAN 5X6</t>
        </is>
      </c>
      <c r="D315" s="256" t="n">
        <v>365</v>
      </c>
      <c r="E315" s="256" t="n">
        <v>365</v>
      </c>
      <c r="F315" s="155" t="n">
        <v>730</v>
      </c>
      <c r="G315" s="257" t="n">
        <v>365</v>
      </c>
    </row>
    <row r="316" ht="14.25" customHeight="1" s="237">
      <c r="A316" s="120" t="n">
        <v>6198</v>
      </c>
      <c r="B316" s="120" t="inlineStr">
        <is>
          <t>FT6198</t>
        </is>
      </c>
      <c r="C316" s="124" t="inlineStr">
        <is>
          <t>환타오렌플린355RGB X24</t>
        </is>
      </c>
      <c r="D316" s="256" t="n">
        <v>365</v>
      </c>
      <c r="E316" s="256" t="n">
        <v>365</v>
      </c>
      <c r="F316" s="155" t="n">
        <v>730</v>
      </c>
      <c r="G316" s="257" t="n">
        <v>365</v>
      </c>
    </row>
    <row r="317" ht="14.25" customHeight="1" s="237">
      <c r="A317" s="126" t="n">
        <v>6199</v>
      </c>
      <c r="B317" s="127" t="inlineStr">
        <is>
          <t>FT6199</t>
        </is>
      </c>
      <c r="C317" s="128" t="inlineStr">
        <is>
          <t>보100)환타 오렌지 355RGB X24</t>
        </is>
      </c>
      <c r="D317" s="256" t="n">
        <v>365</v>
      </c>
      <c r="E317" s="256" t="n">
        <v>365</v>
      </c>
      <c r="F317" s="155" t="n">
        <v>730</v>
      </c>
      <c r="G317" s="257" t="n">
        <v>365</v>
      </c>
    </row>
    <row r="318" ht="14.25" customHeight="1" s="237">
      <c r="A318" s="120" t="n">
        <v>6335</v>
      </c>
      <c r="B318" s="120" t="inlineStr">
        <is>
          <t>FT6335</t>
        </is>
      </c>
      <c r="C318" s="124" t="inlineStr">
        <is>
          <t>환타파인애플1.5PET X12</t>
        </is>
      </c>
      <c r="D318" s="256" t="n">
        <v>98</v>
      </c>
      <c r="E318" s="256" t="n">
        <v>182.5</v>
      </c>
      <c r="F318" s="155" t="n">
        <v>365</v>
      </c>
      <c r="G318" s="257" t="n">
        <v>267</v>
      </c>
    </row>
    <row r="319" ht="14.25" customHeight="1" s="237">
      <c r="A319" s="120" t="n">
        <v>6336</v>
      </c>
      <c r="B319" s="120" t="inlineStr">
        <is>
          <t>FT6336</t>
        </is>
      </c>
      <c r="C319" s="124" t="inlineStr">
        <is>
          <t>환타 오렌지10LBIB PMX</t>
        </is>
      </c>
      <c r="D319" s="256" t="n">
        <v>75</v>
      </c>
      <c r="E319" s="256" t="n">
        <v>91.5</v>
      </c>
      <c r="F319" s="155" t="n">
        <v>183</v>
      </c>
      <c r="G319" s="257" t="n">
        <v>108</v>
      </c>
    </row>
    <row r="320" ht="14.25" customHeight="1" s="237">
      <c r="A320" s="120" t="n">
        <v>6343</v>
      </c>
      <c r="B320" s="120" t="inlineStr">
        <is>
          <t>FT6343</t>
        </is>
      </c>
      <c r="C320" s="124" t="inlineStr">
        <is>
          <t>환타 파인 10LBIB PMX</t>
        </is>
      </c>
      <c r="D320" s="256" t="n">
        <v>75</v>
      </c>
      <c r="E320" s="256" t="n">
        <v>91.5</v>
      </c>
      <c r="F320" s="155" t="n">
        <v>183</v>
      </c>
      <c r="G320" s="257" t="n">
        <v>108</v>
      </c>
    </row>
    <row r="321" ht="14.25" customHeight="1" s="237">
      <c r="A321" s="120" t="n">
        <v>6344</v>
      </c>
      <c r="B321" s="120" t="inlineStr">
        <is>
          <t>FT6344</t>
        </is>
      </c>
      <c r="C321" s="124" t="inlineStr">
        <is>
          <t>환타 오렌지1.5PET X12</t>
        </is>
      </c>
      <c r="D321" s="256" t="n">
        <v>98</v>
      </c>
      <c r="E321" s="256" t="n">
        <v>182.5</v>
      </c>
      <c r="F321" s="155" t="n">
        <v>365</v>
      </c>
      <c r="G321" s="257" t="n">
        <v>267</v>
      </c>
    </row>
    <row r="322" ht="14.25" customHeight="1" s="237">
      <c r="A322" s="120" t="n">
        <v>6349</v>
      </c>
      <c r="B322" s="120" t="inlineStr">
        <is>
          <t>FT6349</t>
        </is>
      </c>
      <c r="C322" s="124" t="inlineStr">
        <is>
          <t>환타오렌지(S) 1.5P 2X6</t>
        </is>
      </c>
      <c r="D322" s="256" t="n">
        <v>98</v>
      </c>
      <c r="E322" s="256" t="n">
        <v>182.5</v>
      </c>
      <c r="F322" s="155" t="n">
        <v>365</v>
      </c>
      <c r="G322" s="257" t="n">
        <v>267</v>
      </c>
    </row>
    <row r="323" ht="14.25" customHeight="1" s="237">
      <c r="A323" s="120" t="n">
        <v>6381</v>
      </c>
      <c r="B323" s="120" t="inlineStr">
        <is>
          <t>FT6381</t>
        </is>
      </c>
      <c r="C323" s="124" t="inlineStr">
        <is>
          <t>환타 포도 355CAN X24</t>
        </is>
      </c>
      <c r="D323" s="256" t="n">
        <v>365</v>
      </c>
      <c r="E323" s="256" t="n">
        <v>365</v>
      </c>
      <c r="F323" s="155" t="n">
        <v>730</v>
      </c>
      <c r="G323" s="257" t="n">
        <v>365</v>
      </c>
    </row>
    <row r="324" ht="14.25" customHeight="1" s="237">
      <c r="A324" s="120" t="n">
        <v>6745</v>
      </c>
      <c r="B324" s="120" t="inlineStr">
        <is>
          <t>FT6745</t>
        </is>
      </c>
      <c r="C324" s="124" t="inlineStr">
        <is>
          <t>얼려먹는환타오렌130PU 3X10</t>
        </is>
      </c>
      <c r="D324" s="256" t="n">
        <v>122</v>
      </c>
      <c r="E324" s="256" t="n">
        <v>136.5</v>
      </c>
      <c r="F324" s="155" t="n">
        <v>273</v>
      </c>
      <c r="G324" s="257" t="n">
        <v>151</v>
      </c>
    </row>
    <row r="325" ht="14.25" customHeight="1" s="237">
      <c r="A325" s="120" t="n">
        <v>6746</v>
      </c>
      <c r="B325" s="120" t="inlineStr">
        <is>
          <t>FT6746</t>
        </is>
      </c>
      <c r="C325" s="124" t="inlineStr">
        <is>
          <t>얼려먹는환타포도130PU 3X10</t>
        </is>
      </c>
      <c r="D325" s="256" t="n">
        <v>122</v>
      </c>
      <c r="E325" s="256" t="n">
        <v>136.5</v>
      </c>
      <c r="F325" s="155" t="n">
        <v>273</v>
      </c>
      <c r="G325" s="257" t="n">
        <v>151</v>
      </c>
    </row>
    <row r="326" ht="14.25" customHeight="1" s="237">
      <c r="A326" s="126" t="n">
        <v>6750</v>
      </c>
      <c r="B326" s="127" t="inlineStr">
        <is>
          <t>FT6750</t>
        </is>
      </c>
      <c r="C326" s="128" t="inlineStr">
        <is>
          <t>환타 +C 레몬 355CAN X24</t>
        </is>
      </c>
      <c r="D326" s="256" t="n">
        <v>183</v>
      </c>
      <c r="E326" s="256" t="n">
        <v>182.5</v>
      </c>
      <c r="F326" s="155" t="n">
        <v>365</v>
      </c>
      <c r="G326" s="257" t="n">
        <v>182</v>
      </c>
    </row>
    <row r="327" ht="14.25" customHeight="1" s="237">
      <c r="A327" s="126" t="n">
        <v>6751</v>
      </c>
      <c r="B327" s="127" t="inlineStr">
        <is>
          <t>FT6751</t>
        </is>
      </c>
      <c r="C327" s="128" t="inlineStr">
        <is>
          <t>환타 +C 레몬 355CAN 4X6</t>
        </is>
      </c>
      <c r="D327" s="256" t="n">
        <v>183</v>
      </c>
      <c r="E327" s="256" t="n">
        <v>182.5</v>
      </c>
      <c r="F327" s="155" t="n">
        <v>365</v>
      </c>
      <c r="G327" s="257" t="n">
        <v>182</v>
      </c>
    </row>
    <row r="328" ht="14.25" customHeight="1" s="237">
      <c r="A328" s="120" t="n">
        <v>6752</v>
      </c>
      <c r="B328" s="135" t="inlineStr">
        <is>
          <t>FT6752</t>
        </is>
      </c>
      <c r="C328" s="124" t="inlineStr">
        <is>
          <t>환타 젤리소다 오렌지 185CAN X30</t>
        </is>
      </c>
      <c r="D328" s="256" t="n">
        <v>183</v>
      </c>
      <c r="E328" s="256" t="n">
        <v>182.5</v>
      </c>
      <c r="F328" s="155" t="n">
        <v>365</v>
      </c>
      <c r="G328" s="257" t="n">
        <v>182</v>
      </c>
    </row>
    <row r="329" ht="14.25" customHeight="1" s="237">
      <c r="A329" s="120" t="n">
        <v>6753</v>
      </c>
      <c r="B329" s="135" t="inlineStr">
        <is>
          <t>FT6753</t>
        </is>
      </c>
      <c r="C329" s="124" t="inlineStr">
        <is>
          <t>환타 젤리소다 포도 185CAN X30</t>
        </is>
      </c>
      <c r="D329" s="256" t="n">
        <v>183</v>
      </c>
      <c r="E329" s="256" t="n">
        <v>182.5</v>
      </c>
      <c r="F329" s="155" t="n">
        <v>365</v>
      </c>
      <c r="G329" s="257" t="n">
        <v>182</v>
      </c>
    </row>
    <row r="330" ht="14.25" customHeight="1" s="237">
      <c r="A330" s="120" t="n">
        <v>6766</v>
      </c>
      <c r="B330" s="120" t="inlineStr">
        <is>
          <t>FT6766</t>
        </is>
      </c>
      <c r="C330" s="124" t="inlineStr">
        <is>
          <t>환타스무디복숭아250C X30</t>
        </is>
      </c>
      <c r="D330" s="256" t="n">
        <v>183</v>
      </c>
      <c r="E330" s="256" t="n">
        <v>182.5</v>
      </c>
      <c r="F330" s="155" t="n">
        <v>365</v>
      </c>
      <c r="G330" s="257" t="n">
        <v>182</v>
      </c>
    </row>
    <row r="331" ht="14.25" customHeight="1" s="237">
      <c r="A331" s="120" t="n">
        <v>6767</v>
      </c>
      <c r="B331" s="120" t="inlineStr">
        <is>
          <t>FT6767</t>
        </is>
      </c>
      <c r="C331" s="124" t="inlineStr">
        <is>
          <t>환타스무디 사과500P X24</t>
        </is>
      </c>
      <c r="D331" s="256" t="n">
        <v>84</v>
      </c>
      <c r="E331" s="256" t="n">
        <v>182.5</v>
      </c>
      <c r="F331" s="155" t="n">
        <v>365</v>
      </c>
      <c r="G331" s="257" t="n">
        <v>281</v>
      </c>
    </row>
    <row r="332" ht="14.25" customHeight="1" s="237">
      <c r="A332" s="120" t="n">
        <v>6768</v>
      </c>
      <c r="B332" s="120" t="inlineStr">
        <is>
          <t>FT6768</t>
        </is>
      </c>
      <c r="C332" s="124" t="inlineStr">
        <is>
          <t>환타스무디복숭아500P X24</t>
        </is>
      </c>
      <c r="D332" s="256" t="n">
        <v>84</v>
      </c>
      <c r="E332" s="256" t="n">
        <v>182.5</v>
      </c>
      <c r="F332" s="155" t="n">
        <v>365</v>
      </c>
      <c r="G332" s="257" t="n">
        <v>281</v>
      </c>
    </row>
    <row r="333" ht="14.25" customHeight="1" s="237">
      <c r="A333" s="120" t="n">
        <v>6774</v>
      </c>
      <c r="B333" s="120" t="inlineStr">
        <is>
          <t>FT6774</t>
        </is>
      </c>
      <c r="C333" s="124" t="inlineStr">
        <is>
          <t>환타스무디복숭아1.5P X12</t>
        </is>
      </c>
      <c r="D333" s="256" t="n">
        <v>98</v>
      </c>
      <c r="E333" s="256" t="n">
        <v>182.5</v>
      </c>
      <c r="F333" s="155" t="n">
        <v>365</v>
      </c>
      <c r="G333" s="257" t="n">
        <v>267</v>
      </c>
    </row>
    <row r="334" ht="14.25" customHeight="1" s="237">
      <c r="A334" s="120" t="n">
        <v>6775</v>
      </c>
      <c r="B334" s="120" t="inlineStr">
        <is>
          <t>FT6775</t>
        </is>
      </c>
      <c r="C334" s="124" t="inlineStr">
        <is>
          <t>환타스트로베리250C X30</t>
        </is>
      </c>
      <c r="D334" s="256" t="n">
        <v>365</v>
      </c>
      <c r="E334" s="256" t="n">
        <v>365</v>
      </c>
      <c r="F334" s="155" t="n">
        <v>730</v>
      </c>
      <c r="G334" s="257" t="n">
        <v>365</v>
      </c>
    </row>
    <row r="335" ht="14.25" customHeight="1" s="237">
      <c r="A335" s="120" t="n">
        <v>6776</v>
      </c>
      <c r="B335" s="120" t="inlineStr">
        <is>
          <t>FT6776</t>
        </is>
      </c>
      <c r="C335" s="124" t="inlineStr">
        <is>
          <t>환타스트로베리600P X24</t>
        </is>
      </c>
      <c r="D335" s="256" t="n">
        <v>84</v>
      </c>
      <c r="E335" s="256" t="n">
        <v>182.5</v>
      </c>
      <c r="F335" s="155" t="n">
        <v>365</v>
      </c>
      <c r="G335" s="257" t="n">
        <v>281</v>
      </c>
    </row>
    <row r="336" ht="14.25" customHeight="1" s="237">
      <c r="A336" s="120" t="n">
        <v>6777</v>
      </c>
      <c r="B336" s="120" t="inlineStr">
        <is>
          <t>FT6777</t>
        </is>
      </c>
      <c r="C336" s="124" t="inlineStr">
        <is>
          <t>환타스트로베리1.5P X12</t>
        </is>
      </c>
      <c r="D336" s="256" t="n">
        <v>98</v>
      </c>
      <c r="E336" s="256" t="n">
        <v>182.5</v>
      </c>
      <c r="F336" s="155" t="n">
        <v>365</v>
      </c>
      <c r="G336" s="257" t="n">
        <v>267</v>
      </c>
    </row>
    <row r="337" ht="14.25" customHeight="1" s="237">
      <c r="A337" s="120" t="n">
        <v>6778</v>
      </c>
      <c r="B337" s="120" t="inlineStr">
        <is>
          <t>FT6778</t>
        </is>
      </c>
      <c r="C337" s="124" t="inlineStr">
        <is>
          <t>환타스트로베리250C 5X6</t>
        </is>
      </c>
      <c r="D337" s="256" t="n">
        <v>365</v>
      </c>
      <c r="E337" s="256" t="n">
        <v>365</v>
      </c>
      <c r="F337" s="155" t="n">
        <v>730</v>
      </c>
      <c r="G337" s="257" t="n">
        <v>365</v>
      </c>
    </row>
    <row r="338" ht="14.25" customHeight="1" s="237">
      <c r="A338" s="120" t="n">
        <v>6972</v>
      </c>
      <c r="B338" s="120" t="inlineStr">
        <is>
          <t>FT6972</t>
        </is>
      </c>
      <c r="C338" s="124" t="inlineStr">
        <is>
          <t>환타오렌지 185CAN 3X10</t>
        </is>
      </c>
      <c r="D338" s="256" t="n">
        <v>365</v>
      </c>
      <c r="E338" s="256" t="n">
        <v>365</v>
      </c>
      <c r="F338" s="155" t="n">
        <v>730</v>
      </c>
      <c r="G338" s="257" t="n">
        <v>365</v>
      </c>
    </row>
    <row r="339" ht="14.25" customHeight="1" s="237">
      <c r="A339" s="120" t="n">
        <v>8207</v>
      </c>
      <c r="B339" s="120" t="inlineStr">
        <is>
          <t>FT8207</t>
        </is>
      </c>
      <c r="C339" s="124" t="inlineStr">
        <is>
          <t>환타파인애플600PET X24</t>
        </is>
      </c>
      <c r="D339" s="256" t="n">
        <v>84</v>
      </c>
      <c r="E339" s="256" t="n">
        <v>182.5</v>
      </c>
      <c r="F339" s="155" t="n">
        <v>365</v>
      </c>
      <c r="G339" s="257" t="n">
        <v>281</v>
      </c>
    </row>
    <row r="340" ht="14.25" customHeight="1" s="237">
      <c r="A340" s="120" t="n">
        <v>8618</v>
      </c>
      <c r="B340" s="120" t="inlineStr">
        <is>
          <t>FT8618</t>
        </is>
      </c>
      <c r="C340" s="124" t="inlineStr">
        <is>
          <t>환타파인애플355RGB X24</t>
        </is>
      </c>
      <c r="D340" s="256" t="n">
        <v>365</v>
      </c>
      <c r="E340" s="256" t="n">
        <v>365</v>
      </c>
      <c r="F340" s="155" t="n">
        <v>730</v>
      </c>
      <c r="G340" s="257" t="n">
        <v>365</v>
      </c>
    </row>
    <row r="341" ht="14.25" customHeight="1" s="237">
      <c r="A341" s="126" t="n">
        <v>8619</v>
      </c>
      <c r="B341" s="127" t="inlineStr">
        <is>
          <t>FT8619</t>
        </is>
      </c>
      <c r="C341" s="128" t="inlineStr">
        <is>
          <t>보100)환타 파인 355RGB X24</t>
        </is>
      </c>
      <c r="D341" s="256" t="n">
        <v>365</v>
      </c>
      <c r="E341" s="256" t="n">
        <v>365</v>
      </c>
      <c r="F341" s="155" t="n">
        <v>730</v>
      </c>
      <c r="G341" s="257" t="n">
        <v>365</v>
      </c>
    </row>
    <row r="342" ht="14.25" customHeight="1" s="237">
      <c r="A342" s="120" t="n">
        <v>3750</v>
      </c>
      <c r="B342" s="120" t="inlineStr">
        <is>
          <t>FZ3750</t>
        </is>
      </c>
      <c r="C342" s="124" t="inlineStr">
        <is>
          <t>퓨즈티복숭아500PET X20</t>
        </is>
      </c>
      <c r="D342" s="256" t="n">
        <v>183</v>
      </c>
      <c r="E342" s="256" t="n">
        <v>182.5</v>
      </c>
      <c r="F342" s="155" t="n">
        <v>365</v>
      </c>
      <c r="G342" s="257" t="n">
        <v>182</v>
      </c>
    </row>
    <row r="343" ht="14.25" customHeight="1" s="237">
      <c r="A343" s="120" t="n">
        <v>3751</v>
      </c>
      <c r="B343" s="120" t="inlineStr">
        <is>
          <t>FZ3751</t>
        </is>
      </c>
      <c r="C343" s="124" t="inlineStr">
        <is>
          <t>퓨즈티 레몬500PET X20</t>
        </is>
      </c>
      <c r="D343" s="256" t="n">
        <v>183</v>
      </c>
      <c r="E343" s="256" t="n">
        <v>182.5</v>
      </c>
      <c r="F343" s="155" t="n">
        <v>365</v>
      </c>
      <c r="G343" s="257" t="n">
        <v>182</v>
      </c>
    </row>
    <row r="344" ht="14.25" customHeight="1" s="237">
      <c r="A344" s="120" t="n">
        <v>3752</v>
      </c>
      <c r="B344" s="120" t="inlineStr">
        <is>
          <t>FZ3752</t>
        </is>
      </c>
      <c r="C344" s="124" t="inlineStr">
        <is>
          <t>S)퓨즈티복숭아500P 5X4</t>
        </is>
      </c>
      <c r="D344" s="256" t="n">
        <v>183</v>
      </c>
      <c r="E344" s="256" t="n">
        <v>182.5</v>
      </c>
      <c r="F344" s="155" t="n">
        <v>365</v>
      </c>
      <c r="G344" s="257" t="n">
        <v>182</v>
      </c>
    </row>
    <row r="345" ht="14.25" customHeight="1" s="237">
      <c r="A345" s="120" t="n">
        <v>3753</v>
      </c>
      <c r="B345" s="120" t="inlineStr">
        <is>
          <t>FZ3753</t>
        </is>
      </c>
      <c r="C345" s="124" t="inlineStr">
        <is>
          <t>S)퓨즈티 레몬500P 5X4</t>
        </is>
      </c>
      <c r="D345" s="256" t="n">
        <v>183</v>
      </c>
      <c r="E345" s="256" t="n">
        <v>182.5</v>
      </c>
      <c r="F345" s="155" t="n">
        <v>365</v>
      </c>
      <c r="G345" s="257" t="n">
        <v>182</v>
      </c>
    </row>
    <row r="346" ht="14.25" customHeight="1" s="237">
      <c r="A346" s="120" t="n">
        <v>3754</v>
      </c>
      <c r="B346" s="120" t="inlineStr">
        <is>
          <t>FZ3754</t>
        </is>
      </c>
      <c r="C346" s="124" t="inlineStr">
        <is>
          <t>퓨즈티복숭아240CAN X30</t>
        </is>
      </c>
      <c r="D346" s="256" t="n">
        <v>183</v>
      </c>
      <c r="E346" s="256" t="n">
        <v>182.5</v>
      </c>
      <c r="F346" s="155" t="n">
        <v>365</v>
      </c>
      <c r="G346" s="257" t="n">
        <v>182</v>
      </c>
    </row>
    <row r="347" ht="14.25" customHeight="1" s="237">
      <c r="A347" s="120" t="n">
        <v>3758</v>
      </c>
      <c r="B347" s="120" t="inlineStr">
        <is>
          <t>FZ3758</t>
        </is>
      </c>
      <c r="C347" s="124" t="inlineStr">
        <is>
          <t>퓨즈티복숭아355CAN X24</t>
        </is>
      </c>
      <c r="D347" s="256" t="n">
        <v>183</v>
      </c>
      <c r="E347" s="256" t="n">
        <v>182.5</v>
      </c>
      <c r="F347" s="155" t="n">
        <v>365</v>
      </c>
      <c r="G347" s="257" t="n">
        <v>182</v>
      </c>
    </row>
    <row r="348" ht="14.25" customHeight="1" s="237">
      <c r="A348" s="120" t="n">
        <v>3761</v>
      </c>
      <c r="B348" s="120" t="inlineStr">
        <is>
          <t>FZ3761</t>
        </is>
      </c>
      <c r="C348" s="124" t="inlineStr">
        <is>
          <t>퓨즈티복숭아1.5PET X12</t>
        </is>
      </c>
      <c r="D348" s="256" t="n">
        <v>183</v>
      </c>
      <c r="E348" s="256" t="n">
        <v>182.5</v>
      </c>
      <c r="F348" s="155" t="n">
        <v>365</v>
      </c>
      <c r="G348" s="257" t="n">
        <v>182</v>
      </c>
    </row>
    <row r="349" ht="14.25" customHeight="1" s="237">
      <c r="A349" s="120" t="n">
        <v>3767</v>
      </c>
      <c r="B349" s="120" t="inlineStr">
        <is>
          <t>FZ3767</t>
        </is>
      </c>
      <c r="C349" s="124" t="inlineStr">
        <is>
          <t>퓨즈티레몬&amp;애플500P X20</t>
        </is>
      </c>
      <c r="D349" s="256" t="n">
        <v>183</v>
      </c>
      <c r="E349" s="256" t="n">
        <v>182.5</v>
      </c>
      <c r="F349" s="155" t="n">
        <v>365</v>
      </c>
      <c r="G349" s="257" t="n">
        <v>182</v>
      </c>
    </row>
    <row r="350" ht="14.25" customHeight="1" s="237">
      <c r="A350" s="120" t="n">
        <v>7551</v>
      </c>
      <c r="B350" s="120" t="inlineStr">
        <is>
          <t>FZ7551</t>
        </is>
      </c>
      <c r="C350" s="124" t="inlineStr">
        <is>
          <t>퓨즈티복숭아5L BIB PMX</t>
        </is>
      </c>
      <c r="D350" s="256" t="n">
        <v>75</v>
      </c>
      <c r="E350" s="256" t="n">
        <v>91.5</v>
      </c>
      <c r="F350" s="155" t="n">
        <v>183</v>
      </c>
      <c r="G350" s="257" t="n">
        <v>108</v>
      </c>
    </row>
    <row r="351" ht="14.25" customHeight="1" s="237">
      <c r="A351" s="120" t="n">
        <v>772</v>
      </c>
      <c r="B351" s="120" t="inlineStr">
        <is>
          <t>GD7683</t>
        </is>
      </c>
      <c r="C351" s="124" t="inlineStr">
        <is>
          <t>골든드랍나는카푸치노175CX30</t>
        </is>
      </c>
      <c r="D351" s="256" t="n">
        <v>183</v>
      </c>
      <c r="E351" s="256" t="n">
        <v>182.5</v>
      </c>
      <c r="F351" s="155" t="n">
        <v>365</v>
      </c>
      <c r="G351" s="257" t="n">
        <v>182</v>
      </c>
    </row>
    <row r="352" ht="14.25" customHeight="1" s="237">
      <c r="A352" s="120" t="n">
        <v>771</v>
      </c>
      <c r="B352" s="120" t="inlineStr">
        <is>
          <t>GD7687</t>
        </is>
      </c>
      <c r="C352" s="124" t="inlineStr">
        <is>
          <t>골든드랍나는오리지널175CX30</t>
        </is>
      </c>
      <c r="D352" s="256" t="n">
        <v>183</v>
      </c>
      <c r="E352" s="256" t="n">
        <v>182.5</v>
      </c>
      <c r="F352" s="155" t="n">
        <v>365</v>
      </c>
      <c r="G352" s="257" t="n">
        <v>182</v>
      </c>
    </row>
    <row r="353" ht="14.25" customHeight="1" s="237">
      <c r="A353" s="126" t="n">
        <v>776</v>
      </c>
      <c r="B353" s="127" t="inlineStr">
        <is>
          <t>GD7688</t>
        </is>
      </c>
      <c r="C353" s="128" t="inlineStr">
        <is>
          <t>골든드랍나는오리지널175(멀티)</t>
        </is>
      </c>
      <c r="D353" s="256" t="n">
        <v>183</v>
      </c>
      <c r="E353" s="256" t="n">
        <v>182.5</v>
      </c>
      <c r="F353" s="155" t="n">
        <v>365</v>
      </c>
      <c r="G353" s="257" t="n">
        <v>182</v>
      </c>
    </row>
    <row r="354" ht="14.25" customHeight="1" s="237">
      <c r="A354" s="126" t="inlineStr">
        <is>
          <t>GG0003</t>
        </is>
      </c>
      <c r="B354" s="126" t="inlineStr">
        <is>
          <t>GG0003</t>
        </is>
      </c>
      <c r="C354" s="128" t="inlineStr">
        <is>
          <t>조지아 아이스아메(신) 170PU 5X10</t>
        </is>
      </c>
      <c r="D354" s="256" t="n">
        <v>183</v>
      </c>
      <c r="E354" s="256" t="n">
        <v>136.5</v>
      </c>
      <c r="F354" s="155" t="n">
        <v>273</v>
      </c>
      <c r="G354" s="257" t="n">
        <v>90</v>
      </c>
    </row>
    <row r="355" ht="14.25" customHeight="1" s="237">
      <c r="A355" s="126" t="inlineStr">
        <is>
          <t>GG0004</t>
        </is>
      </c>
      <c r="B355" s="126" t="inlineStr">
        <is>
          <t>GG0004</t>
        </is>
      </c>
      <c r="C355" s="128" t="inlineStr">
        <is>
          <t>조지아 아이스라떼(신) 170PU 5X10</t>
        </is>
      </c>
      <c r="D355" s="256" t="n">
        <v>183</v>
      </c>
      <c r="E355" s="256" t="n">
        <v>136.5</v>
      </c>
      <c r="F355" s="155" t="n">
        <v>273</v>
      </c>
      <c r="G355" s="257" t="n">
        <v>90</v>
      </c>
    </row>
    <row r="356" ht="14.25" customHeight="1" s="237">
      <c r="A356" s="120" t="n">
        <v>4867</v>
      </c>
      <c r="B356" s="120" t="inlineStr">
        <is>
          <t>GG4867</t>
        </is>
      </c>
      <c r="C356" s="124" t="inlineStr">
        <is>
          <t>조지아오리지널175C 5X6</t>
        </is>
      </c>
      <c r="D356" s="256" t="n">
        <v>183</v>
      </c>
      <c r="E356" s="256" t="n">
        <v>182.5</v>
      </c>
      <c r="F356" s="155" t="n">
        <v>365</v>
      </c>
      <c r="G356" s="257" t="n">
        <v>182</v>
      </c>
    </row>
    <row r="357" ht="14.25" customHeight="1" s="237">
      <c r="A357" s="120" t="n">
        <v>4868</v>
      </c>
      <c r="B357" s="120" t="inlineStr">
        <is>
          <t>GG4868</t>
        </is>
      </c>
      <c r="C357" s="124" t="inlineStr">
        <is>
          <t>조지아오리지널240C X30</t>
        </is>
      </c>
      <c r="D357" s="256" t="n">
        <v>183</v>
      </c>
      <c r="E357" s="256" t="n">
        <v>182.5</v>
      </c>
      <c r="F357" s="155" t="n">
        <v>365</v>
      </c>
      <c r="G357" s="257" t="n">
        <v>182</v>
      </c>
    </row>
    <row r="358" ht="14.25" customHeight="1" s="237">
      <c r="A358" s="120" t="n">
        <v>4869</v>
      </c>
      <c r="B358" s="120" t="inlineStr">
        <is>
          <t>GG4869</t>
        </is>
      </c>
      <c r="C358" s="124" t="inlineStr">
        <is>
          <t>조지아카페라테240C X30</t>
        </is>
      </c>
      <c r="D358" s="256" t="n">
        <v>183</v>
      </c>
      <c r="E358" s="256" t="n">
        <v>182.5</v>
      </c>
      <c r="F358" s="155" t="n">
        <v>365</v>
      </c>
      <c r="G358" s="257" t="n">
        <v>182</v>
      </c>
    </row>
    <row r="359" ht="14.25" customHeight="1" s="237">
      <c r="A359" s="120" t="n">
        <v>8259</v>
      </c>
      <c r="B359" s="120" t="inlineStr">
        <is>
          <t>GG8259</t>
        </is>
      </c>
      <c r="C359" s="124" t="inlineStr">
        <is>
          <t>조지아 오리지널 200CAN 5X6</t>
        </is>
      </c>
      <c r="D359" s="256" t="n">
        <v>183</v>
      </c>
      <c r="E359" s="256" t="n">
        <v>182.5</v>
      </c>
      <c r="F359" s="155">
        <f>365</f>
        <v/>
      </c>
      <c r="G359" s="257">
        <f>182</f>
        <v/>
      </c>
    </row>
    <row r="360" ht="14.25" customHeight="1" s="237">
      <c r="A360" s="120" t="n">
        <v>4872</v>
      </c>
      <c r="B360" s="120" t="inlineStr">
        <is>
          <t>GG4872</t>
        </is>
      </c>
      <c r="C360" s="124" t="inlineStr">
        <is>
          <t>조지아오리지널240C 5X6</t>
        </is>
      </c>
      <c r="D360" s="256" t="n">
        <v>183</v>
      </c>
      <c r="E360" s="256" t="n">
        <v>182.5</v>
      </c>
      <c r="F360" s="155" t="n">
        <v>365</v>
      </c>
      <c r="G360" s="257" t="n">
        <v>182</v>
      </c>
    </row>
    <row r="361" ht="14.25" customHeight="1" s="237">
      <c r="A361" s="120" t="n">
        <v>4877</v>
      </c>
      <c r="B361" s="120" t="inlineStr">
        <is>
          <t>GG4877</t>
        </is>
      </c>
      <c r="C361" s="124" t="inlineStr">
        <is>
          <t>조지아오리지널175C X30</t>
        </is>
      </c>
      <c r="D361" s="256" t="n">
        <v>183</v>
      </c>
      <c r="E361" s="256" t="n">
        <v>182.5</v>
      </c>
      <c r="F361" s="155" t="n">
        <v>365</v>
      </c>
      <c r="G361" s="257" t="n">
        <v>182</v>
      </c>
    </row>
    <row r="362" ht="14.25" customHeight="1" s="237">
      <c r="A362" s="120" t="n">
        <v>4879</v>
      </c>
      <c r="B362" s="120" t="inlineStr">
        <is>
          <t>GG4879</t>
        </is>
      </c>
      <c r="C362" s="124" t="inlineStr">
        <is>
          <t>조지아카페라테240C 5X6</t>
        </is>
      </c>
      <c r="D362" s="256" t="n">
        <v>183</v>
      </c>
      <c r="E362" s="256" t="n">
        <v>182.5</v>
      </c>
      <c r="F362" s="155" t="n">
        <v>365</v>
      </c>
      <c r="G362" s="257" t="n">
        <v>182</v>
      </c>
    </row>
    <row r="363" ht="14.25" customHeight="1" s="237">
      <c r="A363" s="126" t="n">
        <v>4880</v>
      </c>
      <c r="B363" s="127" t="inlineStr">
        <is>
          <t>GG4880</t>
        </is>
      </c>
      <c r="C363" s="128" t="inlineStr">
        <is>
          <t>조지아 아메리카노 240CAN X30</t>
        </is>
      </c>
      <c r="D363" s="256" t="n">
        <v>183</v>
      </c>
      <c r="E363" s="256" t="n">
        <v>182.5</v>
      </c>
      <c r="F363" s="155" t="n">
        <v>365</v>
      </c>
      <c r="G363" s="257" t="n">
        <v>182</v>
      </c>
    </row>
    <row r="364" ht="14.25" customHeight="1" s="237">
      <c r="A364" s="126" t="n">
        <v>4881</v>
      </c>
      <c r="B364" s="127" t="inlineStr">
        <is>
          <t>GG4881</t>
        </is>
      </c>
      <c r="C364" s="128" t="inlineStr">
        <is>
          <t>조지아 아메리카노 240CAN 5X6</t>
        </is>
      </c>
      <c r="D364" s="256" t="n">
        <v>183</v>
      </c>
      <c r="E364" s="256" t="n">
        <v>182.5</v>
      </c>
      <c r="F364" s="155" t="n">
        <v>365</v>
      </c>
      <c r="G364" s="257" t="n">
        <v>182</v>
      </c>
    </row>
    <row r="365" ht="14.25" customHeight="1" s="237">
      <c r="A365" s="120" t="n">
        <v>4884</v>
      </c>
      <c r="B365" s="120" t="inlineStr">
        <is>
          <t>GG4884</t>
        </is>
      </c>
      <c r="C365" s="124" t="inlineStr">
        <is>
          <t>조지아오리이지280P X20</t>
        </is>
      </c>
      <c r="D365" s="256" t="n">
        <v>183</v>
      </c>
      <c r="E365" s="256" t="n">
        <v>182.5</v>
      </c>
      <c r="F365" s="155" t="n">
        <v>365</v>
      </c>
      <c r="G365" s="257" t="n">
        <v>182</v>
      </c>
    </row>
    <row r="366" ht="14.25" customHeight="1" s="237">
      <c r="A366" s="120" t="n">
        <v>4885</v>
      </c>
      <c r="B366" s="120" t="inlineStr">
        <is>
          <t>GG4885</t>
        </is>
      </c>
      <c r="C366" s="124" t="inlineStr">
        <is>
          <t>조지아 맥스 240C X30</t>
        </is>
      </c>
      <c r="D366" s="256" t="n">
        <v>183</v>
      </c>
      <c r="E366" s="256" t="n">
        <v>182.5</v>
      </c>
      <c r="F366" s="155" t="n">
        <v>365</v>
      </c>
      <c r="G366" s="257" t="n">
        <v>182</v>
      </c>
    </row>
    <row r="367" ht="14.25" customHeight="1" s="237">
      <c r="A367" s="120" t="n">
        <v>4899</v>
      </c>
      <c r="B367" s="120" t="inlineStr">
        <is>
          <t>GG4899</t>
        </is>
      </c>
      <c r="C367" s="124" t="inlineStr">
        <is>
          <t>조지아맥스 240C 5X6</t>
        </is>
      </c>
      <c r="D367" s="256" t="n">
        <v>183</v>
      </c>
      <c r="E367" s="256" t="n">
        <v>182.5</v>
      </c>
      <c r="F367" s="155" t="n">
        <v>365</v>
      </c>
      <c r="G367" s="257" t="n">
        <v>182</v>
      </c>
    </row>
    <row r="368" ht="14.25" customHeight="1" s="237">
      <c r="A368" s="120" t="n">
        <v>4905</v>
      </c>
      <c r="B368" s="120" t="inlineStr">
        <is>
          <t>GG4905</t>
        </is>
      </c>
      <c r="C368" s="124" t="inlineStr">
        <is>
          <t>조지아맥스쵸코라떼240C X30</t>
        </is>
      </c>
      <c r="D368" s="256" t="n">
        <v>183</v>
      </c>
      <c r="E368" s="256" t="n">
        <v>182.5</v>
      </c>
      <c r="F368" s="155" t="n">
        <v>365</v>
      </c>
      <c r="G368" s="257" t="n">
        <v>182</v>
      </c>
    </row>
    <row r="369" ht="14.25" customHeight="1" s="237">
      <c r="A369" s="126" t="n">
        <v>4961</v>
      </c>
      <c r="B369" s="120" t="inlineStr">
        <is>
          <t>GG4961</t>
        </is>
      </c>
      <c r="C369" s="128" t="inlineStr">
        <is>
          <t>조지아　델리모카240P X20</t>
        </is>
      </c>
      <c r="D369" s="256" t="n">
        <v>137</v>
      </c>
      <c r="E369" s="256" t="n">
        <v>136.5</v>
      </c>
      <c r="F369" s="155" t="n">
        <v>273</v>
      </c>
      <c r="G369" s="257" t="n">
        <v>136</v>
      </c>
    </row>
    <row r="370" ht="14.25" customHeight="1" s="237">
      <c r="A370" s="126" t="n">
        <v>4962</v>
      </c>
      <c r="B370" s="120" t="inlineStr">
        <is>
          <t>GG4962</t>
        </is>
      </c>
      <c r="C370" s="128" t="inlineStr">
        <is>
          <t>조지아델리스윗포테240P X20</t>
        </is>
      </c>
      <c r="D370" s="256" t="n">
        <v>137</v>
      </c>
      <c r="E370" s="256" t="n">
        <v>136.5</v>
      </c>
      <c r="F370" s="155" t="n">
        <v>273</v>
      </c>
      <c r="G370" s="257" t="n">
        <v>136</v>
      </c>
    </row>
    <row r="371" ht="14.25" customHeight="1" s="237">
      <c r="A371" s="120" t="n">
        <v>4971</v>
      </c>
      <c r="B371" s="120" t="inlineStr">
        <is>
          <t>GG4971</t>
        </is>
      </c>
      <c r="C371" s="124" t="inlineStr">
        <is>
          <t>조지아리틀카페175C X30</t>
        </is>
      </c>
      <c r="D371" s="256" t="n">
        <v>183</v>
      </c>
      <c r="E371" s="256" t="n">
        <v>182.5</v>
      </c>
      <c r="F371" s="155" t="n">
        <v>365</v>
      </c>
      <c r="G371" s="257" t="n">
        <v>182</v>
      </c>
    </row>
    <row r="372" ht="14.25" customHeight="1" s="237">
      <c r="A372" s="120" t="n">
        <v>4972</v>
      </c>
      <c r="B372" s="120" t="inlineStr">
        <is>
          <t>GG4972</t>
        </is>
      </c>
      <c r="C372" s="124" t="inlineStr">
        <is>
          <t>조지아리틀카페175C 5X6</t>
        </is>
      </c>
      <c r="D372" s="256" t="n">
        <v>183</v>
      </c>
      <c r="E372" s="256" t="n">
        <v>182.5</v>
      </c>
      <c r="F372" s="155" t="n">
        <v>365</v>
      </c>
      <c r="G372" s="257" t="n">
        <v>182</v>
      </c>
    </row>
    <row r="373" ht="14.25" customHeight="1" s="237">
      <c r="A373" s="120" t="n">
        <v>4973</v>
      </c>
      <c r="B373" s="120" t="inlineStr">
        <is>
          <t>GG4973</t>
        </is>
      </c>
      <c r="C373" s="124" t="inlineStr">
        <is>
          <t>조지아리틀카페200C X30</t>
        </is>
      </c>
      <c r="D373" s="256" t="n">
        <v>183</v>
      </c>
      <c r="E373" s="256" t="n">
        <v>182.5</v>
      </c>
      <c r="F373" s="155" t="n">
        <v>365</v>
      </c>
      <c r="G373" s="257" t="n">
        <v>182</v>
      </c>
    </row>
    <row r="374" ht="14.25" customHeight="1" s="237">
      <c r="A374" s="120" t="n">
        <v>4974</v>
      </c>
      <c r="B374" s="120" t="inlineStr">
        <is>
          <t>GG4974</t>
        </is>
      </c>
      <c r="C374" s="124" t="inlineStr">
        <is>
          <t>조지아리틀카페200C 5X6</t>
        </is>
      </c>
      <c r="D374" s="256" t="n">
        <v>183</v>
      </c>
      <c r="E374" s="256" t="n">
        <v>182.5</v>
      </c>
      <c r="F374" s="155" t="n">
        <v>365</v>
      </c>
      <c r="G374" s="257" t="n">
        <v>182</v>
      </c>
    </row>
    <row r="375" ht="14.25" customHeight="1" s="237">
      <c r="A375" s="120" t="n">
        <v>4978</v>
      </c>
      <c r="B375" s="120" t="inlineStr">
        <is>
          <t>GG4978</t>
        </is>
      </c>
      <c r="C375" s="124" t="inlineStr">
        <is>
          <t>조지아카라멜마끼240C X30</t>
        </is>
      </c>
      <c r="D375" s="256" t="n">
        <v>183</v>
      </c>
      <c r="E375" s="256" t="n">
        <v>182.5</v>
      </c>
      <c r="F375" s="155" t="n">
        <v>365</v>
      </c>
      <c r="G375" s="257" t="n">
        <v>182</v>
      </c>
    </row>
    <row r="376" ht="14.25" customHeight="1" s="237">
      <c r="A376" s="120" t="n">
        <v>4979</v>
      </c>
      <c r="B376" s="120" t="inlineStr">
        <is>
          <t>GG4979</t>
        </is>
      </c>
      <c r="C376" s="124" t="inlineStr">
        <is>
          <t>조지아카라멜마끼240C 5X6</t>
        </is>
      </c>
      <c r="D376" s="256" t="n">
        <v>183</v>
      </c>
      <c r="E376" s="256" t="n">
        <v>182.5</v>
      </c>
      <c r="F376" s="155" t="n">
        <v>365</v>
      </c>
      <c r="G376" s="257" t="n">
        <v>182</v>
      </c>
    </row>
    <row r="377" ht="14.25" customHeight="1" s="237">
      <c r="A377" s="120" t="n">
        <v>4980</v>
      </c>
      <c r="B377" s="120" t="inlineStr">
        <is>
          <t>GG4980</t>
        </is>
      </c>
      <c r="C377" s="124" t="inlineStr">
        <is>
          <t>조지아다크블렌드240C X30</t>
        </is>
      </c>
      <c r="D377" s="256" t="n">
        <v>183</v>
      </c>
      <c r="E377" s="256" t="n">
        <v>182.5</v>
      </c>
      <c r="F377" s="155" t="n">
        <v>365</v>
      </c>
      <c r="G377" s="257" t="n">
        <v>182</v>
      </c>
    </row>
    <row r="378" ht="14.25" customHeight="1" s="237">
      <c r="A378" s="120" t="n">
        <v>4982</v>
      </c>
      <c r="B378" s="120" t="inlineStr">
        <is>
          <t>GG4982</t>
        </is>
      </c>
      <c r="C378" s="124" t="inlineStr">
        <is>
          <t>조지아카페오레240C X30</t>
        </is>
      </c>
      <c r="D378" s="256" t="n">
        <v>183</v>
      </c>
      <c r="E378" s="256" t="n">
        <v>182.5</v>
      </c>
      <c r="F378" s="155" t="n">
        <v>365</v>
      </c>
      <c r="G378" s="257" t="n">
        <v>182</v>
      </c>
    </row>
    <row r="379" ht="14.25" customHeight="1" s="237">
      <c r="A379" s="120" t="n">
        <v>4983</v>
      </c>
      <c r="B379" s="120" t="inlineStr">
        <is>
          <t>GG4983</t>
        </is>
      </c>
      <c r="C379" s="124" t="inlineStr">
        <is>
          <t>조지아카페오레240C 5X6</t>
        </is>
      </c>
      <c r="D379" s="256" t="n">
        <v>183</v>
      </c>
      <c r="E379" s="256" t="n">
        <v>182.5</v>
      </c>
      <c r="F379" s="155" t="n">
        <v>365</v>
      </c>
      <c r="G379" s="257" t="n">
        <v>182</v>
      </c>
    </row>
    <row r="380" ht="14.25" customHeight="1" s="237">
      <c r="A380" s="120" t="n">
        <v>4991</v>
      </c>
      <c r="B380" s="120" t="inlineStr">
        <is>
          <t>GG4991</t>
        </is>
      </c>
      <c r="C380" s="124" t="inlineStr">
        <is>
          <t>조지아오리지널900P X12</t>
        </is>
      </c>
      <c r="D380" s="256" t="n">
        <v>183</v>
      </c>
      <c r="E380" s="256" t="n">
        <v>182.5</v>
      </c>
      <c r="F380" s="155" t="n">
        <v>365</v>
      </c>
      <c r="G380" s="257" t="n">
        <v>182</v>
      </c>
    </row>
    <row r="381" ht="14.25" customHeight="1" s="237">
      <c r="A381" s="126" t="n">
        <v>4993</v>
      </c>
      <c r="B381" s="120" t="inlineStr">
        <is>
          <t>GG4993</t>
        </is>
      </c>
      <c r="C381" s="128" t="inlineStr">
        <is>
          <t>조지아EMB더블랙900P X12</t>
        </is>
      </c>
      <c r="D381" s="256" t="n">
        <v>183</v>
      </c>
      <c r="E381" s="256" t="n">
        <v>182.5</v>
      </c>
      <c r="F381" s="155" t="n">
        <v>365</v>
      </c>
      <c r="G381" s="257" t="n">
        <v>182</v>
      </c>
    </row>
    <row r="382" ht="14.25" customHeight="1" s="237">
      <c r="A382" s="126" t="n">
        <v>4994</v>
      </c>
      <c r="B382" s="120" t="inlineStr">
        <is>
          <t>GG4994</t>
        </is>
      </c>
      <c r="C382" s="128" t="inlineStr">
        <is>
          <t>조지아EMB아메900P X12</t>
        </is>
      </c>
      <c r="D382" s="256" t="n">
        <v>183</v>
      </c>
      <c r="E382" s="256" t="n">
        <v>182.5</v>
      </c>
      <c r="F382" s="155" t="n">
        <v>365</v>
      </c>
      <c r="G382" s="257" t="n">
        <v>182</v>
      </c>
    </row>
    <row r="383" ht="14.25" customHeight="1" s="237">
      <c r="A383" s="126" t="n">
        <v>4997</v>
      </c>
      <c r="B383" s="127" t="inlineStr">
        <is>
          <t>GG4997</t>
        </is>
      </c>
      <c r="C383" s="128" t="inlineStr">
        <is>
          <t>조지아 단짠커피 240CAN X30</t>
        </is>
      </c>
      <c r="D383" s="256" t="n">
        <v>183</v>
      </c>
      <c r="E383" s="256" t="n">
        <v>182.5</v>
      </c>
      <c r="F383" s="155" t="n">
        <v>365</v>
      </c>
      <c r="G383" s="257" t="n">
        <v>182</v>
      </c>
    </row>
    <row r="384" ht="14.25" customHeight="1" s="237">
      <c r="A384" s="126" t="n">
        <v>5007</v>
      </c>
      <c r="B384" s="127" t="inlineStr">
        <is>
          <t>GG5007</t>
        </is>
      </c>
      <c r="C384" s="128" t="inlineStr">
        <is>
          <t>조지아 단짠커피 240CAN 5X6</t>
        </is>
      </c>
      <c r="D384" s="256" t="n">
        <v>183</v>
      </c>
      <c r="E384" s="256" t="n">
        <v>182.5</v>
      </c>
      <c r="F384" s="155" t="n">
        <v>365</v>
      </c>
      <c r="G384" s="257" t="n">
        <v>182</v>
      </c>
    </row>
    <row r="385" ht="14.25" customHeight="1" s="237">
      <c r="A385" s="126" t="n">
        <v>8051</v>
      </c>
      <c r="B385" s="127" t="inlineStr">
        <is>
          <t>GG8051</t>
        </is>
      </c>
      <c r="C385" s="128" t="inlineStr">
        <is>
          <t>조지아 크래프트 콜드블랙 370PET 4X6</t>
        </is>
      </c>
      <c r="D385" s="256" t="n">
        <v>183</v>
      </c>
      <c r="E385" s="256" t="n">
        <v>152</v>
      </c>
      <c r="F385" s="155" t="n">
        <v>304</v>
      </c>
      <c r="G385" s="257" t="n">
        <v>121</v>
      </c>
    </row>
    <row r="386" ht="14.25" customHeight="1" s="237">
      <c r="A386" s="126" t="n">
        <v>8052</v>
      </c>
      <c r="B386" s="127" t="inlineStr">
        <is>
          <t>GG8052</t>
        </is>
      </c>
      <c r="C386" s="128" t="inlineStr">
        <is>
          <t>조지아 크래프트 콜드라떼 370PET 4X6</t>
        </is>
      </c>
      <c r="D386" s="256" t="n">
        <v>183</v>
      </c>
      <c r="E386" s="256" t="n">
        <v>152</v>
      </c>
      <c r="F386" s="155" t="n">
        <v>304</v>
      </c>
      <c r="G386" s="257" t="n">
        <v>121</v>
      </c>
    </row>
    <row r="387" ht="14.25" customHeight="1" s="237">
      <c r="A387" s="171" t="n">
        <v>8057</v>
      </c>
      <c r="B387" s="172" t="inlineStr">
        <is>
          <t>GG8057</t>
        </is>
      </c>
      <c r="C387" s="137" t="inlineStr">
        <is>
          <t>조지아 크래프트 밀크티 470PET 4X6</t>
        </is>
      </c>
      <c r="D387" s="264" t="n">
        <v>152</v>
      </c>
      <c r="E387" s="264" t="n">
        <v>151.5</v>
      </c>
      <c r="F387" s="138" t="n">
        <v>303</v>
      </c>
      <c r="G387" s="265" t="n">
        <v>151</v>
      </c>
    </row>
    <row r="388" ht="14.25" customHeight="1" s="237">
      <c r="A388" s="126" t="n">
        <v>8058</v>
      </c>
      <c r="B388" s="127" t="inlineStr">
        <is>
          <t>GG8058</t>
        </is>
      </c>
      <c r="C388" s="128" t="inlineStr">
        <is>
          <t>조지아 크래프트 스윗블랙 470PET 4X6</t>
        </is>
      </c>
      <c r="D388" s="256" t="n">
        <v>183</v>
      </c>
      <c r="E388" s="256" t="n">
        <v>182.5</v>
      </c>
      <c r="F388" s="155" t="n">
        <v>365</v>
      </c>
      <c r="G388" s="257" t="n">
        <v>182</v>
      </c>
    </row>
    <row r="389" ht="14.25" customHeight="1" s="237">
      <c r="A389" s="126" t="n">
        <v>8064</v>
      </c>
      <c r="B389" s="127" t="inlineStr">
        <is>
          <t>GG8064</t>
        </is>
      </c>
      <c r="C389" s="128" t="inlineStr">
        <is>
          <t>조지아 더블렌드 240CAN X30</t>
        </is>
      </c>
      <c r="D389" s="256" t="n">
        <v>183</v>
      </c>
      <c r="E389" s="256" t="n">
        <v>182.5</v>
      </c>
      <c r="F389" s="155" t="n">
        <v>365</v>
      </c>
      <c r="G389" s="257" t="n">
        <v>182</v>
      </c>
    </row>
    <row r="390" ht="14.25" customHeight="1" s="237">
      <c r="A390" s="126" t="n">
        <v>8065</v>
      </c>
      <c r="B390" s="127" t="inlineStr">
        <is>
          <t>GG8065</t>
        </is>
      </c>
      <c r="C390" s="128" t="inlineStr">
        <is>
          <t>조지아 크래프트 블랙 470PET 4X6</t>
        </is>
      </c>
      <c r="D390" s="256" t="n">
        <v>183</v>
      </c>
      <c r="E390" s="256" t="n">
        <v>182.5</v>
      </c>
      <c r="F390" s="155" t="n">
        <v>365</v>
      </c>
      <c r="G390" s="257" t="n">
        <v>182</v>
      </c>
    </row>
    <row r="391" ht="14.25" customHeight="1" s="237">
      <c r="A391" s="126" t="n">
        <v>8278</v>
      </c>
      <c r="B391" s="127" t="inlineStr">
        <is>
          <t>GG8278</t>
        </is>
      </c>
      <c r="C391" s="128" t="inlineStr">
        <is>
          <t>조지아 크래프트 저칼로리라떼 470PET 4X6</t>
        </is>
      </c>
      <c r="D391" s="256" t="n">
        <v>183</v>
      </c>
      <c r="E391" s="256" t="n">
        <v>152</v>
      </c>
      <c r="F391" s="155" t="n">
        <v>304</v>
      </c>
      <c r="G391" s="257" t="n">
        <v>121</v>
      </c>
    </row>
    <row r="392" ht="14.25" customHeight="1" s="237">
      <c r="A392" s="126" t="n">
        <v>8285</v>
      </c>
      <c r="B392" s="127" t="inlineStr">
        <is>
          <t>GG8285</t>
        </is>
      </c>
      <c r="C392" s="128" t="inlineStr">
        <is>
          <t>조지아 디카페인블랙 470PET X24</t>
        </is>
      </c>
      <c r="D392" s="256" t="n">
        <v>183</v>
      </c>
      <c r="E392" s="256" t="n">
        <v>182.5</v>
      </c>
      <c r="F392" s="155" t="n">
        <v>365</v>
      </c>
      <c r="G392" s="257" t="n">
        <v>182</v>
      </c>
    </row>
    <row r="393" ht="14.25" customHeight="1" s="237">
      <c r="A393" s="126" t="n">
        <v>8275</v>
      </c>
      <c r="B393" s="127" t="inlineStr">
        <is>
          <t>GG8275</t>
        </is>
      </c>
      <c r="C393" s="128" t="inlineStr">
        <is>
          <t>조지아 크래프트 콜드블랙 470PET 4X6</t>
        </is>
      </c>
      <c r="D393" s="256" t="n">
        <v>183</v>
      </c>
      <c r="E393" s="256" t="n">
        <v>152</v>
      </c>
      <c r="F393" s="155" t="n">
        <v>365</v>
      </c>
      <c r="G393" s="257" t="n">
        <v>121</v>
      </c>
    </row>
    <row r="394" ht="14.25" customHeight="1" s="237">
      <c r="A394" s="126" t="n">
        <v>8066</v>
      </c>
      <c r="B394" s="127" t="inlineStr">
        <is>
          <t>GG8066</t>
        </is>
      </c>
      <c r="C394" s="128" t="inlineStr">
        <is>
          <t>조지아 크래프트 라떼 470PET 4X6</t>
        </is>
      </c>
      <c r="D394" s="256" t="n">
        <v>183</v>
      </c>
      <c r="E394" s="256" t="n">
        <v>152</v>
      </c>
      <c r="F394" s="155" t="n">
        <v>304</v>
      </c>
      <c r="G394" s="257" t="n">
        <v>121</v>
      </c>
    </row>
    <row r="395" ht="14.25" customHeight="1" s="237">
      <c r="A395" s="126" t="n">
        <v>8067</v>
      </c>
      <c r="B395" s="127" t="inlineStr">
        <is>
          <t>GG8067</t>
        </is>
      </c>
      <c r="C395" s="128" t="inlineStr">
        <is>
          <t>조지아 콜드브루 라떼 240CAN 5X6</t>
        </is>
      </c>
      <c r="D395" s="256" t="n">
        <v>183</v>
      </c>
      <c r="E395" s="256" t="n">
        <v>182.5</v>
      </c>
      <c r="F395" s="155" t="n">
        <v>365</v>
      </c>
      <c r="G395" s="257" t="n">
        <v>182</v>
      </c>
    </row>
    <row r="396" ht="14.25" customHeight="1" s="237">
      <c r="A396" s="126" t="n">
        <v>8068</v>
      </c>
      <c r="B396" s="127" t="inlineStr">
        <is>
          <t>GG8068</t>
        </is>
      </c>
      <c r="C396" s="128" t="inlineStr">
        <is>
          <t>조지아 콜드브루 아메 240CAN 5X6</t>
        </is>
      </c>
      <c r="D396" s="256" t="n">
        <v>183</v>
      </c>
      <c r="E396" s="256" t="n">
        <v>182.5</v>
      </c>
      <c r="F396" s="155" t="n">
        <v>365</v>
      </c>
      <c r="G396" s="257" t="n">
        <v>182</v>
      </c>
    </row>
    <row r="397" ht="14.25" customHeight="1" s="237">
      <c r="A397" s="126" t="n">
        <v>8069</v>
      </c>
      <c r="B397" s="127" t="inlineStr">
        <is>
          <t>GG8069</t>
        </is>
      </c>
      <c r="C397" s="128" t="inlineStr">
        <is>
          <t>조지아 고티카 블랙 240CAN 5X6</t>
        </is>
      </c>
      <c r="D397" s="256" t="n">
        <v>183</v>
      </c>
      <c r="E397" s="256" t="n">
        <v>182.5</v>
      </c>
      <c r="F397" s="155" t="n">
        <v>365</v>
      </c>
      <c r="G397" s="257" t="n">
        <v>182</v>
      </c>
    </row>
    <row r="398" ht="14.25" customHeight="1" s="237">
      <c r="A398" s="126" t="n">
        <v>8071</v>
      </c>
      <c r="B398" s="120" t="inlineStr">
        <is>
          <t>GG8071</t>
        </is>
      </c>
      <c r="C398" s="128" t="inlineStr">
        <is>
          <t>조지아고티카블랙390B X20</t>
        </is>
      </c>
      <c r="D398" s="256" t="n">
        <v>183</v>
      </c>
      <c r="E398" s="256" t="n">
        <v>182.5</v>
      </c>
      <c r="F398" s="155" t="n">
        <v>365</v>
      </c>
      <c r="G398" s="257" t="n">
        <v>182</v>
      </c>
    </row>
    <row r="399" ht="14.25" customHeight="1" s="237">
      <c r="A399" s="126" t="n">
        <v>8072</v>
      </c>
      <c r="B399" s="120" t="inlineStr">
        <is>
          <t>GG8072</t>
        </is>
      </c>
      <c r="C399" s="128" t="inlineStr">
        <is>
          <t>S조지아고티카블랙390B 4X6</t>
        </is>
      </c>
      <c r="D399" s="256" t="n">
        <v>183</v>
      </c>
      <c r="E399" s="256" t="n">
        <v>182.5</v>
      </c>
      <c r="F399" s="155" t="n">
        <v>365</v>
      </c>
      <c r="G399" s="257" t="n">
        <v>182</v>
      </c>
    </row>
    <row r="400" ht="14.25" customHeight="1" s="237">
      <c r="A400" s="126" t="n">
        <v>8073</v>
      </c>
      <c r="B400" s="120" t="inlineStr">
        <is>
          <t>GG8073</t>
        </is>
      </c>
      <c r="C400" s="128" t="inlineStr">
        <is>
          <t>조지아고티카아메390B X20</t>
        </is>
      </c>
      <c r="D400" s="256" t="n">
        <v>183</v>
      </c>
      <c r="E400" s="256" t="n">
        <v>182.5</v>
      </c>
      <c r="F400" s="155" t="n">
        <v>365</v>
      </c>
      <c r="G400" s="257" t="n">
        <v>182</v>
      </c>
    </row>
    <row r="401" ht="14.25" customHeight="1" s="237">
      <c r="A401" s="126" t="n">
        <v>8074</v>
      </c>
      <c r="B401" s="120" t="inlineStr">
        <is>
          <t>GG8074</t>
        </is>
      </c>
      <c r="C401" s="128" t="inlineStr">
        <is>
          <t>S조지아고티카아메390B 4X6</t>
        </is>
      </c>
      <c r="D401" s="256" t="n">
        <v>183</v>
      </c>
      <c r="E401" s="256" t="n">
        <v>182.5</v>
      </c>
      <c r="F401" s="155" t="n">
        <v>365</v>
      </c>
      <c r="G401" s="257" t="n">
        <v>182</v>
      </c>
    </row>
    <row r="402" ht="14.25" customHeight="1" s="237">
      <c r="A402" s="126" t="n">
        <v>8078</v>
      </c>
      <c r="B402" s="127" t="inlineStr">
        <is>
          <t>GG8078</t>
        </is>
      </c>
      <c r="C402" s="128" t="inlineStr">
        <is>
          <t>조지아 고티카 아메 390BTC X12</t>
        </is>
      </c>
      <c r="D402" s="256" t="n">
        <v>183</v>
      </c>
      <c r="E402" s="256" t="n">
        <v>182.5</v>
      </c>
      <c r="F402" s="155" t="n">
        <v>365</v>
      </c>
      <c r="G402" s="257" t="n">
        <v>182</v>
      </c>
    </row>
    <row r="403" ht="14.25" customHeight="1" s="237">
      <c r="A403" s="126" t="n">
        <v>8081</v>
      </c>
      <c r="B403" s="120" t="inlineStr">
        <is>
          <t>GG8081</t>
        </is>
      </c>
      <c r="C403" s="128" t="inlineStr">
        <is>
          <t>조지아고티카블랙270B X20</t>
        </is>
      </c>
      <c r="D403" s="256" t="n">
        <v>183</v>
      </c>
      <c r="E403" s="256" t="n">
        <v>182.5</v>
      </c>
      <c r="F403" s="155" t="n">
        <v>365</v>
      </c>
      <c r="G403" s="257" t="n">
        <v>182</v>
      </c>
    </row>
    <row r="404" ht="14.25" customHeight="1" s="237">
      <c r="A404" s="126" t="n">
        <v>8082</v>
      </c>
      <c r="B404" s="120" t="inlineStr">
        <is>
          <t>GG8082</t>
        </is>
      </c>
      <c r="C404" s="128" t="inlineStr">
        <is>
          <t>S)조지아 리치아로마 블랙 270BTC 4X6</t>
        </is>
      </c>
      <c r="D404" s="256" t="n">
        <v>183</v>
      </c>
      <c r="E404" s="256" t="n">
        <v>182.5</v>
      </c>
      <c r="F404" s="155" t="n">
        <v>365</v>
      </c>
      <c r="G404" s="257" t="n">
        <v>182</v>
      </c>
    </row>
    <row r="405" ht="14.25" customHeight="1" s="237">
      <c r="A405" s="126" t="n">
        <v>8291</v>
      </c>
      <c r="B405" s="120" t="inlineStr">
        <is>
          <t>GG8291</t>
        </is>
      </c>
      <c r="C405" s="128" t="inlineStr">
        <is>
          <t>S)조지아 리치아로마 블랙 270PET 4X6</t>
        </is>
      </c>
      <c r="D405" s="256" t="n">
        <v>183</v>
      </c>
      <c r="E405" s="256" t="n">
        <v>182.5</v>
      </c>
      <c r="F405" s="155" t="n">
        <v>365</v>
      </c>
      <c r="G405" s="257" t="n">
        <v>182</v>
      </c>
    </row>
    <row r="406" ht="14.25" customHeight="1" s="237">
      <c r="A406" s="126" t="n">
        <v>8292</v>
      </c>
      <c r="B406" s="120" t="inlineStr">
        <is>
          <t>GG8292</t>
        </is>
      </c>
      <c r="C406" s="128" t="inlineStr">
        <is>
          <t>S)조지아 리치아로마 스윗아메 270PET 4X6</t>
        </is>
      </c>
      <c r="D406" s="256" t="n">
        <v>183</v>
      </c>
      <c r="E406" s="256" t="n">
        <v>182.5</v>
      </c>
      <c r="F406" s="155" t="n">
        <v>365</v>
      </c>
      <c r="G406" s="257" t="n">
        <v>182</v>
      </c>
    </row>
    <row r="407" ht="14.25" customHeight="1" s="237">
      <c r="A407" s="126" t="n">
        <v>8293</v>
      </c>
      <c r="B407" s="120" t="inlineStr">
        <is>
          <t>GG8293</t>
        </is>
      </c>
      <c r="C407" s="128" t="inlineStr">
        <is>
          <t>S)조지아 리치아로마 라떼 270PET 4X6</t>
        </is>
      </c>
      <c r="D407" s="256" t="n">
        <v>183</v>
      </c>
      <c r="E407" s="256" t="n">
        <v>182.5</v>
      </c>
      <c r="F407" s="155" t="n">
        <v>304</v>
      </c>
      <c r="G407" s="257" t="n">
        <v>182</v>
      </c>
    </row>
    <row r="408" ht="14.25" customHeight="1" s="237">
      <c r="A408" s="126" t="n">
        <v>8083</v>
      </c>
      <c r="B408" s="120" t="inlineStr">
        <is>
          <t>GG8083</t>
        </is>
      </c>
      <c r="C408" s="128" t="inlineStr">
        <is>
          <t>조지아고티카라떼270B X20</t>
        </is>
      </c>
      <c r="D408" s="256" t="n">
        <v>183</v>
      </c>
      <c r="E408" s="256" t="n">
        <v>182.5</v>
      </c>
      <c r="F408" s="155" t="n">
        <v>365</v>
      </c>
      <c r="G408" s="257" t="n">
        <v>182</v>
      </c>
    </row>
    <row r="409" ht="14.25" customHeight="1" s="237">
      <c r="A409" s="126" t="n">
        <v>8084</v>
      </c>
      <c r="B409" s="120" t="inlineStr">
        <is>
          <t>GG8084</t>
        </is>
      </c>
      <c r="C409" s="128" t="inlineStr">
        <is>
          <t>S조지아고티카라떼270B 4X6</t>
        </is>
      </c>
      <c r="D409" s="256" t="n">
        <v>183</v>
      </c>
      <c r="E409" s="256" t="n">
        <v>182.5</v>
      </c>
      <c r="F409" s="155" t="n">
        <v>365</v>
      </c>
      <c r="G409" s="257" t="n">
        <v>182</v>
      </c>
    </row>
    <row r="410" ht="14.25" customHeight="1" s="237">
      <c r="A410" s="126" t="n">
        <v>8085</v>
      </c>
      <c r="B410" s="120" t="inlineStr">
        <is>
          <t>GG8085</t>
        </is>
      </c>
      <c r="C410" s="128" t="inlineStr">
        <is>
          <t>조지아고티카아메270B X20</t>
        </is>
      </c>
      <c r="D410" s="256" t="n">
        <v>183</v>
      </c>
      <c r="E410" s="256" t="n">
        <v>182.5</v>
      </c>
      <c r="F410" s="155" t="n">
        <v>365</v>
      </c>
      <c r="G410" s="257" t="n">
        <v>182</v>
      </c>
    </row>
    <row r="411" ht="14.25" customHeight="1" s="237">
      <c r="A411" s="126" t="n">
        <v>8086</v>
      </c>
      <c r="B411" s="120" t="inlineStr">
        <is>
          <t>GG8086</t>
        </is>
      </c>
      <c r="C411" s="128" t="inlineStr">
        <is>
          <t>S조지아고티카아메270B 4X6</t>
        </is>
      </c>
      <c r="D411" s="256" t="n">
        <v>183</v>
      </c>
      <c r="E411" s="256" t="n">
        <v>182.5</v>
      </c>
      <c r="F411" s="155" t="n">
        <v>365</v>
      </c>
      <c r="G411" s="257" t="n">
        <v>182</v>
      </c>
    </row>
    <row r="412" ht="14.25" customHeight="1" s="237">
      <c r="A412" s="126" t="n">
        <v>8090</v>
      </c>
      <c r="B412" s="127" t="inlineStr">
        <is>
          <t>GG8090</t>
        </is>
      </c>
      <c r="C412" s="128" t="inlineStr">
        <is>
          <t>조지아 고티카 콜드라떼 265BTC 4X6</t>
        </is>
      </c>
      <c r="D412" s="256" t="n">
        <v>183</v>
      </c>
      <c r="E412" s="256" t="n">
        <v>182.5</v>
      </c>
      <c r="F412" s="155" t="n">
        <v>365</v>
      </c>
      <c r="G412" s="257" t="n">
        <v>182</v>
      </c>
    </row>
    <row r="413" ht="14.25" customHeight="1" s="237">
      <c r="A413" s="126" t="n">
        <v>8091</v>
      </c>
      <c r="B413" s="127" t="inlineStr">
        <is>
          <t>GG8091</t>
        </is>
      </c>
      <c r="C413" s="128" t="inlineStr">
        <is>
          <t>조지아 고티카 콜드아메 265BTC 4X6</t>
        </is>
      </c>
      <c r="D413" s="256" t="n">
        <v>183</v>
      </c>
      <c r="E413" s="256" t="n">
        <v>182.5</v>
      </c>
      <c r="F413" s="155" t="n">
        <v>365</v>
      </c>
      <c r="G413" s="257" t="n">
        <v>182</v>
      </c>
    </row>
    <row r="414" ht="14.25" customHeight="1" s="237">
      <c r="A414" s="126" t="n">
        <v>8093</v>
      </c>
      <c r="B414" s="127" t="inlineStr">
        <is>
          <t>GG8093</t>
        </is>
      </c>
      <c r="C414" s="128" t="inlineStr">
        <is>
          <t>조지아 아이스아메 900PET X12</t>
        </is>
      </c>
      <c r="D414" s="256" t="n">
        <v>183</v>
      </c>
      <c r="E414" s="256" t="n">
        <v>182.5</v>
      </c>
      <c r="F414" s="155" t="n">
        <v>365</v>
      </c>
      <c r="G414" s="257" t="n">
        <v>182</v>
      </c>
    </row>
    <row r="415" ht="14.25" customHeight="1" s="237">
      <c r="A415" s="120" t="n">
        <v>8094</v>
      </c>
      <c r="B415" s="120" t="inlineStr">
        <is>
          <t>GG8094</t>
        </is>
      </c>
      <c r="C415" s="124" t="inlineStr">
        <is>
          <t>조지아EMB더블랙300P X20</t>
        </is>
      </c>
      <c r="D415" s="256" t="n">
        <v>183</v>
      </c>
      <c r="E415" s="256" t="n">
        <v>182.5</v>
      </c>
      <c r="F415" s="155" t="n">
        <v>365</v>
      </c>
      <c r="G415" s="257" t="n">
        <v>182</v>
      </c>
    </row>
    <row r="416" ht="14.25" customHeight="1" s="237">
      <c r="A416" s="120" t="n">
        <v>8095</v>
      </c>
      <c r="B416" s="120" t="inlineStr">
        <is>
          <t>GG8095</t>
        </is>
      </c>
      <c r="C416" s="124" t="inlineStr">
        <is>
          <t>조지아EMB아메300P X20</t>
        </is>
      </c>
      <c r="D416" s="256" t="n">
        <v>183</v>
      </c>
      <c r="E416" s="256" t="n">
        <v>182.5</v>
      </c>
      <c r="F416" s="155" t="n">
        <v>365</v>
      </c>
      <c r="G416" s="257" t="n">
        <v>182</v>
      </c>
    </row>
    <row r="417" ht="14.25" customHeight="1" s="237">
      <c r="A417" s="126" t="n">
        <v>8096</v>
      </c>
      <c r="B417" s="127" t="inlineStr">
        <is>
          <t>GG8096</t>
        </is>
      </c>
      <c r="C417" s="128" t="inlineStr">
        <is>
          <t>조지아 고티카 아메 250NRB X20</t>
        </is>
      </c>
      <c r="D417" s="256" t="n">
        <v>183</v>
      </c>
      <c r="E417" s="256" t="n">
        <v>182.5</v>
      </c>
      <c r="F417" s="155" t="n">
        <v>365</v>
      </c>
      <c r="G417" s="257" t="n">
        <v>182</v>
      </c>
    </row>
    <row r="418" ht="14.25" customHeight="1" s="237">
      <c r="A418" s="126" t="n">
        <v>8097</v>
      </c>
      <c r="B418" s="127" t="inlineStr">
        <is>
          <t>GG8097</t>
        </is>
      </c>
      <c r="C418" s="128" t="inlineStr">
        <is>
          <t>조지아 고티카 라떼 250NRB X20</t>
        </is>
      </c>
      <c r="D418" s="256" t="n">
        <v>183</v>
      </c>
      <c r="E418" s="256" t="n">
        <v>182.5</v>
      </c>
      <c r="F418" s="155" t="n">
        <v>365</v>
      </c>
      <c r="G418" s="257" t="n">
        <v>182</v>
      </c>
    </row>
    <row r="419" ht="14.25" customHeight="1" s="237">
      <c r="A419" s="120" t="n">
        <v>8098</v>
      </c>
      <c r="B419" s="120" t="inlineStr">
        <is>
          <t>GG8098</t>
        </is>
      </c>
      <c r="C419" s="124" t="inlineStr">
        <is>
          <t>조지아고티카아메200C 5X6</t>
        </is>
      </c>
      <c r="D419" s="256" t="n">
        <v>183</v>
      </c>
      <c r="E419" s="256" t="n">
        <v>182.5</v>
      </c>
      <c r="F419" s="155" t="n">
        <v>365</v>
      </c>
      <c r="G419" s="257" t="n">
        <v>182</v>
      </c>
    </row>
    <row r="420" ht="14.25" customHeight="1" s="237">
      <c r="A420" s="120" t="n">
        <v>8099</v>
      </c>
      <c r="B420" s="120" t="inlineStr">
        <is>
          <t>GG8099</t>
        </is>
      </c>
      <c r="C420" s="124" t="inlineStr">
        <is>
          <t>조지아고티카라떼200C 5X6</t>
        </is>
      </c>
      <c r="D420" s="256" t="n">
        <v>183</v>
      </c>
      <c r="E420" s="256" t="n">
        <v>182.5</v>
      </c>
      <c r="F420" s="155" t="n">
        <v>365</v>
      </c>
      <c r="G420" s="257" t="n">
        <v>182</v>
      </c>
    </row>
    <row r="421" ht="14.25" customHeight="1" s="237">
      <c r="A421" s="120" t="n">
        <v>8106</v>
      </c>
      <c r="B421" s="120" t="inlineStr">
        <is>
          <t>GG8106</t>
        </is>
      </c>
      <c r="C421" s="124" t="inlineStr">
        <is>
          <t>조지아EMB아메250NRBX20</t>
        </is>
      </c>
      <c r="D421" s="256" t="n">
        <v>183</v>
      </c>
      <c r="E421" s="256" t="n">
        <v>182.5</v>
      </c>
      <c r="F421" s="155" t="n">
        <v>365</v>
      </c>
      <c r="G421" s="257" t="n">
        <v>182</v>
      </c>
    </row>
    <row r="422" ht="14.25" customHeight="1" s="237">
      <c r="A422" s="120" t="n">
        <v>8108</v>
      </c>
      <c r="B422" s="120" t="inlineStr">
        <is>
          <t>GG8108</t>
        </is>
      </c>
      <c r="C422" s="124" t="inlineStr">
        <is>
          <t>조지아EMB에스250NRBX20</t>
        </is>
      </c>
      <c r="D422" s="256" t="n">
        <v>183</v>
      </c>
      <c r="E422" s="256" t="n">
        <v>182.5</v>
      </c>
      <c r="F422" s="155" t="n">
        <v>365</v>
      </c>
      <c r="G422" s="257" t="n">
        <v>182</v>
      </c>
    </row>
    <row r="423" ht="14.25" customHeight="1" s="237">
      <c r="A423" s="120" t="n">
        <v>8110</v>
      </c>
      <c r="B423" s="120" t="inlineStr">
        <is>
          <t>GG8110</t>
        </is>
      </c>
      <c r="C423" s="124" t="inlineStr">
        <is>
          <t>조지아EMB라떼250NRBX20</t>
        </is>
      </c>
      <c r="D423" s="256" t="n">
        <v>183</v>
      </c>
      <c r="E423" s="256" t="n">
        <v>182.5</v>
      </c>
      <c r="F423" s="155" t="n">
        <v>365</v>
      </c>
      <c r="G423" s="257" t="n">
        <v>182</v>
      </c>
    </row>
    <row r="424" ht="14.25" customHeight="1" s="237">
      <c r="A424" s="126" t="n">
        <v>8115</v>
      </c>
      <c r="B424" s="127" t="inlineStr">
        <is>
          <t>GG8115</t>
        </is>
      </c>
      <c r="C424" s="128" t="inlineStr">
        <is>
          <t>조지아 크래프트 블랙 800PET 2X6</t>
        </is>
      </c>
      <c r="D424" s="256" t="n">
        <v>183</v>
      </c>
      <c r="E424" s="256" t="n">
        <v>182.5</v>
      </c>
      <c r="F424" s="155" t="n">
        <v>365</v>
      </c>
      <c r="G424" s="257" t="n">
        <v>182</v>
      </c>
    </row>
    <row r="425" ht="14.25" customHeight="1" s="237">
      <c r="A425" s="120" t="n">
        <v>8117</v>
      </c>
      <c r="B425" s="120" t="inlineStr">
        <is>
          <t>GG8117</t>
        </is>
      </c>
      <c r="C425" s="124" t="inlineStr">
        <is>
          <t>조지아EMB라떼390B X20</t>
        </is>
      </c>
      <c r="D425" s="256" t="n">
        <v>183</v>
      </c>
      <c r="E425" s="256" t="n">
        <v>182.5</v>
      </c>
      <c r="F425" s="155" t="n">
        <v>365</v>
      </c>
      <c r="G425" s="257" t="n">
        <v>182</v>
      </c>
    </row>
    <row r="426" ht="14.25" customHeight="1" s="237">
      <c r="A426" s="120" t="n">
        <v>8118</v>
      </c>
      <c r="B426" s="120" t="inlineStr">
        <is>
          <t>GG8118</t>
        </is>
      </c>
      <c r="C426" s="124" t="inlineStr">
        <is>
          <t>조지아EMB더블랙390B X20</t>
        </is>
      </c>
      <c r="D426" s="256" t="n">
        <v>183</v>
      </c>
      <c r="E426" s="256" t="n">
        <v>182.5</v>
      </c>
      <c r="F426" s="155" t="n">
        <v>365</v>
      </c>
      <c r="G426" s="257" t="n">
        <v>182</v>
      </c>
    </row>
    <row r="427" ht="14.25" customHeight="1" s="237">
      <c r="A427" s="120" t="n">
        <v>8119</v>
      </c>
      <c r="B427" s="120" t="inlineStr">
        <is>
          <t>GG8119</t>
        </is>
      </c>
      <c r="C427" s="124" t="inlineStr">
        <is>
          <t>조지아EMB아메390B X20</t>
        </is>
      </c>
      <c r="D427" s="256" t="n">
        <v>183</v>
      </c>
      <c r="E427" s="256" t="n">
        <v>182.5</v>
      </c>
      <c r="F427" s="155" t="n">
        <v>365</v>
      </c>
      <c r="G427" s="257" t="n">
        <v>182</v>
      </c>
    </row>
    <row r="428" ht="14.25" customHeight="1" s="237">
      <c r="A428" s="120" t="n">
        <v>8123</v>
      </c>
      <c r="B428" s="120" t="inlineStr">
        <is>
          <t>GG8123</t>
        </is>
      </c>
      <c r="C428" s="124" t="inlineStr">
        <is>
          <t>조지아EMB라떼250CUP X10</t>
        </is>
      </c>
      <c r="D428" s="256" t="n">
        <v>35</v>
      </c>
      <c r="E428" s="256" t="n">
        <v>35</v>
      </c>
      <c r="F428" s="155" t="n">
        <v>70</v>
      </c>
      <c r="G428" s="257" t="n">
        <v>35</v>
      </c>
    </row>
    <row r="429" ht="14.25" customHeight="1" s="237">
      <c r="A429" s="120" t="n">
        <v>8125</v>
      </c>
      <c r="B429" s="120" t="inlineStr">
        <is>
          <t>GG8125</t>
        </is>
      </c>
      <c r="C429" s="124" t="inlineStr">
        <is>
          <t>조지아EMB바나250CUP X10</t>
        </is>
      </c>
      <c r="D429" s="256" t="n">
        <v>35</v>
      </c>
      <c r="E429" s="256" t="n">
        <v>35</v>
      </c>
      <c r="F429" s="155" t="n">
        <v>70</v>
      </c>
      <c r="G429" s="257" t="n">
        <v>35</v>
      </c>
    </row>
    <row r="430" ht="14.25" customHeight="1" s="237">
      <c r="A430" s="120" t="n">
        <v>8126</v>
      </c>
      <c r="B430" s="120" t="inlineStr">
        <is>
          <t>GG8126</t>
        </is>
      </c>
      <c r="C430" s="124" t="inlineStr">
        <is>
          <t>조지아EMB카라250CUP X10</t>
        </is>
      </c>
      <c r="D430" s="256" t="n">
        <v>35</v>
      </c>
      <c r="E430" s="256" t="n">
        <v>35</v>
      </c>
      <c r="F430" s="155" t="n">
        <v>70</v>
      </c>
      <c r="G430" s="257" t="n">
        <v>35</v>
      </c>
    </row>
    <row r="431" ht="14.25" customHeight="1" s="237">
      <c r="A431" s="120" t="n">
        <v>8130</v>
      </c>
      <c r="B431" s="120" t="inlineStr">
        <is>
          <t>GG8130</t>
        </is>
      </c>
      <c r="C431" s="124" t="inlineStr">
        <is>
          <t>조지아EMB더블랙270B X20</t>
        </is>
      </c>
      <c r="D431" s="256" t="n">
        <v>183</v>
      </c>
      <c r="E431" s="256" t="n">
        <v>182.5</v>
      </c>
      <c r="F431" s="155" t="n">
        <v>365</v>
      </c>
      <c r="G431" s="257" t="n">
        <v>182</v>
      </c>
    </row>
    <row r="432" ht="14.25" customHeight="1" s="237">
      <c r="A432" s="120" t="n">
        <v>8134</v>
      </c>
      <c r="B432" s="120" t="inlineStr">
        <is>
          <t>GG8134</t>
        </is>
      </c>
      <c r="C432" s="124" t="inlineStr">
        <is>
          <t>조지아EMB라떼270B X20</t>
        </is>
      </c>
      <c r="D432" s="256" t="n">
        <v>183</v>
      </c>
      <c r="E432" s="256" t="n">
        <v>182.5</v>
      </c>
      <c r="F432" s="155" t="n">
        <v>365</v>
      </c>
      <c r="G432" s="257" t="n">
        <v>182</v>
      </c>
    </row>
    <row r="433" ht="14.25" customHeight="1" s="237">
      <c r="A433" s="120" t="n">
        <v>8135</v>
      </c>
      <c r="B433" s="120" t="inlineStr">
        <is>
          <t>GG8135</t>
        </is>
      </c>
      <c r="C433" s="124" t="inlineStr">
        <is>
          <t>S조지아EMB라떼270B 2X10</t>
        </is>
      </c>
      <c r="D433" s="256" t="n">
        <v>183</v>
      </c>
      <c r="E433" s="256" t="n">
        <v>182.5</v>
      </c>
      <c r="F433" s="155" t="n">
        <v>365</v>
      </c>
      <c r="G433" s="257" t="n">
        <v>182</v>
      </c>
    </row>
    <row r="434" ht="14.25" customHeight="1" s="237">
      <c r="A434" s="120" t="n">
        <v>8136</v>
      </c>
      <c r="B434" s="120" t="inlineStr">
        <is>
          <t>GG8136</t>
        </is>
      </c>
      <c r="C434" s="124" t="inlineStr">
        <is>
          <t>조지아EMB아메270B X20</t>
        </is>
      </c>
      <c r="D434" s="256" t="n">
        <v>183</v>
      </c>
      <c r="E434" s="256" t="n">
        <v>182.5</v>
      </c>
      <c r="F434" s="155" t="n">
        <v>365</v>
      </c>
      <c r="G434" s="257" t="n">
        <v>182</v>
      </c>
    </row>
    <row r="435" ht="14.25" customHeight="1" s="237">
      <c r="A435" s="120" t="n">
        <v>8138</v>
      </c>
      <c r="B435" s="120" t="inlineStr">
        <is>
          <t>GG8138</t>
        </is>
      </c>
      <c r="C435" s="124" t="inlineStr">
        <is>
          <t>조지아EMB에스270B X20</t>
        </is>
      </c>
      <c r="D435" s="256" t="n">
        <v>183</v>
      </c>
      <c r="E435" s="256" t="n">
        <v>182.5</v>
      </c>
      <c r="F435" s="155" t="n">
        <v>365</v>
      </c>
      <c r="G435" s="257" t="n">
        <v>182</v>
      </c>
    </row>
    <row r="436" ht="14.25" customHeight="1" s="237">
      <c r="A436" s="120" t="n">
        <v>8141</v>
      </c>
      <c r="B436" s="120" t="inlineStr">
        <is>
          <t>GG8141</t>
        </is>
      </c>
      <c r="C436" s="124" t="inlineStr">
        <is>
          <t>조지아 고티카 카라멜 355PET X12</t>
        </is>
      </c>
      <c r="D436" s="256" t="n">
        <v>183</v>
      </c>
      <c r="E436" s="256" t="n">
        <v>182.5</v>
      </c>
      <c r="F436" s="155" t="n">
        <v>365</v>
      </c>
      <c r="G436" s="257" t="n">
        <v>182</v>
      </c>
    </row>
    <row r="437" ht="14.25" customHeight="1" s="237">
      <c r="A437" s="120" t="n">
        <v>8142</v>
      </c>
      <c r="B437" s="120" t="inlineStr">
        <is>
          <t>GG8142</t>
        </is>
      </c>
      <c r="C437" s="124" t="inlineStr">
        <is>
          <t>조지아 고티카 마스터스 390BTC X20</t>
        </is>
      </c>
      <c r="D437" s="256" t="n">
        <v>183</v>
      </c>
      <c r="E437" s="256" t="n">
        <v>182.5</v>
      </c>
      <c r="F437" s="155" t="n">
        <v>365</v>
      </c>
      <c r="G437" s="257" t="n">
        <v>182</v>
      </c>
    </row>
    <row r="438" ht="14.25" customHeight="1" s="237">
      <c r="A438" s="120" t="inlineStr">
        <is>
          <t>GG8143</t>
        </is>
      </c>
      <c r="B438" s="120" t="inlineStr">
        <is>
          <t>GG8143</t>
        </is>
      </c>
      <c r="C438" s="124" t="inlineStr">
        <is>
          <t>S)조지아 고티카 마스터스 390BTC 4X6</t>
        </is>
      </c>
      <c r="D438" s="256" t="n">
        <v>183</v>
      </c>
      <c r="E438" s="256" t="n">
        <v>182.5</v>
      </c>
      <c r="F438" s="155" t="n">
        <v>365</v>
      </c>
      <c r="G438" s="257" t="n">
        <v>182</v>
      </c>
    </row>
    <row r="439" ht="14.25" customHeight="1" s="237">
      <c r="A439" s="120" t="n">
        <v>8146</v>
      </c>
      <c r="B439" s="120" t="inlineStr">
        <is>
          <t>GG8146</t>
        </is>
      </c>
      <c r="C439" s="124" t="inlineStr">
        <is>
          <t>S조지아EMB더블랙270B 4X6</t>
        </is>
      </c>
      <c r="D439" s="256" t="n">
        <v>183</v>
      </c>
      <c r="E439" s="256" t="n">
        <v>182.5</v>
      </c>
      <c r="F439" s="155" t="n">
        <v>365</v>
      </c>
      <c r="G439" s="257" t="n">
        <v>182</v>
      </c>
    </row>
    <row r="440" ht="14.25" customHeight="1" s="237">
      <c r="A440" s="120" t="n">
        <v>8147</v>
      </c>
      <c r="B440" s="120" t="inlineStr">
        <is>
          <t>GG8147</t>
        </is>
      </c>
      <c r="C440" s="124" t="inlineStr">
        <is>
          <t>S조지아EMB에스270B 4X6</t>
        </is>
      </c>
      <c r="D440" s="256" t="n">
        <v>183</v>
      </c>
      <c r="E440" s="256" t="n">
        <v>182.5</v>
      </c>
      <c r="F440" s="155" t="n">
        <v>365</v>
      </c>
      <c r="G440" s="257" t="n">
        <v>182</v>
      </c>
    </row>
    <row r="441" ht="14.25" customHeight="1" s="237">
      <c r="A441" s="120" t="n">
        <v>8148</v>
      </c>
      <c r="B441" s="120" t="inlineStr">
        <is>
          <t>GG8148</t>
        </is>
      </c>
      <c r="C441" s="124" t="inlineStr">
        <is>
          <t>S조지아EMB라떼270B 4X6</t>
        </is>
      </c>
      <c r="D441" s="256" t="n">
        <v>183</v>
      </c>
      <c r="E441" s="256" t="n">
        <v>182.5</v>
      </c>
      <c r="F441" s="155" t="n">
        <v>365</v>
      </c>
      <c r="G441" s="257" t="n">
        <v>182</v>
      </c>
    </row>
    <row r="442" ht="14.25" customHeight="1" s="237">
      <c r="A442" s="120" t="n">
        <v>8149</v>
      </c>
      <c r="B442" s="120" t="inlineStr">
        <is>
          <t>GG8149</t>
        </is>
      </c>
      <c r="C442" s="124" t="inlineStr">
        <is>
          <t>S조지아EMB아메270B 4X6</t>
        </is>
      </c>
      <c r="D442" s="256" t="n">
        <v>183</v>
      </c>
      <c r="E442" s="256" t="n">
        <v>182.5</v>
      </c>
      <c r="F442" s="155" t="n">
        <v>365</v>
      </c>
      <c r="G442" s="257" t="n">
        <v>182</v>
      </c>
    </row>
    <row r="443" ht="14.25" customHeight="1" s="237">
      <c r="A443" s="120" t="n">
        <v>8150</v>
      </c>
      <c r="B443" s="120" t="inlineStr">
        <is>
          <t>GG8150</t>
        </is>
      </c>
      <c r="C443" s="124" t="inlineStr">
        <is>
          <t>조지아EMB더블랙200C X30</t>
        </is>
      </c>
      <c r="D443" s="256" t="n">
        <v>183</v>
      </c>
      <c r="E443" s="256" t="n">
        <v>182.5</v>
      </c>
      <c r="F443" s="155" t="n">
        <v>365</v>
      </c>
      <c r="G443" s="257" t="n">
        <v>182</v>
      </c>
    </row>
    <row r="444" ht="14.25" customHeight="1" s="237">
      <c r="A444" s="120" t="n">
        <v>8151</v>
      </c>
      <c r="B444" s="120" t="inlineStr">
        <is>
          <t>GG8151</t>
        </is>
      </c>
      <c r="C444" s="124" t="inlineStr">
        <is>
          <t>조지아EMB라떼200C X30</t>
        </is>
      </c>
      <c r="D444" s="256" t="n">
        <v>183</v>
      </c>
      <c r="E444" s="256" t="n">
        <v>182.5</v>
      </c>
      <c r="F444" s="155" t="n">
        <v>365</v>
      </c>
      <c r="G444" s="257" t="n">
        <v>182</v>
      </c>
    </row>
    <row r="445" ht="14.25" customHeight="1" s="237">
      <c r="A445" s="120" t="n">
        <v>8152</v>
      </c>
      <c r="B445" s="120" t="inlineStr">
        <is>
          <t>GG8152</t>
        </is>
      </c>
      <c r="C445" s="124" t="inlineStr">
        <is>
          <t>조지아EMB미당200C X30</t>
        </is>
      </c>
      <c r="D445" s="256" t="n">
        <v>183</v>
      </c>
      <c r="E445" s="256" t="n">
        <v>182.5</v>
      </c>
      <c r="F445" s="155" t="n">
        <v>365</v>
      </c>
      <c r="G445" s="257" t="n">
        <v>182</v>
      </c>
    </row>
    <row r="446" ht="14.25" customHeight="1" s="237">
      <c r="A446" s="120" t="n">
        <v>8153</v>
      </c>
      <c r="B446" s="120" t="inlineStr">
        <is>
          <t>GG8153</t>
        </is>
      </c>
      <c r="C446" s="124" t="inlineStr">
        <is>
          <t>조지아EMB아메200C X30</t>
        </is>
      </c>
      <c r="D446" s="256" t="n">
        <v>183</v>
      </c>
      <c r="E446" s="256" t="n">
        <v>182.5</v>
      </c>
      <c r="F446" s="155" t="n">
        <v>365</v>
      </c>
      <c r="G446" s="257" t="n">
        <v>182</v>
      </c>
    </row>
    <row r="447" ht="14.25" customHeight="1" s="237">
      <c r="A447" s="120" t="n">
        <v>8154</v>
      </c>
      <c r="B447" s="120" t="inlineStr">
        <is>
          <t>GG8154</t>
        </is>
      </c>
      <c r="C447" s="124" t="inlineStr">
        <is>
          <t>조지아EMB에스200C X30</t>
        </is>
      </c>
      <c r="D447" s="256" t="n">
        <v>183</v>
      </c>
      <c r="E447" s="256" t="n">
        <v>182.5</v>
      </c>
      <c r="F447" s="155" t="n">
        <v>365</v>
      </c>
      <c r="G447" s="257" t="n">
        <v>182</v>
      </c>
    </row>
    <row r="448" ht="14.25" customHeight="1" s="237">
      <c r="A448" s="120" t="n">
        <v>8155</v>
      </c>
      <c r="B448" s="120" t="inlineStr">
        <is>
          <t>GG8155</t>
        </is>
      </c>
      <c r="C448" s="124" t="inlineStr">
        <is>
          <t>조지아EMB라떼200C 5X6</t>
        </is>
      </c>
      <c r="D448" s="256" t="n">
        <v>183</v>
      </c>
      <c r="E448" s="256" t="n">
        <v>182.5</v>
      </c>
      <c r="F448" s="155" t="n">
        <v>365</v>
      </c>
      <c r="G448" s="257" t="n">
        <v>182</v>
      </c>
    </row>
    <row r="449" ht="14.25" customHeight="1" s="237">
      <c r="A449" s="120" t="n">
        <v>8157</v>
      </c>
      <c r="B449" s="120" t="inlineStr">
        <is>
          <t>GG8157</t>
        </is>
      </c>
      <c r="C449" s="124" t="inlineStr">
        <is>
          <t>조지아EMB아메200C 5X6</t>
        </is>
      </c>
      <c r="D449" s="256" t="n">
        <v>183</v>
      </c>
      <c r="E449" s="256" t="n">
        <v>182.5</v>
      </c>
      <c r="F449" s="155" t="n">
        <v>365</v>
      </c>
      <c r="G449" s="257" t="n">
        <v>182</v>
      </c>
    </row>
    <row r="450" ht="14.25" customHeight="1" s="237">
      <c r="A450" s="120" t="n">
        <v>8166</v>
      </c>
      <c r="B450" s="120" t="inlineStr">
        <is>
          <t>GG8166</t>
        </is>
      </c>
      <c r="C450" s="124" t="inlineStr">
        <is>
          <t>조지아 고티카 마스터스 270BTC X20</t>
        </is>
      </c>
      <c r="D450" s="256" t="n">
        <v>183</v>
      </c>
      <c r="E450" s="256" t="n">
        <v>182.5</v>
      </c>
      <c r="F450" s="155" t="n">
        <v>365</v>
      </c>
      <c r="G450" s="257" t="n">
        <v>182</v>
      </c>
    </row>
    <row r="451" ht="14.25" customHeight="1" s="237">
      <c r="A451" s="120" t="n">
        <v>8167</v>
      </c>
      <c r="B451" s="120" t="inlineStr">
        <is>
          <t>GG8167</t>
        </is>
      </c>
      <c r="C451" s="124" t="inlineStr">
        <is>
          <t>S)조지아 리치아로마 라떼 270BTC 4X6</t>
        </is>
      </c>
      <c r="D451" s="256" t="n">
        <v>183</v>
      </c>
      <c r="E451" s="256" t="n">
        <v>182.5</v>
      </c>
      <c r="F451" s="155" t="n">
        <v>365</v>
      </c>
      <c r="G451" s="257" t="n">
        <v>182</v>
      </c>
    </row>
    <row r="452" ht="14.25" customHeight="1" s="237">
      <c r="A452" s="126" t="n">
        <v>8173</v>
      </c>
      <c r="B452" s="127" t="inlineStr">
        <is>
          <t>GG8173</t>
        </is>
      </c>
      <c r="C452" s="128" t="inlineStr">
        <is>
          <t>조지아 고티카 콜드라떼 265BTC X18</t>
        </is>
      </c>
      <c r="D452" s="256" t="n">
        <v>183</v>
      </c>
      <c r="E452" s="256" t="n">
        <v>182.5</v>
      </c>
      <c r="F452" s="155" t="n">
        <v>365</v>
      </c>
      <c r="G452" s="257" t="n">
        <v>182</v>
      </c>
    </row>
    <row r="453" ht="14.25" customHeight="1" s="237">
      <c r="A453" s="126" t="n">
        <v>8174</v>
      </c>
      <c r="B453" s="127" t="inlineStr">
        <is>
          <t>GG8174</t>
        </is>
      </c>
      <c r="C453" s="128" t="inlineStr">
        <is>
          <t>조지아 고티카 콜드아메 265BTC X18</t>
        </is>
      </c>
      <c r="D453" s="256" t="n">
        <v>183</v>
      </c>
      <c r="E453" s="256" t="n">
        <v>182.5</v>
      </c>
      <c r="F453" s="155" t="n">
        <v>365</v>
      </c>
      <c r="G453" s="257" t="n">
        <v>182</v>
      </c>
    </row>
    <row r="454" ht="14.25" customHeight="1" s="237">
      <c r="A454" s="126" t="n">
        <v>8179</v>
      </c>
      <c r="B454" s="127" t="inlineStr">
        <is>
          <t>GG8179</t>
        </is>
      </c>
      <c r="C454" s="128" t="inlineStr">
        <is>
          <t>조지아 고티카 마스터스 250NRB X20</t>
        </is>
      </c>
      <c r="D454" s="256" t="n">
        <v>183</v>
      </c>
      <c r="E454" s="256" t="n">
        <v>182.5</v>
      </c>
      <c r="F454" s="155" t="n">
        <v>365</v>
      </c>
      <c r="G454" s="257" t="n">
        <v>182</v>
      </c>
    </row>
    <row r="455" ht="14.25" customHeight="1" s="237">
      <c r="A455" s="126" t="n">
        <v>8181</v>
      </c>
      <c r="B455" s="120" t="inlineStr">
        <is>
          <t>GG8181</t>
        </is>
      </c>
      <c r="C455" s="128" t="inlineStr">
        <is>
          <t>조지아 오리지널 350PET 4X6</t>
        </is>
      </c>
      <c r="D455" s="256" t="n">
        <v>183</v>
      </c>
      <c r="E455" s="256" t="n">
        <v>182.5</v>
      </c>
      <c r="F455" s="155" t="n">
        <v>365</v>
      </c>
      <c r="G455" s="257" t="n">
        <v>182</v>
      </c>
    </row>
    <row r="456" ht="14.25" customHeight="1" s="237">
      <c r="A456" s="126" t="n">
        <v>8191</v>
      </c>
      <c r="B456" s="127" t="inlineStr">
        <is>
          <t>GG8191</t>
        </is>
      </c>
      <c r="C456" s="128" t="inlineStr">
        <is>
          <t>조지아 콜드스윗아메 265BTC X18</t>
        </is>
      </c>
      <c r="D456" s="256" t="n">
        <v>183</v>
      </c>
      <c r="E456" s="256" t="n">
        <v>182.5</v>
      </c>
      <c r="F456" s="155" t="n">
        <v>365</v>
      </c>
      <c r="G456" s="257" t="n">
        <v>182</v>
      </c>
    </row>
    <row r="457" ht="14.25" customHeight="1" s="237">
      <c r="A457" s="126" t="n">
        <v>8222</v>
      </c>
      <c r="B457" s="127" t="inlineStr">
        <is>
          <t>GG8222</t>
        </is>
      </c>
      <c r="C457" s="128" t="inlineStr">
        <is>
          <t>조지아 스윗아메 230PU 5X10</t>
        </is>
      </c>
      <c r="D457" s="256" t="n">
        <v>274</v>
      </c>
      <c r="E457" s="256" t="n">
        <v>273.75</v>
      </c>
      <c r="F457" s="155" t="n">
        <v>547.5</v>
      </c>
      <c r="G457" s="257" t="n">
        <v>273.5</v>
      </c>
    </row>
    <row r="458" ht="14.25" customHeight="1" s="237">
      <c r="A458" s="126" t="n">
        <v>8223</v>
      </c>
      <c r="B458" s="127" t="inlineStr">
        <is>
          <t>GG8223</t>
        </is>
      </c>
      <c r="C458" s="128" t="inlineStr">
        <is>
          <t>조지아 아이스아메 230PU 5X10</t>
        </is>
      </c>
      <c r="D458" s="256" t="n">
        <v>274</v>
      </c>
      <c r="E458" s="256" t="n">
        <v>273.75</v>
      </c>
      <c r="F458" s="155" t="n">
        <v>547.5</v>
      </c>
      <c r="G458" s="257" t="n">
        <v>273.5</v>
      </c>
    </row>
    <row r="459" ht="14.25" customHeight="1" s="237">
      <c r="A459" s="126" t="n">
        <v>8224</v>
      </c>
      <c r="B459" s="127" t="inlineStr">
        <is>
          <t>GG8224</t>
        </is>
      </c>
      <c r="C459" s="128" t="inlineStr">
        <is>
          <t>조지아 아이스블랙 230PU 5X10</t>
        </is>
      </c>
      <c r="D459" s="256" t="n">
        <v>274</v>
      </c>
      <c r="E459" s="256" t="n">
        <v>273.75</v>
      </c>
      <c r="F459" s="155" t="n">
        <v>547.5</v>
      </c>
      <c r="G459" s="257" t="n">
        <v>273.5</v>
      </c>
    </row>
    <row r="460" ht="14.25" customHeight="1" s="237">
      <c r="A460" s="126" t="n">
        <v>8227</v>
      </c>
      <c r="B460" s="127" t="inlineStr">
        <is>
          <t>GG8227</t>
        </is>
      </c>
      <c r="C460" s="128" t="inlineStr">
        <is>
          <t>조지아 아이스블랙 170PU 5X10</t>
        </is>
      </c>
      <c r="D460" s="256" t="n">
        <v>183</v>
      </c>
      <c r="E460" s="256" t="n">
        <v>136.5</v>
      </c>
      <c r="F460" s="155" t="n">
        <v>273</v>
      </c>
      <c r="G460" s="257" t="n">
        <v>90</v>
      </c>
    </row>
    <row r="461" ht="14.25" customHeight="1" s="237">
      <c r="A461" s="126" t="n">
        <v>8229</v>
      </c>
      <c r="B461" s="127" t="inlineStr">
        <is>
          <t>GG8229</t>
        </is>
      </c>
      <c r="C461" s="128" t="inlineStr">
        <is>
          <t>조지아 아이스아메 220PU 5X10</t>
        </is>
      </c>
      <c r="D461" s="256" t="n">
        <v>274</v>
      </c>
      <c r="E461" s="256" t="n">
        <v>273.75</v>
      </c>
      <c r="F461" s="155" t="n">
        <v>547.5</v>
      </c>
      <c r="G461" s="257" t="n">
        <v>273.5</v>
      </c>
    </row>
    <row r="462" ht="14.25" customHeight="1" s="237">
      <c r="A462" s="126" t="n">
        <v>8230</v>
      </c>
      <c r="B462" s="127" t="inlineStr">
        <is>
          <t>GG8230</t>
        </is>
      </c>
      <c r="C462" s="128" t="inlineStr">
        <is>
          <t>조지아 아이스블랙 220PU 5X10</t>
        </is>
      </c>
      <c r="D462" s="256" t="n">
        <v>274</v>
      </c>
      <c r="E462" s="256" t="n">
        <v>273.75</v>
      </c>
      <c r="F462" s="155" t="n">
        <v>547.5</v>
      </c>
      <c r="G462" s="257" t="n">
        <v>273.5</v>
      </c>
    </row>
    <row r="463" ht="14.25" customHeight="1" s="237">
      <c r="A463" s="120" t="n">
        <v>8140</v>
      </c>
      <c r="B463" s="120" t="inlineStr">
        <is>
          <t>GG8231</t>
        </is>
      </c>
      <c r="C463" s="124" t="inlineStr">
        <is>
          <t>S조지아아이스아메170PU 5X10</t>
        </is>
      </c>
      <c r="D463" s="256" t="n">
        <v>137</v>
      </c>
      <c r="E463" s="256" t="n">
        <v>136.5</v>
      </c>
      <c r="F463" s="155" t="n">
        <v>273</v>
      </c>
      <c r="G463" s="257" t="n">
        <v>136</v>
      </c>
    </row>
    <row r="464" ht="14.25" customHeight="1" s="237">
      <c r="A464" s="120" t="n">
        <v>8231</v>
      </c>
      <c r="B464" s="120" t="inlineStr">
        <is>
          <t>GG8231</t>
        </is>
      </c>
      <c r="C464" s="124" t="inlineStr">
        <is>
          <t>N조지아아이스아메170PU 5X10</t>
        </is>
      </c>
      <c r="D464" s="256" t="n">
        <v>183</v>
      </c>
      <c r="E464" s="256" t="n">
        <v>136.5</v>
      </c>
      <c r="F464" s="155" t="n">
        <v>273</v>
      </c>
      <c r="G464" s="257" t="n">
        <v>90</v>
      </c>
    </row>
    <row r="465" ht="14.25" customHeight="1" s="237">
      <c r="A465" s="120" t="n">
        <v>8232</v>
      </c>
      <c r="B465" s="120" t="inlineStr">
        <is>
          <t>GG8232</t>
        </is>
      </c>
      <c r="C465" s="124" t="inlineStr">
        <is>
          <t>N조지아아이스라떼170PU 5X10</t>
        </is>
      </c>
      <c r="D465" s="256" t="n">
        <v>137</v>
      </c>
      <c r="E465" s="256" t="n">
        <v>136.5</v>
      </c>
      <c r="F465" s="155" t="n">
        <v>273</v>
      </c>
      <c r="G465" s="257" t="n">
        <v>136</v>
      </c>
    </row>
    <row r="466" ht="14.25" customHeight="1" s="237">
      <c r="A466" s="120" t="n">
        <v>8233</v>
      </c>
      <c r="B466" s="120" t="inlineStr">
        <is>
          <t>GG8233</t>
        </is>
      </c>
      <c r="C466" s="124" t="inlineStr">
        <is>
          <t>N조지아아이스카라170PU 5X10</t>
        </is>
      </c>
      <c r="D466" s="256" t="n">
        <v>137</v>
      </c>
      <c r="E466" s="256" t="n">
        <v>136.5</v>
      </c>
      <c r="F466" s="155" t="n">
        <v>273</v>
      </c>
      <c r="G466" s="257" t="n">
        <v>136</v>
      </c>
    </row>
    <row r="467" ht="14.25" customHeight="1" s="237">
      <c r="A467" s="120" t="n">
        <v>8234</v>
      </c>
      <c r="B467" s="120" t="inlineStr">
        <is>
          <t>GG8234</t>
        </is>
      </c>
      <c r="C467" s="124" t="inlineStr">
        <is>
          <t>N조지아아이스아메170PU X10</t>
        </is>
      </c>
      <c r="D467" s="256" t="n">
        <v>137</v>
      </c>
      <c r="E467" s="256" t="n">
        <v>136.5</v>
      </c>
      <c r="F467" s="155" t="n">
        <v>273</v>
      </c>
      <c r="G467" s="257" t="n">
        <v>136</v>
      </c>
    </row>
    <row r="468" ht="14.25" customHeight="1" s="237">
      <c r="A468" s="120" t="n">
        <v>8235</v>
      </c>
      <c r="B468" s="120" t="inlineStr">
        <is>
          <t>GG8235</t>
        </is>
      </c>
      <c r="C468" s="124" t="inlineStr">
        <is>
          <t>N조지아아이스라떼170PU X10</t>
        </is>
      </c>
      <c r="D468" s="256" t="n">
        <v>137</v>
      </c>
      <c r="E468" s="256" t="n">
        <v>136.5</v>
      </c>
      <c r="F468" s="155" t="n">
        <v>273</v>
      </c>
      <c r="G468" s="257" t="n">
        <v>136</v>
      </c>
    </row>
    <row r="469" ht="14.25" customHeight="1" s="237">
      <c r="A469" s="120" t="n">
        <v>8236</v>
      </c>
      <c r="B469" s="120" t="inlineStr">
        <is>
          <t>GG8236</t>
        </is>
      </c>
      <c r="C469" s="124" t="inlineStr">
        <is>
          <t>N조지아아이스카라170PU X10</t>
        </is>
      </c>
      <c r="D469" s="256" t="n">
        <v>137</v>
      </c>
      <c r="E469" s="256" t="n">
        <v>136.5</v>
      </c>
      <c r="F469" s="155" t="n">
        <v>273</v>
      </c>
      <c r="G469" s="257" t="n">
        <v>136</v>
      </c>
    </row>
    <row r="470" ht="14.25" customHeight="1" s="237">
      <c r="A470" s="126" t="n">
        <v>8240</v>
      </c>
      <c r="B470" s="127" t="inlineStr">
        <is>
          <t>GG8240</t>
        </is>
      </c>
      <c r="C470" s="128" t="inlineStr">
        <is>
          <t>조지아 고티카에스 마일드 80PU 3X5</t>
        </is>
      </c>
      <c r="D470" s="256" t="n">
        <v>274</v>
      </c>
      <c r="E470" s="256" t="n">
        <v>273.75</v>
      </c>
      <c r="F470" s="155" t="n">
        <v>547.5</v>
      </c>
      <c r="G470" s="257" t="n">
        <v>273.5</v>
      </c>
    </row>
    <row r="471" ht="14.25" customHeight="1" s="237">
      <c r="A471" s="126" t="n">
        <v>8241</v>
      </c>
      <c r="B471" s="127" t="inlineStr">
        <is>
          <t>GG8241</t>
        </is>
      </c>
      <c r="C471" s="128" t="inlineStr">
        <is>
          <t>조지아 고티카에스 다크 80PU 3X5</t>
        </is>
      </c>
      <c r="D471" s="256" t="n">
        <v>274</v>
      </c>
      <c r="E471" s="256" t="n">
        <v>273.75</v>
      </c>
      <c r="F471" s="155" t="n">
        <v>547.5</v>
      </c>
      <c r="G471" s="257" t="n">
        <v>273.5</v>
      </c>
    </row>
    <row r="472" ht="14.25" customHeight="1" s="237">
      <c r="A472" s="126" t="n">
        <v>8245</v>
      </c>
      <c r="B472" s="127" t="inlineStr">
        <is>
          <t>GG8245</t>
        </is>
      </c>
      <c r="C472" s="128" t="inlineStr">
        <is>
          <t>조지아 고티카에스 마일드 300PU X4</t>
        </is>
      </c>
      <c r="D472" s="256" t="n">
        <v>137</v>
      </c>
      <c r="E472" s="256" t="n">
        <v>136.5</v>
      </c>
      <c r="F472" s="155" t="n">
        <v>273</v>
      </c>
      <c r="G472" s="257" t="n">
        <v>136</v>
      </c>
    </row>
    <row r="473" ht="14.25" customHeight="1" s="237">
      <c r="A473" s="126" t="n">
        <v>8246</v>
      </c>
      <c r="B473" s="127" t="inlineStr">
        <is>
          <t>GG8246</t>
        </is>
      </c>
      <c r="C473" s="128" t="inlineStr">
        <is>
          <t>조지아 고티카에스 다크 300PU X4</t>
        </is>
      </c>
      <c r="D473" s="256" t="n">
        <v>137</v>
      </c>
      <c r="E473" s="256" t="n">
        <v>136.5</v>
      </c>
      <c r="F473" s="155" t="n">
        <v>273</v>
      </c>
      <c r="G473" s="257" t="n">
        <v>136</v>
      </c>
    </row>
    <row r="474" ht="14.25" customHeight="1" s="237">
      <c r="A474" s="126" t="n">
        <v>8249</v>
      </c>
      <c r="B474" s="127" t="inlineStr">
        <is>
          <t>GG8249</t>
        </is>
      </c>
      <c r="C474" s="128" t="inlineStr">
        <is>
          <t>고티카에스 마일드2+다크2+컵 80PU 2X4</t>
        </is>
      </c>
      <c r="D474" s="256" t="n">
        <v>137</v>
      </c>
      <c r="E474" s="256" t="n">
        <v>136.5</v>
      </c>
      <c r="F474" s="155" t="n">
        <v>273</v>
      </c>
      <c r="G474" s="257" t="n">
        <v>136</v>
      </c>
    </row>
    <row r="475" ht="14.25" customHeight="1" s="237">
      <c r="A475" s="126" t="n">
        <v>8251</v>
      </c>
      <c r="B475" s="127" t="inlineStr">
        <is>
          <t>GG8251</t>
        </is>
      </c>
      <c r="C475" s="128" t="inlineStr">
        <is>
          <t>조지아카페블랙175C X30</t>
        </is>
      </c>
      <c r="D475" s="256" t="n">
        <v>183</v>
      </c>
      <c r="E475" s="256" t="n">
        <v>182.5</v>
      </c>
      <c r="F475" s="155" t="n">
        <v>365</v>
      </c>
      <c r="G475" s="257" t="n">
        <v>182</v>
      </c>
    </row>
    <row r="476" ht="14.25" customHeight="1" s="237">
      <c r="A476" s="126" t="n">
        <v>8252</v>
      </c>
      <c r="B476" s="127" t="inlineStr">
        <is>
          <t>GG8252</t>
        </is>
      </c>
      <c r="C476" s="128" t="inlineStr">
        <is>
          <t>조지아카페블랙175C 5X6</t>
        </is>
      </c>
      <c r="D476" s="256" t="n">
        <v>183</v>
      </c>
      <c r="E476" s="256" t="n">
        <v>182.5</v>
      </c>
      <c r="F476" s="155" t="n">
        <v>365</v>
      </c>
      <c r="G476" s="257" t="n">
        <v>182</v>
      </c>
    </row>
    <row r="477" ht="14.25" customHeight="1" s="237">
      <c r="A477" s="126" t="n">
        <v>8261</v>
      </c>
      <c r="B477" s="127" t="inlineStr">
        <is>
          <t>GG8261</t>
        </is>
      </c>
      <c r="C477" s="128" t="inlineStr">
        <is>
          <t>조지아카페마일드175C X30</t>
        </is>
      </c>
      <c r="D477" s="256" t="n">
        <v>183</v>
      </c>
      <c r="E477" s="256" t="n">
        <v>182.5</v>
      </c>
      <c r="F477" s="155" t="n">
        <v>365</v>
      </c>
      <c r="G477" s="257" t="n">
        <v>182</v>
      </c>
    </row>
    <row r="478" ht="14.25" customHeight="1" s="237">
      <c r="A478" s="126" t="n">
        <v>8262</v>
      </c>
      <c r="B478" s="127" t="inlineStr">
        <is>
          <t>GG8262</t>
        </is>
      </c>
      <c r="C478" s="128" t="inlineStr">
        <is>
          <t>조지아카페마일드175C 5X6</t>
        </is>
      </c>
      <c r="D478" s="256" t="n">
        <v>183</v>
      </c>
      <c r="E478" s="256" t="n">
        <v>182.5</v>
      </c>
      <c r="F478" s="155" t="n">
        <v>365</v>
      </c>
      <c r="G478" s="257" t="n">
        <v>182</v>
      </c>
    </row>
    <row r="479" ht="14.25" customHeight="1" s="237">
      <c r="A479" s="126" t="n">
        <v>8264</v>
      </c>
      <c r="B479" s="127" t="inlineStr">
        <is>
          <t>GG8264</t>
        </is>
      </c>
      <c r="C479" s="128" t="inlineStr">
        <is>
          <t>조지아카페마일드200C 5X6</t>
        </is>
      </c>
      <c r="D479" s="256" t="n">
        <v>183</v>
      </c>
      <c r="E479" s="256" t="n">
        <v>182.5</v>
      </c>
      <c r="F479" s="155" t="n">
        <v>365</v>
      </c>
      <c r="G479" s="257" t="n">
        <v>182</v>
      </c>
    </row>
    <row r="480" ht="14.25" customHeight="1" s="237">
      <c r="A480" s="126" t="n">
        <v>8265</v>
      </c>
      <c r="B480" s="127" t="inlineStr">
        <is>
          <t>GG8265</t>
        </is>
      </c>
      <c r="C480" s="128" t="inlineStr">
        <is>
          <t>조지아 라떼니스타 크리미 280PET 4X6</t>
        </is>
      </c>
      <c r="D480" s="256" t="n">
        <v>152</v>
      </c>
      <c r="E480" s="256" t="n">
        <v>152</v>
      </c>
      <c r="F480" s="155" t="n">
        <v>304</v>
      </c>
      <c r="G480" s="257" t="n">
        <v>121</v>
      </c>
    </row>
    <row r="481" ht="14.25" customHeight="1" s="237">
      <c r="A481" s="171" t="n">
        <v>8266</v>
      </c>
      <c r="B481" s="172" t="inlineStr">
        <is>
          <t>GG8266</t>
        </is>
      </c>
      <c r="C481" s="137" t="inlineStr">
        <is>
          <t>조지아 라떼니스타 카라멜 280PET 4X6</t>
        </is>
      </c>
      <c r="D481" s="264" t="n">
        <v>152</v>
      </c>
      <c r="E481" s="264" t="n">
        <v>151.5</v>
      </c>
      <c r="F481" s="138" t="n">
        <v>303</v>
      </c>
      <c r="G481" s="265" t="n">
        <v>151</v>
      </c>
    </row>
    <row r="482" ht="14.25" customHeight="1" s="237">
      <c r="A482" s="126" t="n">
        <v>8268</v>
      </c>
      <c r="B482" s="127" t="inlineStr">
        <is>
          <t>GG8268</t>
        </is>
      </c>
      <c r="C482" s="128" t="inlineStr">
        <is>
          <t>조지아 카페 마일드 라떼 500PET 4X6</t>
        </is>
      </c>
      <c r="D482" s="264" t="n">
        <v>152</v>
      </c>
      <c r="E482" s="264" t="n">
        <v>151.5</v>
      </c>
      <c r="F482" s="138" t="n">
        <v>303</v>
      </c>
      <c r="G482" s="265" t="n">
        <v>151</v>
      </c>
    </row>
    <row r="483" ht="14.25" customHeight="1" s="237">
      <c r="A483" s="126" t="n">
        <v>8269</v>
      </c>
      <c r="B483" s="127" t="inlineStr">
        <is>
          <t>GG8269</t>
        </is>
      </c>
      <c r="C483" s="128" t="inlineStr">
        <is>
          <t>조지아 카페 헤이즐넛 아메 500PET 4X6</t>
        </is>
      </c>
      <c r="D483" s="256" t="n">
        <v>183</v>
      </c>
      <c r="E483" s="256" t="n">
        <v>182.5</v>
      </c>
      <c r="F483" s="155" t="n">
        <v>365</v>
      </c>
      <c r="G483" s="257" t="n">
        <v>182</v>
      </c>
    </row>
    <row r="484" ht="14.25" customHeight="1" s="237">
      <c r="A484" s="120" t="n">
        <v>5451</v>
      </c>
      <c r="B484" s="120" t="inlineStr">
        <is>
          <t>GL5451</t>
        </is>
      </c>
      <c r="C484" s="124" t="inlineStr">
        <is>
          <t>글라소백포도＆레몬450P X24</t>
        </is>
      </c>
      <c r="D484" s="256" t="n">
        <v>137</v>
      </c>
      <c r="E484" s="256" t="n">
        <v>136.5</v>
      </c>
      <c r="F484" s="155" t="n">
        <v>273</v>
      </c>
      <c r="G484" s="257" t="n">
        <v>136</v>
      </c>
    </row>
    <row r="485" ht="14.25" customHeight="1" s="237">
      <c r="A485" s="120" t="n">
        <v>5452</v>
      </c>
      <c r="B485" s="120" t="inlineStr">
        <is>
          <t>GL5452</t>
        </is>
      </c>
      <c r="C485" s="124" t="inlineStr">
        <is>
          <t>글라소복숭아＆자몽450P X24</t>
        </is>
      </c>
      <c r="D485" s="256" t="n">
        <v>137</v>
      </c>
      <c r="E485" s="256" t="n">
        <v>136.5</v>
      </c>
      <c r="F485" s="155" t="n">
        <v>273</v>
      </c>
      <c r="G485" s="257" t="n">
        <v>136</v>
      </c>
    </row>
    <row r="486" ht="14.25" customHeight="1" s="237">
      <c r="A486" s="120" t="n">
        <v>5453</v>
      </c>
      <c r="B486" s="120" t="inlineStr">
        <is>
          <t>GL5453</t>
        </is>
      </c>
      <c r="C486" s="124" t="inlineStr">
        <is>
          <t>글라소　감귤＆망고450P X24</t>
        </is>
      </c>
      <c r="D486" s="256" t="n">
        <v>137</v>
      </c>
      <c r="E486" s="256" t="n">
        <v>136.5</v>
      </c>
      <c r="F486" s="155" t="n">
        <v>273</v>
      </c>
      <c r="G486" s="257" t="n">
        <v>136</v>
      </c>
    </row>
    <row r="487" ht="14.25" customHeight="1" s="237">
      <c r="A487" s="120" t="n">
        <v>5453</v>
      </c>
      <c r="B487" s="120" t="inlineStr">
        <is>
          <t>GL5453</t>
        </is>
      </c>
      <c r="C487" s="124" t="inlineStr">
        <is>
          <t>글라소 감귤&amp;망고 450PET X24</t>
        </is>
      </c>
      <c r="D487" s="256" t="n">
        <v>137</v>
      </c>
      <c r="E487" s="256" t="n">
        <v>136.5</v>
      </c>
      <c r="F487" s="155" t="n">
        <v>273</v>
      </c>
      <c r="G487" s="257" t="n">
        <v>136</v>
      </c>
    </row>
    <row r="488" ht="14.25" customHeight="1" s="237">
      <c r="A488" s="120" t="n">
        <v>5454</v>
      </c>
      <c r="B488" s="120" t="inlineStr">
        <is>
          <t>GL5454</t>
        </is>
      </c>
      <c r="C488" s="124" t="inlineStr">
        <is>
          <t>글라소 백포도&amp;레몬 450PET 4X6</t>
        </is>
      </c>
      <c r="D488" s="256" t="n">
        <v>137</v>
      </c>
      <c r="E488" s="256" t="n">
        <v>136.5</v>
      </c>
      <c r="F488" s="155" t="n">
        <v>273</v>
      </c>
      <c r="G488" s="257" t="n">
        <v>136</v>
      </c>
    </row>
    <row r="489" ht="14.25" customHeight="1" s="237">
      <c r="A489" s="120" t="n">
        <v>5455</v>
      </c>
      <c r="B489" s="120" t="inlineStr">
        <is>
          <t>GL5455</t>
        </is>
      </c>
      <c r="C489" s="124" t="inlineStr">
        <is>
          <t>글라소 복숭아&amp;자몽 450PET 4X6</t>
        </is>
      </c>
      <c r="D489" s="256" t="n">
        <v>137</v>
      </c>
      <c r="E489" s="256" t="n">
        <v>136.5</v>
      </c>
      <c r="F489" s="155" t="n">
        <v>273</v>
      </c>
      <c r="G489" s="257" t="n">
        <v>136</v>
      </c>
    </row>
    <row r="490" ht="14.25" customHeight="1" s="237">
      <c r="A490" s="126" t="n">
        <v>5471</v>
      </c>
      <c r="B490" s="120" t="inlineStr">
        <is>
          <t>GL5471</t>
        </is>
      </c>
      <c r="C490" s="128" t="inlineStr">
        <is>
          <t>글라소　파워씨340C X24</t>
        </is>
      </c>
      <c r="D490" s="256" t="n">
        <v>183</v>
      </c>
      <c r="E490" s="256" t="n">
        <v>182.5</v>
      </c>
      <c r="F490" s="155" t="n">
        <v>365</v>
      </c>
      <c r="G490" s="257" t="n">
        <v>182</v>
      </c>
    </row>
    <row r="491" ht="14.25" customHeight="1" s="237">
      <c r="A491" s="126" t="n">
        <v>5472</v>
      </c>
      <c r="B491" s="120" t="inlineStr">
        <is>
          <t>GL5472</t>
        </is>
      </c>
      <c r="C491" s="128" t="inlineStr">
        <is>
          <t>글라소　에너지340C X24</t>
        </is>
      </c>
      <c r="D491" s="256" t="n">
        <v>183</v>
      </c>
      <c r="E491" s="256" t="n">
        <v>182.5</v>
      </c>
      <c r="F491" s="155" t="n">
        <v>365</v>
      </c>
      <c r="G491" s="257" t="n">
        <v>182</v>
      </c>
    </row>
    <row r="492" ht="14.25" customHeight="1" s="237">
      <c r="A492" s="120" t="n">
        <v>5480</v>
      </c>
      <c r="B492" s="120" t="inlineStr">
        <is>
          <t>GL5480</t>
        </is>
      </c>
      <c r="C492" s="124" t="inlineStr">
        <is>
          <t>GLACEAU FOCUS 500P X12 (HK)</t>
        </is>
      </c>
      <c r="D492" s="256" t="n">
        <v>122</v>
      </c>
      <c r="E492" s="256" t="n">
        <v>91.5</v>
      </c>
      <c r="F492" s="155" t="n">
        <v>183</v>
      </c>
      <c r="G492" s="257" t="n">
        <v>61</v>
      </c>
    </row>
    <row r="493" ht="14.25" customHeight="1" s="237">
      <c r="A493" s="120" t="n">
        <v>5490</v>
      </c>
      <c r="B493" s="120" t="inlineStr">
        <is>
          <t>GL5490</t>
        </is>
      </c>
      <c r="C493" s="124" t="inlineStr">
        <is>
          <t>글라소 파워씨500P X12</t>
        </is>
      </c>
      <c r="D493" s="256" t="n">
        <v>122</v>
      </c>
      <c r="E493" s="256" t="n">
        <v>91.5</v>
      </c>
      <c r="F493" s="155" t="n">
        <v>183</v>
      </c>
      <c r="G493" s="257" t="n">
        <v>61</v>
      </c>
    </row>
    <row r="494" ht="14.25" customHeight="1" s="237">
      <c r="A494" s="120" t="n">
        <v>5491</v>
      </c>
      <c r="B494" s="120" t="inlineStr">
        <is>
          <t>GL5491</t>
        </is>
      </c>
      <c r="C494" s="124" t="inlineStr">
        <is>
          <t>글라소 에센셜500P X12</t>
        </is>
      </c>
      <c r="D494" s="256" t="n">
        <v>122</v>
      </c>
      <c r="E494" s="256" t="n">
        <v>136.5</v>
      </c>
      <c r="F494" s="155" t="n">
        <v>273</v>
      </c>
      <c r="G494" s="257" t="n">
        <v>151</v>
      </c>
    </row>
    <row r="495" ht="14.25" customHeight="1" s="237">
      <c r="A495" s="120" t="n">
        <v>5492</v>
      </c>
      <c r="B495" s="120" t="inlineStr">
        <is>
          <t>GL5492</t>
        </is>
      </c>
      <c r="C495" s="124" t="inlineStr">
        <is>
          <t>글라소 에너지500P X12</t>
        </is>
      </c>
      <c r="D495" s="256" t="n">
        <v>122</v>
      </c>
      <c r="E495" s="256" t="n">
        <v>136.5</v>
      </c>
      <c r="F495" s="155" t="n">
        <v>273</v>
      </c>
      <c r="G495" s="257" t="n">
        <v>151</v>
      </c>
    </row>
    <row r="496" ht="14.25" customHeight="1" s="237">
      <c r="A496" s="120" t="n">
        <v>5493</v>
      </c>
      <c r="B496" s="120" t="inlineStr">
        <is>
          <t>GL5493</t>
        </is>
      </c>
      <c r="C496" s="124" t="inlineStr">
        <is>
          <t>글라소멀티브이500P X12</t>
        </is>
      </c>
      <c r="D496" s="256" t="n">
        <v>122</v>
      </c>
      <c r="E496" s="256" t="n">
        <v>91.5</v>
      </c>
      <c r="F496" s="155" t="n">
        <v>183</v>
      </c>
      <c r="G496" s="257" t="n">
        <v>61</v>
      </c>
    </row>
    <row r="497" ht="14.25" customHeight="1" s="237">
      <c r="A497" s="120" t="n">
        <v>5494</v>
      </c>
      <c r="B497" s="120" t="inlineStr">
        <is>
          <t>GL5494</t>
        </is>
      </c>
      <c r="C497" s="124" t="inlineStr">
        <is>
          <t>글라소리스토어500P X12</t>
        </is>
      </c>
      <c r="D497" s="256" t="n">
        <v>122</v>
      </c>
      <c r="E497" s="256" t="n">
        <v>136.5</v>
      </c>
      <c r="F497" s="155" t="n">
        <v>273</v>
      </c>
      <c r="G497" s="257" t="n">
        <v>151</v>
      </c>
    </row>
    <row r="498" ht="14.25" customHeight="1" s="237">
      <c r="A498" s="120" t="n">
        <v>5495</v>
      </c>
      <c r="B498" s="120" t="inlineStr">
        <is>
          <t>GL5495</t>
        </is>
      </c>
      <c r="C498" s="124" t="inlineStr">
        <is>
          <t>글라소 XXX500P X12</t>
        </is>
      </c>
      <c r="D498" s="256" t="n">
        <v>122</v>
      </c>
      <c r="E498" s="256" t="n">
        <v>136.5</v>
      </c>
      <c r="F498" s="155" t="n">
        <v>273</v>
      </c>
      <c r="G498" s="257" t="n">
        <v>151</v>
      </c>
    </row>
    <row r="499" ht="14.25" customHeight="1" s="237">
      <c r="A499" s="120" t="n">
        <v>5499</v>
      </c>
      <c r="B499" s="120" t="inlineStr">
        <is>
          <t>GL5499</t>
        </is>
      </c>
      <c r="C499" s="124" t="inlineStr">
        <is>
          <t>글라소 스마트500P X20</t>
        </is>
      </c>
      <c r="D499" s="256" t="n">
        <v>243</v>
      </c>
      <c r="E499" s="256" t="n">
        <v>182.5</v>
      </c>
      <c r="F499" s="155" t="n">
        <v>365</v>
      </c>
      <c r="G499" s="257" t="n">
        <v>122</v>
      </c>
    </row>
    <row r="500" ht="14.25" customHeight="1" s="237">
      <c r="A500" s="120" t="n">
        <v>5503</v>
      </c>
      <c r="B500" s="120" t="inlineStr">
        <is>
          <t>GL5503</t>
        </is>
      </c>
      <c r="C500" s="124" t="inlineStr">
        <is>
          <t>글라소 포커스500P X12</t>
        </is>
      </c>
      <c r="D500" s="256" t="n">
        <v>122</v>
      </c>
      <c r="E500" s="256" t="n">
        <v>91.5</v>
      </c>
      <c r="F500" s="155" t="n">
        <v>183</v>
      </c>
      <c r="G500" s="257" t="n">
        <v>61</v>
      </c>
    </row>
    <row r="501" ht="14.25" customHeight="1" s="237">
      <c r="A501" s="120" t="n">
        <v>5508</v>
      </c>
      <c r="B501" s="120" t="inlineStr">
        <is>
          <t>GL5508</t>
        </is>
      </c>
      <c r="C501" s="124" t="inlineStr">
        <is>
          <t>글라소 플래쉬500P X12</t>
        </is>
      </c>
      <c r="D501" s="256" t="n">
        <v>122</v>
      </c>
      <c r="E501" s="256" t="n">
        <v>91.5</v>
      </c>
      <c r="F501" s="155" t="n">
        <v>183</v>
      </c>
      <c r="G501" s="257" t="n">
        <v>61</v>
      </c>
    </row>
    <row r="502" ht="14.25" customHeight="1" s="237">
      <c r="A502" s="120" t="n">
        <v>5525</v>
      </c>
      <c r="B502" s="120" t="inlineStr">
        <is>
          <t>GL5525</t>
        </is>
      </c>
      <c r="C502" s="124" t="inlineStr">
        <is>
          <t>글라소 선샤인500P X12</t>
        </is>
      </c>
      <c r="D502" s="256" t="n">
        <v>122</v>
      </c>
      <c r="E502" s="256" t="n">
        <v>91.5</v>
      </c>
      <c r="F502" s="155" t="n">
        <v>183</v>
      </c>
      <c r="G502" s="257" t="n">
        <v>61</v>
      </c>
    </row>
    <row r="503" ht="14.25" customHeight="1" s="237">
      <c r="A503" s="120" t="n">
        <v>5526</v>
      </c>
      <c r="B503" s="120" t="inlineStr">
        <is>
          <t>GL5526</t>
        </is>
      </c>
      <c r="C503" s="124" t="inlineStr">
        <is>
          <t>글라소지-크리500P X12</t>
        </is>
      </c>
      <c r="D503" s="256" t="n">
        <v>122</v>
      </c>
      <c r="E503" s="256" t="n">
        <v>91.5</v>
      </c>
      <c r="F503" s="155" t="n">
        <v>183</v>
      </c>
      <c r="G503" s="257" t="n">
        <v>61</v>
      </c>
    </row>
    <row r="504" ht="14.25" customHeight="1" s="237">
      <c r="A504" s="120" t="n">
        <v>5527</v>
      </c>
      <c r="B504" s="120" t="inlineStr">
        <is>
          <t>GL5527</t>
        </is>
      </c>
      <c r="C504" s="124" t="inlineStr">
        <is>
          <t>글라소코코워터500P X12</t>
        </is>
      </c>
      <c r="D504" s="256" t="n">
        <v>122</v>
      </c>
      <c r="E504" s="256" t="n">
        <v>91.5</v>
      </c>
      <c r="F504" s="155" t="n">
        <v>183</v>
      </c>
      <c r="G504" s="257" t="n">
        <v>61</v>
      </c>
    </row>
    <row r="505" ht="14.25" customHeight="1" s="237">
      <c r="A505" s="120" t="n">
        <v>5531</v>
      </c>
      <c r="B505" s="120" t="inlineStr">
        <is>
          <t>GL5531</t>
        </is>
      </c>
      <c r="C505" s="124" t="inlineStr">
        <is>
          <t>글라소 에너지355P X20</t>
        </is>
      </c>
      <c r="D505" s="256" t="n">
        <v>122</v>
      </c>
      <c r="E505" s="256" t="n">
        <v>91.5</v>
      </c>
      <c r="F505" s="155" t="n">
        <v>183</v>
      </c>
      <c r="G505" s="257" t="n">
        <v>61</v>
      </c>
    </row>
    <row r="506" ht="14.25" customHeight="1" s="237">
      <c r="A506" s="120" t="n">
        <v>5535</v>
      </c>
      <c r="B506" s="120" t="inlineStr">
        <is>
          <t>GL5535</t>
        </is>
      </c>
      <c r="C506" s="124" t="inlineStr">
        <is>
          <t>글라소코코워터355P 4X6</t>
        </is>
      </c>
      <c r="D506" s="256" t="n">
        <v>122</v>
      </c>
      <c r="E506" s="256" t="n">
        <v>91.5</v>
      </c>
      <c r="F506" s="155" t="n">
        <v>183</v>
      </c>
      <c r="G506" s="257" t="n">
        <v>61</v>
      </c>
    </row>
    <row r="507" ht="14.25" customHeight="1" s="237">
      <c r="A507" s="120" t="n">
        <v>5544</v>
      </c>
      <c r="B507" s="120" t="inlineStr">
        <is>
          <t>GL5544</t>
        </is>
      </c>
      <c r="C507" s="124" t="inlineStr">
        <is>
          <t>글라소PC+EN+MV+3X 500P X12</t>
        </is>
      </c>
      <c r="D507" s="256" t="n">
        <v>122</v>
      </c>
      <c r="E507" s="256" t="n">
        <v>91.5</v>
      </c>
      <c r="F507" s="155" t="n">
        <v>183</v>
      </c>
      <c r="G507" s="257" t="n">
        <v>61</v>
      </c>
    </row>
    <row r="508" ht="14.25" customHeight="1" s="237">
      <c r="A508" s="120" t="n">
        <v>5546</v>
      </c>
      <c r="B508" s="120" t="inlineStr">
        <is>
          <t>GL5546</t>
        </is>
      </c>
      <c r="C508" s="124" t="inlineStr">
        <is>
          <t>글라소 파워씨500P 4X3</t>
        </is>
      </c>
      <c r="D508" s="256" t="n">
        <v>122</v>
      </c>
      <c r="E508" s="256" t="n">
        <v>91.5</v>
      </c>
      <c r="F508" s="155" t="n">
        <v>183</v>
      </c>
      <c r="G508" s="257" t="n">
        <v>61</v>
      </c>
    </row>
    <row r="509" ht="14.25" customHeight="1" s="237">
      <c r="A509" s="120" t="n">
        <v>5547</v>
      </c>
      <c r="B509" s="120" t="inlineStr">
        <is>
          <t>GL5547</t>
        </is>
      </c>
      <c r="C509" s="124" t="inlineStr">
        <is>
          <t>글라소 에너지500P 4X3</t>
        </is>
      </c>
      <c r="D509" s="256" t="n">
        <v>122</v>
      </c>
      <c r="E509" s="256" t="n">
        <v>91.5</v>
      </c>
      <c r="F509" s="155" t="n">
        <v>183</v>
      </c>
      <c r="G509" s="257" t="n">
        <v>61</v>
      </c>
    </row>
    <row r="510" ht="14.25" customHeight="1" s="237">
      <c r="A510" s="120" t="n">
        <v>5548</v>
      </c>
      <c r="B510" s="120" t="inlineStr">
        <is>
          <t>GL5548</t>
        </is>
      </c>
      <c r="C510" s="124" t="inlineStr">
        <is>
          <t>글라소멀티브이500P 4X3</t>
        </is>
      </c>
      <c r="D510" s="256" t="n">
        <v>122</v>
      </c>
      <c r="E510" s="256" t="n">
        <v>91.5</v>
      </c>
      <c r="F510" s="155" t="n">
        <v>183</v>
      </c>
      <c r="G510" s="257" t="n">
        <v>61</v>
      </c>
    </row>
    <row r="511" ht="14.25" customHeight="1" s="237">
      <c r="A511" s="120" t="n">
        <v>5549</v>
      </c>
      <c r="B511" s="120" t="inlineStr">
        <is>
          <t>GL5549</t>
        </is>
      </c>
      <c r="C511" s="124" t="inlineStr">
        <is>
          <t>글라소 XXX500P 4X3</t>
        </is>
      </c>
      <c r="D511" s="256" t="n">
        <v>122</v>
      </c>
      <c r="E511" s="256" t="n">
        <v>136.5</v>
      </c>
      <c r="F511" s="155" t="n">
        <v>273</v>
      </c>
      <c r="G511" s="257" t="n">
        <v>151</v>
      </c>
    </row>
    <row r="512" ht="14.25" customHeight="1" s="237">
      <c r="A512" s="120" t="n">
        <v>5554</v>
      </c>
      <c r="B512" s="120" t="inlineStr">
        <is>
          <t>GL5554</t>
        </is>
      </c>
      <c r="C512" s="124" t="inlineStr">
        <is>
          <t>글라소PC+FC+3X 500P 4X3</t>
        </is>
      </c>
      <c r="D512" s="256" t="n">
        <v>122</v>
      </c>
      <c r="E512" s="256" t="n">
        <v>91.5</v>
      </c>
      <c r="F512" s="155" t="n">
        <v>183</v>
      </c>
      <c r="G512" s="257" t="n">
        <v>61</v>
      </c>
    </row>
    <row r="513" ht="14.25" customHeight="1" s="237">
      <c r="A513" s="120" t="n">
        <v>5556</v>
      </c>
      <c r="B513" s="120" t="inlineStr">
        <is>
          <t>GL5556</t>
        </is>
      </c>
      <c r="C513" s="124" t="inlineStr">
        <is>
          <t>글라소 에센셜500P 4X3</t>
        </is>
      </c>
      <c r="D513" s="256" t="n">
        <v>122</v>
      </c>
      <c r="E513" s="256" t="n">
        <v>136.5</v>
      </c>
      <c r="F513" s="155" t="n">
        <v>273</v>
      </c>
      <c r="G513" s="257" t="n">
        <v>151</v>
      </c>
    </row>
    <row r="514" ht="14.25" customHeight="1" s="237">
      <c r="A514" s="120" t="n">
        <v>5557</v>
      </c>
      <c r="B514" s="120" t="inlineStr">
        <is>
          <t>GL5557</t>
        </is>
      </c>
      <c r="C514" s="124" t="inlineStr">
        <is>
          <t>글라소지-크리500P 4X3</t>
        </is>
      </c>
      <c r="D514" s="256" t="n">
        <v>122</v>
      </c>
      <c r="E514" s="256" t="n">
        <v>91.5</v>
      </c>
      <c r="F514" s="155" t="n">
        <v>183</v>
      </c>
      <c r="G514" s="257" t="n">
        <v>61</v>
      </c>
    </row>
    <row r="515" ht="14.25" customHeight="1" s="237">
      <c r="A515" s="120" t="n">
        <v>5560</v>
      </c>
      <c r="B515" s="120" t="inlineStr">
        <is>
          <t>GL5560</t>
        </is>
      </c>
      <c r="C515" s="124" t="inlineStr">
        <is>
          <t>글라소 파워씨500P 4X6</t>
        </is>
      </c>
      <c r="D515" s="256" t="n">
        <v>122</v>
      </c>
      <c r="E515" s="256" t="n">
        <v>91.5</v>
      </c>
      <c r="F515" s="155" t="n">
        <v>183</v>
      </c>
      <c r="G515" s="257" t="n">
        <v>61</v>
      </c>
    </row>
    <row r="516" ht="14.25" customHeight="1" s="237">
      <c r="A516" s="120" t="n">
        <v>5561</v>
      </c>
      <c r="B516" s="120" t="inlineStr">
        <is>
          <t>GL5561</t>
        </is>
      </c>
      <c r="C516" s="124" t="inlineStr">
        <is>
          <t>글라소 에너지500P 4X6</t>
        </is>
      </c>
      <c r="D516" s="256" t="n">
        <v>122</v>
      </c>
      <c r="E516" s="256" t="n">
        <v>136.5</v>
      </c>
      <c r="F516" s="155" t="n">
        <v>273</v>
      </c>
      <c r="G516" s="257" t="n">
        <v>151</v>
      </c>
    </row>
    <row r="517" ht="14.25" customHeight="1" s="237">
      <c r="A517" s="120" t="n">
        <v>5562</v>
      </c>
      <c r="B517" s="120" t="inlineStr">
        <is>
          <t>GL5562</t>
        </is>
      </c>
      <c r="C517" s="124" t="inlineStr">
        <is>
          <t>글라소멀티브이500P 4X6</t>
        </is>
      </c>
      <c r="D517" s="256" t="n">
        <v>122</v>
      </c>
      <c r="E517" s="256" t="n">
        <v>91.5</v>
      </c>
      <c r="F517" s="155" t="n">
        <v>183</v>
      </c>
      <c r="G517" s="257" t="n">
        <v>61</v>
      </c>
    </row>
    <row r="518" ht="14.25" customHeight="1" s="237">
      <c r="A518" s="120" t="n">
        <v>5563</v>
      </c>
      <c r="B518" s="120" t="inlineStr">
        <is>
          <t>GL5563</t>
        </is>
      </c>
      <c r="C518" s="124" t="inlineStr">
        <is>
          <t>글라소 XXX500P 4X6</t>
        </is>
      </c>
      <c r="D518" s="256" t="n">
        <v>122</v>
      </c>
      <c r="E518" s="256" t="n">
        <v>136.5</v>
      </c>
      <c r="F518" s="155" t="n">
        <v>273</v>
      </c>
      <c r="G518" s="257" t="n">
        <v>151</v>
      </c>
    </row>
    <row r="519" ht="14.25" customHeight="1" s="237">
      <c r="A519" s="120" t="n">
        <v>5564</v>
      </c>
      <c r="B519" s="120" t="inlineStr">
        <is>
          <t>GL5564</t>
        </is>
      </c>
      <c r="C519" s="124" t="inlineStr">
        <is>
          <t>글라소 에센셜500P 4X6</t>
        </is>
      </c>
      <c r="D519" s="256" t="n">
        <v>122</v>
      </c>
      <c r="E519" s="256" t="n">
        <v>136.5</v>
      </c>
      <c r="F519" s="155" t="n">
        <v>273</v>
      </c>
      <c r="G519" s="257" t="n">
        <v>151</v>
      </c>
    </row>
    <row r="520" ht="14.25" customHeight="1" s="237">
      <c r="A520" s="120" t="n">
        <v>5568</v>
      </c>
      <c r="B520" s="120" t="inlineStr">
        <is>
          <t>GL5568</t>
        </is>
      </c>
      <c r="C520" s="124" t="inlineStr">
        <is>
          <t>글라소지-크리500P 4X6</t>
        </is>
      </c>
      <c r="D520" s="256" t="n">
        <v>122</v>
      </c>
      <c r="E520" s="256" t="n">
        <v>91.5</v>
      </c>
      <c r="F520" s="155" t="n">
        <v>183</v>
      </c>
      <c r="G520" s="257" t="n">
        <v>61</v>
      </c>
    </row>
    <row r="521" ht="14.25" customHeight="1" s="237">
      <c r="A521" s="171" t="n">
        <v>5570</v>
      </c>
      <c r="B521" s="172" t="inlineStr">
        <is>
          <t>GL5570</t>
        </is>
      </c>
      <c r="C521" s="137" t="inlineStr">
        <is>
          <t>글라소 파워씨 500PET 2X6</t>
        </is>
      </c>
      <c r="D521" s="256" t="n">
        <v>122</v>
      </c>
      <c r="E521" s="256" t="n">
        <v>122</v>
      </c>
      <c r="F521" s="155" t="n">
        <v>244</v>
      </c>
      <c r="G521" s="257" t="n">
        <v>122</v>
      </c>
    </row>
    <row r="522" ht="14.25" customHeight="1" s="237">
      <c r="A522" s="126" t="n">
        <v>5571</v>
      </c>
      <c r="B522" s="127" t="inlineStr">
        <is>
          <t>GL5571</t>
        </is>
      </c>
      <c r="C522" s="128" t="inlineStr">
        <is>
          <t>글라소 에너지 500PET 2X6</t>
        </is>
      </c>
      <c r="D522" s="256" t="n">
        <v>122</v>
      </c>
      <c r="E522" s="256" t="n">
        <v>136.5</v>
      </c>
      <c r="F522" s="155" t="n">
        <v>273</v>
      </c>
      <c r="G522" s="257" t="n">
        <v>151</v>
      </c>
    </row>
    <row r="523" ht="14.25" customHeight="1" s="237">
      <c r="A523" s="126" t="n">
        <v>5572</v>
      </c>
      <c r="B523" s="127" t="inlineStr">
        <is>
          <t>GL5572</t>
        </is>
      </c>
      <c r="C523" s="128" t="inlineStr">
        <is>
          <t>글라소 멀티브이 500PET 4X6</t>
        </is>
      </c>
      <c r="D523" s="256" t="n">
        <v>122</v>
      </c>
      <c r="E523" s="256" t="n">
        <v>91.5</v>
      </c>
      <c r="F523" s="155" t="n">
        <v>183</v>
      </c>
      <c r="G523" s="257" t="n">
        <v>61</v>
      </c>
    </row>
    <row r="524" ht="14.25" customHeight="1" s="237">
      <c r="A524" s="126" t="n">
        <v>5573</v>
      </c>
      <c r="B524" s="127" t="inlineStr">
        <is>
          <t>GL5573</t>
        </is>
      </c>
      <c r="C524" s="128" t="inlineStr">
        <is>
          <t>글라소 XXX 500PET 2X6</t>
        </is>
      </c>
      <c r="D524" s="256" t="n">
        <v>122</v>
      </c>
      <c r="E524" s="256" t="n">
        <v>136.5</v>
      </c>
      <c r="F524" s="155" t="n">
        <v>273</v>
      </c>
      <c r="G524" s="257" t="n">
        <v>151</v>
      </c>
    </row>
    <row r="525" ht="14.25" customHeight="1" s="237">
      <c r="A525" s="120" t="n">
        <v>5578</v>
      </c>
      <c r="B525" s="120" t="inlineStr">
        <is>
          <t>GL5578</t>
        </is>
      </c>
      <c r="C525" s="124" t="inlineStr">
        <is>
          <t>온)글라소혼합세트500P 4X6</t>
        </is>
      </c>
      <c r="D525" s="256" t="n">
        <v>122</v>
      </c>
      <c r="E525" s="256" t="n">
        <v>91.5</v>
      </c>
      <c r="F525" s="155" t="n">
        <v>183</v>
      </c>
      <c r="G525" s="257" t="n">
        <v>61</v>
      </c>
    </row>
    <row r="526" ht="14.25" customHeight="1" s="237">
      <c r="A526" s="120" t="n">
        <v>5579</v>
      </c>
      <c r="B526" s="120" t="inlineStr">
        <is>
          <t>GL5579</t>
        </is>
      </c>
      <c r="C526" s="124" t="inlineStr">
        <is>
          <t>글라소 혼합팩500P 8X2</t>
        </is>
      </c>
      <c r="D526" s="256" t="n">
        <v>122</v>
      </c>
      <c r="E526" s="256" t="n">
        <v>91.5</v>
      </c>
      <c r="F526" s="155" t="n">
        <v>183</v>
      </c>
      <c r="G526" s="257" t="n">
        <v>61</v>
      </c>
    </row>
    <row r="527" ht="14.25" customHeight="1" s="237">
      <c r="A527" s="120" t="n">
        <v>5580</v>
      </c>
      <c r="B527" s="120" t="inlineStr">
        <is>
          <t>GL5580</t>
        </is>
      </c>
      <c r="C527" s="124" t="inlineStr">
        <is>
          <t>글라소 파워씨240C X30</t>
        </is>
      </c>
      <c r="D527" s="256" t="n">
        <v>122</v>
      </c>
      <c r="E527" s="256" t="n">
        <v>136.5</v>
      </c>
      <c r="F527" s="155" t="n">
        <v>273</v>
      </c>
      <c r="G527" s="257" t="n">
        <v>151</v>
      </c>
      <c r="H527" s="0" t="n"/>
    </row>
    <row r="528" ht="14.25" customHeight="1" s="237">
      <c r="A528" s="120" t="n">
        <v>5581</v>
      </c>
      <c r="B528" s="120" t="inlineStr">
        <is>
          <t>GL5581</t>
        </is>
      </c>
      <c r="C528" s="124" t="inlineStr">
        <is>
          <t>글라소 에너지240C X30</t>
        </is>
      </c>
      <c r="D528" s="256" t="n">
        <v>122</v>
      </c>
      <c r="E528" s="256" t="n">
        <v>136.5</v>
      </c>
      <c r="F528" s="155" t="n">
        <v>273</v>
      </c>
      <c r="G528" s="257" t="n">
        <v>151</v>
      </c>
      <c r="H528" s="0" t="n"/>
    </row>
    <row r="529" ht="14.25" customHeight="1" s="237">
      <c r="A529" s="120" t="n">
        <v>5586</v>
      </c>
      <c r="B529" s="120" t="inlineStr">
        <is>
          <t>GL5586</t>
        </is>
      </c>
      <c r="C529" s="124" t="inlineStr">
        <is>
          <t>글라소멀티브이1.0P X12</t>
        </is>
      </c>
      <c r="D529" s="256" t="n">
        <v>122</v>
      </c>
      <c r="E529" s="256" t="n">
        <v>91.5</v>
      </c>
      <c r="F529" s="155" t="n">
        <v>183</v>
      </c>
      <c r="G529" s="257" t="n">
        <v>61</v>
      </c>
      <c r="H529" s="0" t="n"/>
    </row>
    <row r="530" ht="14.25" customHeight="1" s="237">
      <c r="A530" s="120" t="n">
        <v>5587</v>
      </c>
      <c r="B530" s="120" t="inlineStr">
        <is>
          <t>GL5587</t>
        </is>
      </c>
      <c r="C530" s="124" t="inlineStr">
        <is>
          <t>글라소 XXX1.0P X12</t>
        </is>
      </c>
      <c r="D530" s="256" t="n">
        <v>122</v>
      </c>
      <c r="E530" s="256" t="n">
        <v>136.5</v>
      </c>
      <c r="F530" s="155" t="n">
        <v>273</v>
      </c>
      <c r="G530" s="257" t="n">
        <v>151</v>
      </c>
    </row>
    <row r="531" ht="14.25" customHeight="1" s="237">
      <c r="A531" s="126" t="n">
        <v>85900</v>
      </c>
      <c r="B531" s="127" t="inlineStr">
        <is>
          <t>GP8590</t>
        </is>
      </c>
      <c r="C531" s="128" t="inlineStr">
        <is>
          <t>골드피크 오리지널 470PET 4X6</t>
        </is>
      </c>
      <c r="D531" s="256" t="n">
        <v>183</v>
      </c>
      <c r="E531" s="256" t="n">
        <v>182.5</v>
      </c>
      <c r="F531" s="155" t="n">
        <v>365</v>
      </c>
      <c r="G531" s="257" t="n">
        <v>182</v>
      </c>
    </row>
    <row r="532" ht="14.25" customHeight="1" s="237">
      <c r="A532" s="126" t="n">
        <v>85910</v>
      </c>
      <c r="B532" s="127" t="inlineStr">
        <is>
          <t>GP8591</t>
        </is>
      </c>
      <c r="C532" s="128" t="inlineStr">
        <is>
          <t>골드피크 라즈베리 470PET 4X6</t>
        </is>
      </c>
      <c r="D532" s="256" t="n">
        <v>183</v>
      </c>
      <c r="E532" s="256" t="n">
        <v>182.5</v>
      </c>
      <c r="F532" s="155" t="n">
        <v>365</v>
      </c>
      <c r="G532" s="257" t="n">
        <v>182</v>
      </c>
    </row>
    <row r="533" ht="14.25" customHeight="1" s="237">
      <c r="A533" s="126" t="n">
        <v>85920</v>
      </c>
      <c r="B533" s="127" t="inlineStr">
        <is>
          <t>GP8592</t>
        </is>
      </c>
      <c r="C533" s="128" t="inlineStr">
        <is>
          <t>골드피크 오리지널 470PET X24</t>
        </is>
      </c>
      <c r="D533" s="256" t="n">
        <v>183</v>
      </c>
      <c r="E533" s="256" t="n">
        <v>182.5</v>
      </c>
      <c r="F533" s="155" t="n">
        <v>365</v>
      </c>
      <c r="G533" s="257" t="n">
        <v>182</v>
      </c>
    </row>
    <row r="534" ht="14.25" customHeight="1" s="237">
      <c r="A534" s="126" t="n">
        <v>85930</v>
      </c>
      <c r="B534" s="127" t="inlineStr">
        <is>
          <t>GP8593</t>
        </is>
      </c>
      <c r="C534" s="128" t="inlineStr">
        <is>
          <t>골드피크 라즈베리 470PET X24</t>
        </is>
      </c>
      <c r="D534" s="256" t="n">
        <v>183</v>
      </c>
      <c r="E534" s="256" t="n">
        <v>182.5</v>
      </c>
      <c r="F534" s="155" t="n">
        <v>365</v>
      </c>
      <c r="G534" s="257" t="n">
        <v>182</v>
      </c>
    </row>
    <row r="535" ht="14.25" customHeight="1" s="237">
      <c r="A535" s="126" t="n">
        <v>85940</v>
      </c>
      <c r="B535" s="127" t="inlineStr">
        <is>
          <t>GP8594</t>
        </is>
      </c>
      <c r="C535" s="128" t="inlineStr">
        <is>
          <t>골드피크 오리지널 C-C 470PET X16</t>
        </is>
      </c>
      <c r="D535" s="256" t="n">
        <v>183</v>
      </c>
      <c r="E535" s="256" t="n">
        <v>182.5</v>
      </c>
      <c r="F535" s="155" t="n">
        <v>365</v>
      </c>
      <c r="G535" s="257" t="n">
        <v>182</v>
      </c>
    </row>
    <row r="536" ht="14.25" customHeight="1" s="237">
      <c r="A536" s="126" t="n">
        <v>85950</v>
      </c>
      <c r="B536" s="127" t="inlineStr">
        <is>
          <t>GP8595</t>
        </is>
      </c>
      <c r="C536" s="128" t="inlineStr">
        <is>
          <t>골드피크 복숭아 5BIB X1</t>
        </is>
      </c>
      <c r="D536" s="256" t="n">
        <v>75</v>
      </c>
      <c r="E536" s="256" t="n">
        <v>91.5</v>
      </c>
      <c r="F536" s="155" t="n">
        <v>183</v>
      </c>
      <c r="G536" s="257" t="n">
        <v>108</v>
      </c>
    </row>
    <row r="537" ht="14.25" customHeight="1" s="237">
      <c r="A537" s="126" t="n">
        <v>85960</v>
      </c>
      <c r="B537" s="127" t="inlineStr">
        <is>
          <t>GP8596</t>
        </is>
      </c>
      <c r="C537" s="128" t="inlineStr">
        <is>
          <t>골드피크 복숭아 240CAN X30</t>
        </is>
      </c>
      <c r="D537" s="256" t="n">
        <v>183</v>
      </c>
      <c r="E537" s="256" t="n">
        <v>182.5</v>
      </c>
      <c r="F537" s="155" t="n">
        <v>365</v>
      </c>
      <c r="G537" s="257" t="n">
        <v>182</v>
      </c>
    </row>
    <row r="538" ht="14.25" customHeight="1" s="237">
      <c r="A538" s="126" t="inlineStr">
        <is>
          <t>GS0005</t>
        </is>
      </c>
      <c r="B538" s="127" t="inlineStr">
        <is>
          <t>GS0005</t>
        </is>
      </c>
      <c r="C538" s="128" t="inlineStr">
        <is>
          <t>영진구론산Ｄ100N 10X10</t>
        </is>
      </c>
      <c r="D538" s="256" t="n">
        <v>183</v>
      </c>
      <c r="E538" s="256" t="n">
        <v>182.5</v>
      </c>
      <c r="F538" s="155" t="n">
        <v>365</v>
      </c>
      <c r="G538" s="257" t="n">
        <v>182</v>
      </c>
    </row>
    <row r="539" ht="14.25" customHeight="1" s="237">
      <c r="A539" s="126" t="n">
        <v>5370</v>
      </c>
      <c r="B539" s="127" t="inlineStr">
        <is>
          <t>GS5370</t>
        </is>
      </c>
      <c r="C539" s="128" t="inlineStr">
        <is>
          <t>영진 구론산 오리지날 150NRB 3X10</t>
        </is>
      </c>
      <c r="D539" s="256" t="n">
        <v>183</v>
      </c>
      <c r="E539" s="256" t="n">
        <v>182.5</v>
      </c>
      <c r="F539" s="155" t="n">
        <v>365</v>
      </c>
      <c r="G539" s="257" t="n">
        <v>182</v>
      </c>
    </row>
    <row r="540" ht="14.25" customHeight="1" s="237">
      <c r="A540" s="126" t="n">
        <v>5375</v>
      </c>
      <c r="B540" s="127" t="inlineStr">
        <is>
          <t>GS5375</t>
        </is>
      </c>
      <c r="C540" s="128" t="inlineStr">
        <is>
          <t>영진 구론산 탄산 오리지날 150NRB 3X10</t>
        </is>
      </c>
      <c r="D540" s="256" t="n">
        <v>183</v>
      </c>
      <c r="E540" s="256" t="n">
        <v>182.5</v>
      </c>
      <c r="F540" s="155" t="n">
        <v>365</v>
      </c>
      <c r="G540" s="257" t="n">
        <v>182</v>
      </c>
    </row>
    <row r="541" ht="14.25" customHeight="1" s="237">
      <c r="A541" s="126" t="n">
        <v>5386</v>
      </c>
      <c r="B541" s="127" t="inlineStr">
        <is>
          <t>GS5386</t>
        </is>
      </c>
      <c r="C541" s="128" t="inlineStr">
        <is>
          <t>영진 구론산 홍삼연탄 150NRB 3X10</t>
        </is>
      </c>
      <c r="D541" s="256" t="n">
        <v>183</v>
      </c>
      <c r="E541" s="256" t="n">
        <v>182.5</v>
      </c>
      <c r="F541" s="155" t="n">
        <v>365</v>
      </c>
      <c r="G541" s="257" t="n">
        <v>182</v>
      </c>
    </row>
    <row r="542" ht="14.25" customHeight="1" s="237">
      <c r="A542" s="126" t="n">
        <v>8210</v>
      </c>
      <c r="B542" s="127" t="inlineStr">
        <is>
          <t>HO8210</t>
        </is>
      </c>
      <c r="C542" s="128" t="inlineStr">
        <is>
          <t>홍차화원 플레인 350PET 4X6</t>
        </is>
      </c>
      <c r="D542" s="256" t="n">
        <v>136.5</v>
      </c>
      <c r="E542" s="256" t="n">
        <v>136.5</v>
      </c>
      <c r="F542" s="155" t="n">
        <v>273</v>
      </c>
      <c r="G542" s="257" t="n">
        <v>136.5</v>
      </c>
    </row>
    <row r="543" ht="14.25" customHeight="1" s="237">
      <c r="A543" s="126" t="n">
        <v>8211</v>
      </c>
      <c r="B543" s="127" t="inlineStr">
        <is>
          <t>HO8211</t>
        </is>
      </c>
      <c r="C543" s="128" t="inlineStr">
        <is>
          <t>홍차화원 벚꽃 350PET 4X6</t>
        </is>
      </c>
      <c r="D543" s="256" t="n">
        <v>136.5</v>
      </c>
      <c r="E543" s="256" t="n">
        <v>136.5</v>
      </c>
      <c r="F543" s="155" t="n">
        <v>273</v>
      </c>
      <c r="G543" s="257" t="n">
        <v>136.5</v>
      </c>
    </row>
    <row r="544" ht="14.25" customHeight="1" s="237">
      <c r="A544" s="126" t="n">
        <v>3200</v>
      </c>
      <c r="B544" s="127" t="inlineStr">
        <is>
          <t>IM3200</t>
        </is>
      </c>
      <c r="C544" s="128" t="inlineStr">
        <is>
          <t>아야타카 525PET X12</t>
        </is>
      </c>
      <c r="D544" s="256" t="n">
        <v>121</v>
      </c>
      <c r="E544" s="256" t="n">
        <v>121</v>
      </c>
      <c r="F544" s="155" t="n">
        <v>242</v>
      </c>
      <c r="G544" s="257" t="n">
        <v>121</v>
      </c>
    </row>
    <row r="545" ht="14.25" customHeight="1" s="237">
      <c r="A545" s="126" t="n">
        <v>3201</v>
      </c>
      <c r="B545" s="127" t="inlineStr">
        <is>
          <t>IM3201</t>
        </is>
      </c>
      <c r="C545" s="128" t="inlineStr">
        <is>
          <t>일로하스 복숭아 555PET X12</t>
        </is>
      </c>
      <c r="D545" s="256" t="n">
        <v>183</v>
      </c>
      <c r="E545" s="256" t="n">
        <v>182.5</v>
      </c>
      <c r="F545" s="155" t="n">
        <v>365</v>
      </c>
      <c r="G545" s="257" t="n">
        <v>182</v>
      </c>
    </row>
    <row r="546" ht="14.25" customHeight="1" s="237">
      <c r="A546" s="126" t="n">
        <v>3202</v>
      </c>
      <c r="B546" s="127" t="inlineStr">
        <is>
          <t>IM3202</t>
        </is>
      </c>
      <c r="C546" s="128" t="inlineStr">
        <is>
          <t>일로하스 배 555PET X12</t>
        </is>
      </c>
      <c r="D546" s="256" t="n">
        <v>183</v>
      </c>
      <c r="E546" s="256" t="n">
        <v>182.5</v>
      </c>
      <c r="F546" s="155" t="n">
        <v>365</v>
      </c>
      <c r="G546" s="257" t="n">
        <v>182</v>
      </c>
    </row>
    <row r="547" ht="14.25" customHeight="1" s="237">
      <c r="A547" s="120" t="n">
        <v>2216</v>
      </c>
      <c r="B547" s="120" t="inlineStr">
        <is>
          <t>KC2216</t>
        </is>
      </c>
      <c r="C547" s="124" t="inlineStr">
        <is>
          <t>상)알로에모닝180CAN X30</t>
        </is>
      </c>
      <c r="D547" s="256" t="n">
        <v>365</v>
      </c>
      <c r="E547" s="256" t="n">
        <v>365</v>
      </c>
      <c r="F547" s="155" t="n">
        <v>730</v>
      </c>
      <c r="G547" s="257" t="n">
        <v>365</v>
      </c>
    </row>
    <row r="548" ht="14.25" customHeight="1" s="237">
      <c r="A548" s="120" t="n">
        <v>4803</v>
      </c>
      <c r="B548" s="120" t="inlineStr">
        <is>
          <t>KC4803</t>
        </is>
      </c>
      <c r="C548" s="124" t="inlineStr">
        <is>
          <t>과일촌제주감귤1.5P X12</t>
        </is>
      </c>
      <c r="D548" s="256" t="n">
        <v>137</v>
      </c>
      <c r="E548" s="256" t="n">
        <v>136.5</v>
      </c>
      <c r="F548" s="155" t="n">
        <v>273</v>
      </c>
      <c r="G548" s="257" t="n">
        <v>136</v>
      </c>
    </row>
    <row r="549" ht="14.25" customHeight="1" s="237">
      <c r="A549" s="126" t="n">
        <v>4811</v>
      </c>
      <c r="B549" s="127" t="inlineStr">
        <is>
          <t>KC4811</t>
        </is>
      </c>
      <c r="C549" s="128" t="inlineStr">
        <is>
          <t>과일촌 아침에사과1.5P X12</t>
        </is>
      </c>
      <c r="D549" s="256" t="n">
        <v>183</v>
      </c>
      <c r="E549" s="256" t="n">
        <v>182.5</v>
      </c>
      <c r="F549" s="155" t="n">
        <v>365</v>
      </c>
      <c r="G549" s="257" t="n">
        <v>182</v>
      </c>
    </row>
    <row r="550" ht="14.25" customHeight="1" s="237">
      <c r="A550" s="120" t="n">
        <v>4928</v>
      </c>
      <c r="B550" s="120" t="inlineStr">
        <is>
          <t>KC4928</t>
        </is>
      </c>
      <c r="C550" s="124" t="inlineStr">
        <is>
          <t>과일촌아침에사과500P X24</t>
        </is>
      </c>
      <c r="D550" s="256" t="n">
        <v>183</v>
      </c>
      <c r="E550" s="256" t="n">
        <v>182.5</v>
      </c>
      <c r="F550" s="155" t="n">
        <v>365</v>
      </c>
      <c r="G550" s="257" t="n">
        <v>182</v>
      </c>
    </row>
    <row r="551" ht="14.25" customHeight="1" s="237">
      <c r="A551" s="120" t="n">
        <v>4555</v>
      </c>
      <c r="B551" s="120" t="inlineStr">
        <is>
          <t>KI4555</t>
        </is>
      </c>
      <c r="C551" s="124" t="inlineStr">
        <is>
          <t>디 케이 1.5PET X12</t>
        </is>
      </c>
      <c r="D551" s="256" t="n">
        <v>183</v>
      </c>
      <c r="E551" s="256" t="n">
        <v>182.5</v>
      </c>
      <c r="F551" s="155" t="n">
        <v>365</v>
      </c>
      <c r="G551" s="257" t="n">
        <v>182</v>
      </c>
    </row>
    <row r="552" ht="14.25" customHeight="1" s="237">
      <c r="A552" s="126" t="n">
        <v>4557</v>
      </c>
      <c r="B552" s="127" t="inlineStr">
        <is>
          <t>KI4557</t>
        </is>
      </c>
      <c r="C552" s="128" t="inlineStr">
        <is>
          <t>SP킨사이다 1.8PET X12</t>
        </is>
      </c>
      <c r="D552" s="256" t="n">
        <v>98</v>
      </c>
      <c r="E552" s="256" t="n">
        <v>182.5</v>
      </c>
      <c r="F552" s="155" t="n">
        <v>365</v>
      </c>
      <c r="G552" s="257" t="n">
        <v>267</v>
      </c>
    </row>
    <row r="553" ht="14.25" customHeight="1" s="237">
      <c r="A553" s="120" t="n">
        <v>4558</v>
      </c>
      <c r="B553" s="120" t="inlineStr">
        <is>
          <t>KI4558</t>
        </is>
      </c>
      <c r="C553" s="124" t="inlineStr">
        <is>
          <t>킨사이다알파1.5PET X12</t>
        </is>
      </c>
      <c r="D553" s="256" t="n">
        <v>98</v>
      </c>
      <c r="E553" s="256" t="n">
        <v>182.5</v>
      </c>
      <c r="F553" s="155" t="n">
        <v>365</v>
      </c>
      <c r="G553" s="257" t="n">
        <v>267</v>
      </c>
    </row>
    <row r="554" ht="14.25" customHeight="1" s="237">
      <c r="A554" s="120" t="n">
        <v>4560</v>
      </c>
      <c r="B554" s="120" t="inlineStr">
        <is>
          <t>KI4560</t>
        </is>
      </c>
      <c r="C554" s="124" t="inlineStr">
        <is>
          <t>킨알파업소용1.5PET X12</t>
        </is>
      </c>
      <c r="D554" s="256" t="n">
        <v>98</v>
      </c>
      <c r="E554" s="256" t="n">
        <v>182.5</v>
      </c>
      <c r="F554" s="155" t="n">
        <v>365</v>
      </c>
      <c r="G554" s="257" t="n">
        <v>267</v>
      </c>
    </row>
    <row r="555" ht="14.25" customHeight="1" s="237">
      <c r="A555" s="126" t="n">
        <v>4625</v>
      </c>
      <c r="B555" s="127" t="inlineStr">
        <is>
          <t>KI4625</t>
        </is>
      </c>
      <c r="C555" s="128" t="inlineStr">
        <is>
          <t>보100)킨사이다 200RGB X24</t>
        </is>
      </c>
      <c r="D555" s="256" t="n">
        <v>365</v>
      </c>
      <c r="E555" s="256" t="n">
        <v>365</v>
      </c>
      <c r="F555" s="155" t="n">
        <v>730</v>
      </c>
      <c r="G555" s="257" t="n">
        <v>365</v>
      </c>
    </row>
    <row r="556" ht="14.25" customHeight="1" s="237">
      <c r="A556" s="120" t="n">
        <v>4627</v>
      </c>
      <c r="B556" s="120" t="inlineStr">
        <is>
          <t>KI4627</t>
        </is>
      </c>
      <c r="C556" s="124" t="inlineStr">
        <is>
          <t>킨 사이다 200RGB X24</t>
        </is>
      </c>
      <c r="D556" s="256" t="n">
        <v>365</v>
      </c>
      <c r="E556" s="256" t="n">
        <v>365</v>
      </c>
      <c r="F556" s="155" t="n">
        <v>730</v>
      </c>
      <c r="G556" s="257" t="n">
        <v>365</v>
      </c>
    </row>
    <row r="557" ht="14.25" customHeight="1" s="237">
      <c r="A557" s="126" t="n">
        <v>5302</v>
      </c>
      <c r="B557" s="127" t="inlineStr">
        <is>
          <t>KI5302</t>
        </is>
      </c>
      <c r="C557" s="128" t="inlineStr">
        <is>
          <t>SP킨사이다 250CAN X30</t>
        </is>
      </c>
      <c r="D557" s="256" t="n">
        <v>365</v>
      </c>
      <c r="E557" s="256" t="n">
        <v>365</v>
      </c>
      <c r="F557" s="155" t="n">
        <v>730</v>
      </c>
      <c r="G557" s="257" t="n">
        <v>365</v>
      </c>
    </row>
    <row r="558" ht="14.25" customHeight="1" s="237">
      <c r="A558" s="120" t="n">
        <v>5310</v>
      </c>
      <c r="B558" s="120" t="inlineStr">
        <is>
          <t>KI5310</t>
        </is>
      </c>
      <c r="C558" s="124" t="inlineStr">
        <is>
          <t>킨사이다알파250CAN X30</t>
        </is>
      </c>
      <c r="D558" s="256" t="n">
        <v>365</v>
      </c>
      <c r="E558" s="256" t="n">
        <v>365</v>
      </c>
      <c r="F558" s="155" t="n">
        <v>730</v>
      </c>
      <c r="G558" s="257" t="n">
        <v>365</v>
      </c>
    </row>
    <row r="559" ht="14.25" customHeight="1" s="237">
      <c r="A559" s="120" t="n">
        <v>5314</v>
      </c>
      <c r="B559" s="120" t="inlineStr">
        <is>
          <t>KI5314</t>
        </is>
      </c>
      <c r="C559" s="124" t="inlineStr">
        <is>
          <t>디 케이 250CAN X30</t>
        </is>
      </c>
      <c r="D559" s="256" t="n">
        <v>365</v>
      </c>
      <c r="E559" s="256" t="n">
        <v>365</v>
      </c>
      <c r="F559" s="155" t="n">
        <v>730</v>
      </c>
      <c r="G559" s="257" t="n">
        <v>365</v>
      </c>
    </row>
    <row r="560" ht="14.25" customHeight="1" s="237">
      <c r="A560" s="120" t="n">
        <v>5923</v>
      </c>
      <c r="B560" s="120" t="inlineStr">
        <is>
          <t>KI5923</t>
        </is>
      </c>
      <c r="C560" s="124" t="inlineStr">
        <is>
          <t>킨사이다알파500PET X24</t>
        </is>
      </c>
      <c r="D560" s="256" t="n">
        <v>84</v>
      </c>
      <c r="E560" s="256" t="n">
        <v>182.5</v>
      </c>
      <c r="F560" s="155" t="n">
        <v>365</v>
      </c>
      <c r="G560" s="257" t="n">
        <v>281</v>
      </c>
    </row>
    <row r="561" ht="14.25" customHeight="1" s="237">
      <c r="A561" s="120" t="n">
        <v>6171</v>
      </c>
      <c r="B561" s="120" t="inlineStr">
        <is>
          <t>KI6171</t>
        </is>
      </c>
      <c r="C561" s="124" t="inlineStr">
        <is>
          <t>디 케이 345RGB X24</t>
        </is>
      </c>
      <c r="D561" s="256" t="n">
        <v>365</v>
      </c>
      <c r="E561" s="256" t="n">
        <v>365</v>
      </c>
      <c r="F561" s="155" t="n">
        <v>730</v>
      </c>
      <c r="G561" s="257" t="n">
        <v>365</v>
      </c>
    </row>
    <row r="562" ht="14.25" customHeight="1" s="237">
      <c r="A562" s="120" t="n">
        <v>6175</v>
      </c>
      <c r="B562" s="120" t="inlineStr">
        <is>
          <t>KI6175</t>
        </is>
      </c>
      <c r="C562" s="124" t="inlineStr">
        <is>
          <t>킨 사이다 350RGB X24</t>
        </is>
      </c>
      <c r="D562" s="256" t="n">
        <v>365</v>
      </c>
      <c r="E562" s="256" t="n">
        <v>365</v>
      </c>
      <c r="F562" s="155" t="n">
        <v>730</v>
      </c>
      <c r="G562" s="257" t="n">
        <v>365</v>
      </c>
    </row>
    <row r="563" ht="14.25" customHeight="1" s="237">
      <c r="A563" s="126" t="n">
        <v>6176</v>
      </c>
      <c r="B563" s="127" t="inlineStr">
        <is>
          <t>KI6176</t>
        </is>
      </c>
      <c r="C563" s="128" t="inlineStr">
        <is>
          <t>보100)킨사이다 350RGB X24</t>
        </is>
      </c>
      <c r="D563" s="256" t="n">
        <v>365</v>
      </c>
      <c r="E563" s="256" t="n">
        <v>365</v>
      </c>
      <c r="F563" s="155" t="n">
        <v>730</v>
      </c>
      <c r="G563" s="257" t="n">
        <v>365</v>
      </c>
    </row>
    <row r="564" ht="14.25" customHeight="1" s="237">
      <c r="A564" s="126" t="n">
        <v>4274</v>
      </c>
      <c r="B564" s="127" t="inlineStr">
        <is>
          <t>KM4274</t>
        </is>
      </c>
      <c r="C564" s="128" t="inlineStr">
        <is>
          <t>갈아만든 배 238CAN 6X12</t>
        </is>
      </c>
      <c r="D564" s="256" t="n">
        <v>365</v>
      </c>
      <c r="E564" s="256" t="n">
        <v>365</v>
      </c>
      <c r="F564" s="155" t="n">
        <v>730</v>
      </c>
      <c r="G564" s="257" t="n">
        <v>365</v>
      </c>
    </row>
    <row r="565" ht="14.25" customHeight="1" s="237">
      <c r="A565" s="120" t="n">
        <v>4275</v>
      </c>
      <c r="B565" s="120" t="inlineStr">
        <is>
          <t>KM4275</t>
        </is>
      </c>
      <c r="C565" s="124" t="inlineStr">
        <is>
          <t>갈아만든배 238CAN X24</t>
        </is>
      </c>
      <c r="D565" s="256" t="n">
        <v>365</v>
      </c>
      <c r="E565" s="256" t="n">
        <v>365</v>
      </c>
      <c r="F565" s="155" t="n">
        <v>730</v>
      </c>
      <c r="G565" s="257" t="n">
        <v>365</v>
      </c>
    </row>
    <row r="566" ht="14.25" customHeight="1" s="237">
      <c r="A566" s="120" t="n">
        <v>4826</v>
      </c>
      <c r="B566" s="120" t="inlineStr">
        <is>
          <t>KM4826</t>
        </is>
      </c>
      <c r="C566" s="124" t="inlineStr">
        <is>
          <t>갈아만든배  1.5PET X12</t>
        </is>
      </c>
      <c r="D566" s="256" t="n">
        <v>365</v>
      </c>
      <c r="E566" s="256" t="n">
        <v>365</v>
      </c>
      <c r="F566" s="155" t="n">
        <v>730</v>
      </c>
      <c r="G566" s="257" t="n">
        <v>365</v>
      </c>
    </row>
    <row r="567" ht="14.25" customHeight="1" s="237">
      <c r="A567" s="126" t="n">
        <v>4925</v>
      </c>
      <c r="B567" s="127" t="inlineStr">
        <is>
          <t>KM4925</t>
        </is>
      </c>
      <c r="C567" s="128" t="inlineStr">
        <is>
          <t>갈아만든배340CAN</t>
        </is>
      </c>
      <c r="D567" s="256" t="n">
        <v>365</v>
      </c>
      <c r="E567" s="256" t="n">
        <v>365</v>
      </c>
      <c r="F567" s="155" t="n">
        <v>730</v>
      </c>
      <c r="G567" s="257" t="n">
        <v>365</v>
      </c>
    </row>
    <row r="568" ht="14.25" customHeight="1" s="237">
      <c r="A568" s="120" t="n">
        <v>8170</v>
      </c>
      <c r="B568" s="120" t="inlineStr">
        <is>
          <t>KT8170</t>
        </is>
      </c>
      <c r="C568" s="124" t="inlineStr">
        <is>
          <t>아이스큐브100CUBE X24</t>
        </is>
      </c>
      <c r="D568" s="256" t="n">
        <v>183</v>
      </c>
      <c r="E568" s="256" t="n">
        <v>182.5</v>
      </c>
      <c r="F568" s="155" t="n">
        <v>365</v>
      </c>
      <c r="G568" s="257" t="n">
        <v>182</v>
      </c>
    </row>
    <row r="569" ht="14.25" customHeight="1" s="237">
      <c r="A569" s="120" t="n">
        <v>7723</v>
      </c>
      <c r="B569" s="120" t="inlineStr">
        <is>
          <t>KZ7723</t>
        </is>
      </c>
      <c r="C569" s="124" t="inlineStr">
        <is>
          <t>큰집식혜 238CAN 6X12</t>
        </is>
      </c>
      <c r="D569" s="256" t="n">
        <v>365</v>
      </c>
      <c r="E569" s="256" t="n">
        <v>365</v>
      </c>
      <c r="F569" s="155" t="n">
        <v>730</v>
      </c>
      <c r="G569" s="257" t="n">
        <v>365</v>
      </c>
    </row>
    <row r="570" ht="14.25" customHeight="1" s="237">
      <c r="A570" s="120" t="n">
        <v>7857</v>
      </c>
      <c r="B570" s="120" t="inlineStr">
        <is>
          <t>KZ7857</t>
        </is>
      </c>
      <c r="C570" s="124" t="inlineStr">
        <is>
          <t>큰집 식혜 238CAN X24</t>
        </is>
      </c>
      <c r="D570" s="256" t="n">
        <v>365</v>
      </c>
      <c r="E570" s="256" t="n">
        <v>365</v>
      </c>
      <c r="F570" s="155" t="n">
        <v>730</v>
      </c>
      <c r="G570" s="257" t="n">
        <v>365</v>
      </c>
    </row>
    <row r="571" ht="14.25" customHeight="1" s="237">
      <c r="A571" s="120" t="n">
        <v>2074</v>
      </c>
      <c r="B571" s="120" t="inlineStr">
        <is>
          <t>MJ2074</t>
        </is>
      </c>
      <c r="C571" s="124" t="inlineStr">
        <is>
          <t>몸에좋은막대기헛개350P X20</t>
        </is>
      </c>
      <c r="D571" s="256" t="n">
        <v>183</v>
      </c>
      <c r="E571" s="256" t="n">
        <v>182.5</v>
      </c>
      <c r="F571" s="155" t="n">
        <v>365</v>
      </c>
      <c r="G571" s="257" t="n">
        <v>182</v>
      </c>
    </row>
    <row r="572" ht="14.25" customHeight="1" s="237">
      <c r="A572" s="120" t="n">
        <v>7693</v>
      </c>
      <c r="B572" s="120" t="inlineStr">
        <is>
          <t>MJ7693</t>
        </is>
      </c>
      <c r="C572" s="124" t="inlineStr">
        <is>
          <t>몸에좋은막대기헛개340P X20</t>
        </is>
      </c>
      <c r="D572" s="256" t="n">
        <v>183</v>
      </c>
      <c r="E572" s="256" t="n">
        <v>182.5</v>
      </c>
      <c r="F572" s="155" t="n">
        <v>365</v>
      </c>
      <c r="G572" s="257" t="n">
        <v>182</v>
      </c>
    </row>
    <row r="573" ht="14.25" customHeight="1" s="237">
      <c r="A573" s="126" t="n">
        <v>7694</v>
      </c>
      <c r="B573" s="127" t="inlineStr">
        <is>
          <t>MJ7694</t>
        </is>
      </c>
      <c r="C573" s="128" t="inlineStr">
        <is>
          <t>몸에좋은 헛개칡차 1.5PET X12</t>
        </is>
      </c>
      <c r="D573" s="256" t="n">
        <v>183</v>
      </c>
      <c r="E573" s="256" t="n">
        <v>182.5</v>
      </c>
      <c r="F573" s="155" t="n">
        <v>365</v>
      </c>
      <c r="G573" s="257" t="n">
        <v>182</v>
      </c>
    </row>
    <row r="574" ht="14.25" customHeight="1" s="237">
      <c r="A574" s="126" t="n">
        <v>7695</v>
      </c>
      <c r="B574" s="127" t="inlineStr">
        <is>
          <t>MJ7695</t>
        </is>
      </c>
      <c r="C574" s="128" t="inlineStr">
        <is>
          <t>몸에좋은 옥수수수염차 1.5PET X12</t>
        </is>
      </c>
      <c r="D574" s="256" t="n">
        <v>183</v>
      </c>
      <c r="E574" s="256" t="n">
        <v>182.5</v>
      </c>
      <c r="F574" s="155" t="n">
        <v>365</v>
      </c>
      <c r="G574" s="257" t="n">
        <v>182</v>
      </c>
    </row>
    <row r="575" ht="14.25" customHeight="1" s="237">
      <c r="A575" s="126" t="n">
        <v>7696</v>
      </c>
      <c r="B575" s="127" t="inlineStr">
        <is>
          <t>MJ7696</t>
        </is>
      </c>
      <c r="C575" s="128" t="inlineStr">
        <is>
          <t>몸에좋은 헛개칡차 500PET X24</t>
        </is>
      </c>
      <c r="D575" s="256" t="n">
        <v>183</v>
      </c>
      <c r="E575" s="256" t="n">
        <v>182.5</v>
      </c>
      <c r="F575" s="155" t="n">
        <v>365</v>
      </c>
      <c r="G575" s="257" t="n">
        <v>182</v>
      </c>
    </row>
    <row r="576" ht="14.25" customHeight="1" s="237">
      <c r="A576" s="126" t="n">
        <v>7697</v>
      </c>
      <c r="B576" s="127" t="inlineStr">
        <is>
          <t>MJ7697</t>
        </is>
      </c>
      <c r="C576" s="128" t="inlineStr">
        <is>
          <t>몸에좋은 옥수수수염차 500PET X24</t>
        </is>
      </c>
      <c r="D576" s="256" t="n">
        <v>183</v>
      </c>
      <c r="E576" s="256" t="n">
        <v>182.5</v>
      </c>
      <c r="F576" s="155" t="n">
        <v>365</v>
      </c>
      <c r="G576" s="257" t="n">
        <v>182</v>
      </c>
    </row>
    <row r="577" ht="14.25" customHeight="1" s="237">
      <c r="A577" s="120" t="n">
        <v>7866</v>
      </c>
      <c r="B577" s="120" t="inlineStr">
        <is>
          <t>MJ7866</t>
        </is>
      </c>
      <c r="C577" s="124" t="inlineStr">
        <is>
          <t>몸에좋은막대기헛개500P X20</t>
        </is>
      </c>
      <c r="D577" s="256" t="n">
        <v>183</v>
      </c>
      <c r="E577" s="256" t="n">
        <v>182.5</v>
      </c>
      <c r="F577" s="155" t="n">
        <v>365</v>
      </c>
      <c r="G577" s="257" t="n">
        <v>182</v>
      </c>
    </row>
    <row r="578" ht="14.25" customHeight="1" s="237">
      <c r="A578" s="120" t="n">
        <v>7867</v>
      </c>
      <c r="B578" s="120" t="inlineStr">
        <is>
          <t>MJ7867</t>
        </is>
      </c>
      <c r="C578" s="124" t="inlineStr">
        <is>
          <t>몸에좋은막대기옥수500P X20</t>
        </is>
      </c>
      <c r="D578" s="256" t="n">
        <v>183</v>
      </c>
      <c r="E578" s="256" t="n">
        <v>182.5</v>
      </c>
      <c r="F578" s="155" t="n">
        <v>365</v>
      </c>
      <c r="G578" s="257" t="n">
        <v>182</v>
      </c>
    </row>
    <row r="579" ht="14.25" customHeight="1" s="237">
      <c r="A579" s="120" t="n">
        <v>9165</v>
      </c>
      <c r="B579" s="120" t="inlineStr">
        <is>
          <t>MJ9165</t>
        </is>
      </c>
      <c r="C579" s="124" t="inlineStr">
        <is>
          <t>이태백의숙취비책150C 3X10</t>
        </is>
      </c>
      <c r="D579" s="256" t="n">
        <v>365</v>
      </c>
      <c r="E579" s="256" t="n">
        <v>365</v>
      </c>
      <c r="F579" s="155" t="n">
        <v>730</v>
      </c>
      <c r="G579" s="257" t="n">
        <v>365</v>
      </c>
    </row>
    <row r="580" ht="14.25" customHeight="1" s="237">
      <c r="A580" s="126" t="n">
        <v>9170</v>
      </c>
      <c r="B580" s="127" t="inlineStr">
        <is>
          <t>MJ9170</t>
        </is>
      </c>
      <c r="C580" s="128" t="inlineStr">
        <is>
          <t>갈아만든배(숙취비책)160CAN 5X6</t>
        </is>
      </c>
      <c r="D580" s="256" t="n">
        <v>365</v>
      </c>
      <c r="E580" s="256" t="n">
        <v>365</v>
      </c>
      <c r="F580" s="155" t="n">
        <v>730</v>
      </c>
      <c r="G580" s="257" t="n">
        <v>365</v>
      </c>
    </row>
    <row r="581" ht="14.25" customHeight="1" s="237">
      <c r="A581" s="140" t="inlineStr">
        <is>
          <t>MM0004</t>
        </is>
      </c>
      <c r="B581" s="140" t="inlineStr">
        <is>
          <t>MM0004</t>
        </is>
      </c>
      <c r="C581" s="141" t="inlineStr">
        <is>
          <t>오리진에이드 레몬 300P</t>
        </is>
      </c>
      <c r="D581" s="256" t="n">
        <v>122</v>
      </c>
      <c r="E581" s="256" t="n">
        <v>136.5</v>
      </c>
      <c r="F581" s="155" t="n">
        <v>273</v>
      </c>
      <c r="G581" s="257" t="n">
        <v>151</v>
      </c>
    </row>
    <row r="582" ht="14.25" customHeight="1" s="237">
      <c r="A582" s="140" t="inlineStr">
        <is>
          <t>MM0005</t>
        </is>
      </c>
      <c r="B582" s="140" t="inlineStr">
        <is>
          <t>MM0005</t>
        </is>
      </c>
      <c r="C582" s="141" t="inlineStr">
        <is>
          <t>오리진에이드 자몽 300P</t>
        </is>
      </c>
      <c r="D582" s="256" t="n">
        <v>122</v>
      </c>
      <c r="E582" s="256" t="n">
        <v>136.5</v>
      </c>
      <c r="F582" s="155" t="n">
        <v>273</v>
      </c>
      <c r="G582" s="257" t="n">
        <v>151</v>
      </c>
    </row>
    <row r="583" ht="14.25" customHeight="1" s="237">
      <c r="A583" s="140" t="inlineStr">
        <is>
          <t>MM0006</t>
        </is>
      </c>
      <c r="B583" s="140" t="inlineStr">
        <is>
          <t>MM0006</t>
        </is>
      </c>
      <c r="C583" s="141" t="inlineStr">
        <is>
          <t>오리진에이드 레몬 1.2PET</t>
        </is>
      </c>
      <c r="D583" s="256" t="n">
        <v>122</v>
      </c>
      <c r="E583" s="256" t="n">
        <v>136.5</v>
      </c>
      <c r="F583" s="155" t="n">
        <v>273</v>
      </c>
      <c r="G583" s="257" t="n">
        <v>151</v>
      </c>
    </row>
    <row r="584" ht="14.25" customHeight="1" s="237">
      <c r="A584" s="140" t="inlineStr">
        <is>
          <t>MM0007</t>
        </is>
      </c>
      <c r="B584" s="140" t="inlineStr">
        <is>
          <t>MM0007</t>
        </is>
      </c>
      <c r="C584" s="141" t="inlineStr">
        <is>
          <t>오리진에이드 자몽 1.2PET</t>
        </is>
      </c>
      <c r="D584" s="256" t="n">
        <v>122</v>
      </c>
      <c r="E584" s="256" t="n">
        <v>136.5</v>
      </c>
      <c r="F584" s="155" t="n">
        <v>273</v>
      </c>
      <c r="G584" s="257" t="n">
        <v>151</v>
      </c>
    </row>
    <row r="585" ht="14.25" customHeight="1" s="237">
      <c r="A585" s="126" t="inlineStr">
        <is>
          <t>MM0008</t>
        </is>
      </c>
      <c r="B585" s="126" t="inlineStr">
        <is>
          <t>MM0008</t>
        </is>
      </c>
      <c r="C585" s="128" t="inlineStr">
        <is>
          <t>MM 오리진 레몬 300PET 4X6</t>
        </is>
      </c>
      <c r="D585" s="256" t="n">
        <v>122</v>
      </c>
      <c r="E585" s="256" t="n">
        <v>136.5</v>
      </c>
      <c r="F585" s="155" t="n">
        <v>273</v>
      </c>
      <c r="G585" s="257" t="n">
        <v>151</v>
      </c>
    </row>
    <row r="586" ht="14.25" customHeight="1" s="237">
      <c r="A586" s="142" t="inlineStr">
        <is>
          <t>MM0010</t>
        </is>
      </c>
      <c r="B586" s="142" t="inlineStr">
        <is>
          <t>MM0010</t>
        </is>
      </c>
      <c r="C586" s="124" t="inlineStr">
        <is>
          <t>미닛 오리진에이드 레+자 1.2PET 6X2</t>
        </is>
      </c>
      <c r="D586" s="256" t="n">
        <v>122</v>
      </c>
      <c r="E586" s="256" t="n">
        <v>136.5</v>
      </c>
      <c r="F586" s="155" t="n">
        <v>273</v>
      </c>
      <c r="G586" s="257" t="n">
        <v>151</v>
      </c>
    </row>
    <row r="587" ht="14.25" customHeight="1" s="237">
      <c r="A587" s="126" t="n">
        <v>2975</v>
      </c>
      <c r="B587" s="127" t="inlineStr">
        <is>
          <t>MM2975</t>
        </is>
      </c>
      <c r="C587" s="128" t="inlineStr">
        <is>
          <t>미닛 쿠우 젤리 복숭아 130ml 3X10</t>
        </is>
      </c>
      <c r="D587" s="256" t="n">
        <v>122</v>
      </c>
      <c r="E587" s="256" t="n">
        <v>136.5</v>
      </c>
      <c r="F587" s="155" t="n">
        <v>273</v>
      </c>
      <c r="G587" s="257" t="n">
        <v>151</v>
      </c>
    </row>
    <row r="588" ht="14.25" customHeight="1" s="237">
      <c r="A588" s="126" t="n">
        <v>2976</v>
      </c>
      <c r="B588" s="127" t="inlineStr">
        <is>
          <t>MM2976</t>
        </is>
      </c>
      <c r="C588" s="128" t="inlineStr">
        <is>
          <t>미닛 쿠우 젤리 포도 130ml 3X10</t>
        </is>
      </c>
      <c r="D588" s="256" t="n">
        <v>122</v>
      </c>
      <c r="E588" s="256" t="n">
        <v>136.5</v>
      </c>
      <c r="F588" s="155" t="n">
        <v>273</v>
      </c>
      <c r="G588" s="257" t="n">
        <v>151</v>
      </c>
    </row>
    <row r="589" ht="14.25" customHeight="1" s="237">
      <c r="A589" s="126" t="n">
        <v>4042</v>
      </c>
      <c r="B589" s="127" t="inlineStr">
        <is>
          <t>MM4042</t>
        </is>
      </c>
      <c r="C589" s="128" t="inlineStr">
        <is>
          <t>미닛 스파클링 청포도 칼로리 350CAN 4X6</t>
        </is>
      </c>
      <c r="D589" s="256" t="n">
        <v>183</v>
      </c>
      <c r="E589" s="256" t="n">
        <v>182.5</v>
      </c>
      <c r="F589" s="155" t="n">
        <v>365</v>
      </c>
      <c r="G589" s="257" t="n">
        <v>182</v>
      </c>
    </row>
    <row r="590" ht="14.25" customHeight="1" s="237">
      <c r="A590" s="126" t="n">
        <v>4044</v>
      </c>
      <c r="B590" s="127" t="inlineStr">
        <is>
          <t>MM4044</t>
        </is>
      </c>
      <c r="C590" s="128" t="inlineStr">
        <is>
          <t>미닛 스파클링 사과 칼로리 350CAN 4X6</t>
        </is>
      </c>
      <c r="D590" s="256" t="n">
        <v>183</v>
      </c>
      <c r="E590" s="256" t="n">
        <v>182.5</v>
      </c>
      <c r="F590" s="155" t="n">
        <v>365</v>
      </c>
      <c r="G590" s="257" t="n">
        <v>182</v>
      </c>
    </row>
    <row r="591" ht="14.25" customHeight="1" s="237">
      <c r="A591" s="120" t="n">
        <v>4081</v>
      </c>
      <c r="B591" s="120" t="inlineStr">
        <is>
          <t>MM4081</t>
        </is>
      </c>
      <c r="C591" s="124" t="inlineStr">
        <is>
          <t>MM펀치 애플홀릭355C X24</t>
        </is>
      </c>
      <c r="D591" s="256" t="n">
        <v>183</v>
      </c>
      <c r="E591" s="256" t="n">
        <v>182.5</v>
      </c>
      <c r="F591" s="155" t="n">
        <v>365</v>
      </c>
      <c r="G591" s="257" t="n">
        <v>182</v>
      </c>
    </row>
    <row r="592" ht="14.25" customHeight="1" s="237">
      <c r="A592" s="120" t="n">
        <v>4082</v>
      </c>
      <c r="B592" s="120" t="inlineStr">
        <is>
          <t>MM4082</t>
        </is>
      </c>
      <c r="C592" s="124" t="inlineStr">
        <is>
          <t>MM펀치오렌지자몽355C X24</t>
        </is>
      </c>
      <c r="D592" s="256" t="n">
        <v>183</v>
      </c>
      <c r="E592" s="256" t="n">
        <v>182.5</v>
      </c>
      <c r="F592" s="155" t="n">
        <v>365</v>
      </c>
      <c r="G592" s="257" t="n">
        <v>182</v>
      </c>
    </row>
    <row r="593" ht="14.25" customHeight="1" s="237">
      <c r="A593" s="120" t="n">
        <v>4114</v>
      </c>
      <c r="B593" s="120" t="inlineStr">
        <is>
          <t>MM4114</t>
        </is>
      </c>
      <c r="C593" s="124" t="inlineStr">
        <is>
          <t>미닛 벌꿀유자240C X30</t>
        </is>
      </c>
      <c r="D593" s="256" t="n">
        <v>122</v>
      </c>
      <c r="E593" s="256" t="n">
        <v>182.5</v>
      </c>
      <c r="F593" s="155" t="n">
        <v>365</v>
      </c>
      <c r="G593" s="257" t="n">
        <v>243</v>
      </c>
    </row>
    <row r="594" ht="14.25" customHeight="1" s="237">
      <c r="A594" s="120" t="n">
        <v>4118</v>
      </c>
      <c r="B594" s="120" t="inlineStr">
        <is>
          <t>MM4118</t>
        </is>
      </c>
      <c r="C594" s="124" t="inlineStr">
        <is>
          <t>미닛 벌꿀유자280N X20</t>
        </is>
      </c>
      <c r="D594" s="256" t="n">
        <v>122</v>
      </c>
      <c r="E594" s="256" t="n">
        <v>136.5</v>
      </c>
      <c r="F594" s="155" t="n">
        <v>273</v>
      </c>
      <c r="G594" s="257" t="n">
        <v>151</v>
      </c>
    </row>
    <row r="595" ht="14.25" customHeight="1" s="237">
      <c r="A595" s="120" t="n">
        <v>4126</v>
      </c>
      <c r="B595" s="120" t="inlineStr">
        <is>
          <t>MM4126</t>
        </is>
      </c>
      <c r="C595" s="124" t="inlineStr">
        <is>
          <t>MM오렌지스텐딩190PU 5X10</t>
        </is>
      </c>
      <c r="D595" s="256" t="n">
        <v>183</v>
      </c>
      <c r="E595" s="256" t="n">
        <v>182.5</v>
      </c>
      <c r="F595" s="155" t="n">
        <v>365</v>
      </c>
      <c r="G595" s="257" t="n">
        <v>182</v>
      </c>
    </row>
    <row r="596" ht="14.25" customHeight="1" s="237">
      <c r="A596" s="120" t="n">
        <v>4127</v>
      </c>
      <c r="B596" s="120" t="inlineStr">
        <is>
          <t>MM4127</t>
        </is>
      </c>
      <c r="C596" s="124" t="inlineStr">
        <is>
          <t>MM망고스텐딩190PU 5X10</t>
        </is>
      </c>
      <c r="D596" s="256" t="n">
        <v>183</v>
      </c>
      <c r="E596" s="256" t="n">
        <v>182.5</v>
      </c>
      <c r="F596" s="155" t="n">
        <v>365</v>
      </c>
      <c r="G596" s="257" t="n">
        <v>182</v>
      </c>
    </row>
    <row r="597" ht="14.25" customHeight="1" s="237">
      <c r="A597" s="120" t="n">
        <v>4128</v>
      </c>
      <c r="B597" s="120" t="inlineStr">
        <is>
          <t>MM4128</t>
        </is>
      </c>
      <c r="C597" s="124" t="inlineStr">
        <is>
          <t>MM포도아사이스텐190PU 5X10</t>
        </is>
      </c>
      <c r="D597" s="256" t="n">
        <v>183</v>
      </c>
      <c r="E597" s="256" t="n">
        <v>182.5</v>
      </c>
      <c r="F597" s="155" t="n">
        <v>365</v>
      </c>
      <c r="G597" s="257" t="n">
        <v>182</v>
      </c>
    </row>
    <row r="598" ht="14.25" customHeight="1" s="237">
      <c r="A598" s="120" t="n">
        <v>4129</v>
      </c>
      <c r="B598" s="120" t="inlineStr">
        <is>
          <t>MM4129</t>
        </is>
      </c>
      <c r="C598" s="124" t="inlineStr">
        <is>
          <t>MM망고애니멀100PU 3X10</t>
        </is>
      </c>
      <c r="D598" s="256" t="n">
        <v>183</v>
      </c>
      <c r="E598" s="256" t="n">
        <v>182.5</v>
      </c>
      <c r="F598" s="155" t="n">
        <v>365</v>
      </c>
      <c r="G598" s="257" t="n">
        <v>182</v>
      </c>
    </row>
    <row r="599" ht="14.25" customHeight="1" s="237">
      <c r="A599" s="120" t="n">
        <v>4130</v>
      </c>
      <c r="B599" s="120" t="inlineStr">
        <is>
          <t>MM4130</t>
        </is>
      </c>
      <c r="C599" s="124" t="inlineStr">
        <is>
          <t>M포도아사애니100PU 3X10</t>
        </is>
      </c>
      <c r="D599" s="256" t="n">
        <v>183</v>
      </c>
      <c r="E599" s="256" t="n">
        <v>182.5</v>
      </c>
      <c r="F599" s="155" t="n">
        <v>365</v>
      </c>
      <c r="G599" s="257" t="n">
        <v>182</v>
      </c>
    </row>
    <row r="600" ht="14.25" customHeight="1" s="237">
      <c r="A600" s="120" t="n">
        <v>4131</v>
      </c>
      <c r="B600" s="120" t="inlineStr">
        <is>
          <t>MM4131</t>
        </is>
      </c>
      <c r="C600" s="124" t="inlineStr">
        <is>
          <t>MM망고애니멀100PU X10</t>
        </is>
      </c>
      <c r="D600" s="256" t="n">
        <v>183</v>
      </c>
      <c r="E600" s="256" t="n">
        <v>182.5</v>
      </c>
      <c r="F600" s="155" t="n">
        <v>365</v>
      </c>
      <c r="G600" s="257" t="n">
        <v>182</v>
      </c>
    </row>
    <row r="601" ht="14.25" customHeight="1" s="237">
      <c r="A601" s="120" t="n">
        <v>4132</v>
      </c>
      <c r="B601" s="120" t="inlineStr">
        <is>
          <t>MM4132</t>
        </is>
      </c>
      <c r="C601" s="124" t="inlineStr">
        <is>
          <t>M포도아사애니100PU X10</t>
        </is>
      </c>
      <c r="D601" s="256" t="n">
        <v>183</v>
      </c>
      <c r="E601" s="256" t="n">
        <v>182.5</v>
      </c>
      <c r="F601" s="155" t="n">
        <v>365</v>
      </c>
      <c r="G601" s="257" t="n">
        <v>182</v>
      </c>
    </row>
    <row r="602" ht="14.25" customHeight="1" s="237">
      <c r="A602" s="120" t="n">
        <v>4133</v>
      </c>
      <c r="B602" s="120" t="inlineStr">
        <is>
          <t>MM4133</t>
        </is>
      </c>
      <c r="C602" s="124" t="inlineStr">
        <is>
          <t>MM망고애니멀100PU 2X10</t>
        </is>
      </c>
      <c r="D602" s="256" t="n">
        <v>183</v>
      </c>
      <c r="E602" s="256" t="n">
        <v>182.5</v>
      </c>
      <c r="F602" s="155" t="n">
        <v>365</v>
      </c>
      <c r="G602" s="257" t="n">
        <v>182</v>
      </c>
    </row>
    <row r="603" ht="14.25" customHeight="1" s="237">
      <c r="A603" s="120" t="n">
        <v>4134</v>
      </c>
      <c r="B603" s="120" t="inlineStr">
        <is>
          <t>MM4134</t>
        </is>
      </c>
      <c r="C603" s="124" t="inlineStr">
        <is>
          <t>M포도아사애니100PU 2X10</t>
        </is>
      </c>
      <c r="D603" s="256" t="n">
        <v>183</v>
      </c>
      <c r="E603" s="256" t="n">
        <v>182.5</v>
      </c>
      <c r="F603" s="155" t="n">
        <v>365</v>
      </c>
      <c r="G603" s="257" t="n">
        <v>182</v>
      </c>
    </row>
    <row r="604" ht="14.25" customHeight="1" s="237">
      <c r="A604" s="120" t="n">
        <v>4135</v>
      </c>
      <c r="B604" s="120" t="inlineStr">
        <is>
          <t>MM4135</t>
        </is>
      </c>
      <c r="C604" s="124" t="inlineStr">
        <is>
          <t>M망고+포도애니100PU 2X10</t>
        </is>
      </c>
      <c r="D604" s="256" t="n">
        <v>183</v>
      </c>
      <c r="E604" s="256" t="n">
        <v>182.5</v>
      </c>
      <c r="F604" s="155" t="n">
        <v>365</v>
      </c>
      <c r="G604" s="257" t="n">
        <v>182</v>
      </c>
    </row>
    <row r="605" ht="14.25" customHeight="1" s="237">
      <c r="A605" s="126" t="n">
        <v>4141</v>
      </c>
      <c r="B605" s="127" t="inlineStr">
        <is>
          <t>MM4141</t>
        </is>
      </c>
      <c r="C605" s="128" t="inlineStr">
        <is>
          <t>미닛 스파클링 복숭아 345CAN X24</t>
        </is>
      </c>
      <c r="D605" s="256" t="n">
        <v>183</v>
      </c>
      <c r="E605" s="256" t="n">
        <v>182.5</v>
      </c>
      <c r="F605" s="155" t="n">
        <v>365</v>
      </c>
      <c r="G605" s="257" t="n">
        <v>182</v>
      </c>
    </row>
    <row r="606" ht="14.25" customHeight="1" s="237">
      <c r="A606" s="126" t="n">
        <v>4142</v>
      </c>
      <c r="B606" s="127" t="inlineStr">
        <is>
          <t>MM4142</t>
        </is>
      </c>
      <c r="C606" s="128" t="inlineStr">
        <is>
          <t>미닛 스파클링 복숭아 345CAN 4X6</t>
        </is>
      </c>
      <c r="D606" s="128" t="n">
        <v>183</v>
      </c>
      <c r="E606" s="128" t="n">
        <v>182.5</v>
      </c>
      <c r="F606" s="158" t="n">
        <v>365</v>
      </c>
      <c r="G606" s="254" t="n">
        <v>182</v>
      </c>
    </row>
    <row r="607" ht="14.25" customHeight="1" s="237">
      <c r="A607" s="126" t="n">
        <v>4145</v>
      </c>
      <c r="B607" s="127" t="inlineStr">
        <is>
          <t>MM4145</t>
        </is>
      </c>
      <c r="C607" s="128" t="inlineStr">
        <is>
          <t>미닛 스파클링 청포도 185CAN 5X6</t>
        </is>
      </c>
      <c r="D607" s="256" t="n">
        <v>183</v>
      </c>
      <c r="E607" s="256" t="n">
        <v>182.5</v>
      </c>
      <c r="F607" s="155" t="n">
        <v>365</v>
      </c>
      <c r="G607" s="257" t="n">
        <v>182</v>
      </c>
    </row>
    <row r="608" ht="14.25" customHeight="1" s="237">
      <c r="A608" s="126" t="n">
        <v>4147</v>
      </c>
      <c r="B608" s="127" t="inlineStr">
        <is>
          <t>MM4147</t>
        </is>
      </c>
      <c r="C608" s="128" t="inlineStr">
        <is>
          <t>미닛 스파클링 사과 345CAN 4X6</t>
        </is>
      </c>
      <c r="D608" s="256" t="n">
        <v>183</v>
      </c>
      <c r="E608" s="256" t="n">
        <v>182.5</v>
      </c>
      <c r="F608" s="155" t="n">
        <v>365</v>
      </c>
      <c r="G608" s="257" t="n">
        <v>182</v>
      </c>
    </row>
    <row r="609" ht="14.25" customHeight="1" s="237">
      <c r="A609" s="126" t="n">
        <v>4149</v>
      </c>
      <c r="B609" s="127" t="inlineStr">
        <is>
          <t>MM4149</t>
        </is>
      </c>
      <c r="C609" s="128" t="inlineStr">
        <is>
          <t>미닛 스파클링 청포도 345CAN 4X6</t>
        </is>
      </c>
      <c r="D609" s="256" t="n">
        <v>183</v>
      </c>
      <c r="E609" s="256" t="n">
        <v>182.5</v>
      </c>
      <c r="F609" s="155" t="n">
        <v>365</v>
      </c>
      <c r="G609" s="257" t="n">
        <v>182</v>
      </c>
    </row>
    <row r="610" ht="14.25" customHeight="1" s="237">
      <c r="A610" s="126" t="n">
        <v>4150</v>
      </c>
      <c r="B610" s="127" t="inlineStr">
        <is>
          <t>MM4150</t>
        </is>
      </c>
      <c r="C610" s="128" t="inlineStr">
        <is>
          <t>미닛 스파클링 유자 345CAN X24</t>
        </is>
      </c>
      <c r="D610" s="256" t="n">
        <v>183</v>
      </c>
      <c r="E610" s="256" t="n">
        <v>182.5</v>
      </c>
      <c r="F610" s="155" t="n">
        <v>365</v>
      </c>
      <c r="G610" s="257" t="n">
        <v>182</v>
      </c>
    </row>
    <row r="611" ht="14.25" customHeight="1" s="237">
      <c r="A611" s="126" t="n">
        <v>4151</v>
      </c>
      <c r="B611" s="127" t="inlineStr">
        <is>
          <t>MM4151</t>
        </is>
      </c>
      <c r="C611" s="128" t="inlineStr">
        <is>
          <t>미닛 스파클링 청포도 345CAN X24</t>
        </is>
      </c>
      <c r="D611" s="256" t="n">
        <v>183</v>
      </c>
      <c r="E611" s="256" t="n">
        <v>182.5</v>
      </c>
      <c r="F611" s="155" t="n">
        <v>365</v>
      </c>
      <c r="G611" s="257" t="n">
        <v>182</v>
      </c>
    </row>
    <row r="612" ht="14.25" customHeight="1" s="237">
      <c r="A612" s="126" t="n">
        <v>4152</v>
      </c>
      <c r="B612" s="127" t="inlineStr">
        <is>
          <t>MM4152</t>
        </is>
      </c>
      <c r="C612" s="128" t="inlineStr">
        <is>
          <t>미닛 스파클링 사과 345CAN X24</t>
        </is>
      </c>
      <c r="D612" s="256" t="n">
        <v>183</v>
      </c>
      <c r="E612" s="256" t="n">
        <v>182.5</v>
      </c>
      <c r="F612" s="155" t="n">
        <v>365</v>
      </c>
      <c r="G612" s="257" t="n">
        <v>182</v>
      </c>
    </row>
    <row r="613" ht="14.25" customHeight="1" s="237">
      <c r="A613" s="126" t="n">
        <v>4153</v>
      </c>
      <c r="B613" s="127" t="inlineStr">
        <is>
          <t>MM4153</t>
        </is>
      </c>
      <c r="C613" s="128" t="inlineStr">
        <is>
          <t>미닛 스파클링 유자 1.25PET X12</t>
        </is>
      </c>
      <c r="D613" s="256" t="n">
        <v>183</v>
      </c>
      <c r="E613" s="256" t="n">
        <v>182.5</v>
      </c>
      <c r="F613" s="155" t="n">
        <v>365</v>
      </c>
      <c r="G613" s="257" t="n">
        <v>182</v>
      </c>
    </row>
    <row r="614" ht="14.25" customHeight="1" s="237">
      <c r="A614" s="126" t="n">
        <v>4154</v>
      </c>
      <c r="B614" s="127" t="inlineStr">
        <is>
          <t>MM4154</t>
        </is>
      </c>
      <c r="C614" s="128" t="inlineStr">
        <is>
          <t>미닛 스파클링 청포도 1.25PET X12</t>
        </is>
      </c>
      <c r="D614" s="256" t="n">
        <v>183</v>
      </c>
      <c r="E614" s="256" t="n">
        <v>182.5</v>
      </c>
      <c r="F614" s="155" t="n">
        <v>365</v>
      </c>
      <c r="G614" s="257" t="n">
        <v>182</v>
      </c>
    </row>
    <row r="615" ht="14.25" customHeight="1" s="237">
      <c r="A615" s="126" t="n">
        <v>4155</v>
      </c>
      <c r="B615" s="127" t="inlineStr">
        <is>
          <t>MM4155</t>
        </is>
      </c>
      <c r="C615" s="128" t="inlineStr">
        <is>
          <t>미닛 스파클링 사과 1.25PET X12</t>
        </is>
      </c>
      <c r="D615" s="256" t="n">
        <v>183</v>
      </c>
      <c r="E615" s="256" t="n">
        <v>182.5</v>
      </c>
      <c r="F615" s="155" t="n">
        <v>365</v>
      </c>
      <c r="G615" s="257" t="n">
        <v>182</v>
      </c>
    </row>
    <row r="616" ht="14.25" customHeight="1" s="237">
      <c r="A616" s="126" t="n">
        <v>4156</v>
      </c>
      <c r="B616" s="127" t="inlineStr">
        <is>
          <t>MM4156</t>
        </is>
      </c>
      <c r="C616" s="128" t="inlineStr">
        <is>
          <t>미닛 스파클링 유자 350PET X24</t>
        </is>
      </c>
      <c r="D616" s="256" t="n">
        <v>183</v>
      </c>
      <c r="E616" s="256" t="n">
        <v>182.5</v>
      </c>
      <c r="F616" s="155" t="n">
        <v>365</v>
      </c>
      <c r="G616" s="257" t="n">
        <v>182</v>
      </c>
    </row>
    <row r="617" ht="14.25" customHeight="1" s="237">
      <c r="A617" s="126" t="n">
        <v>4157</v>
      </c>
      <c r="B617" s="127" t="inlineStr">
        <is>
          <t>MM4157</t>
        </is>
      </c>
      <c r="C617" s="128" t="inlineStr">
        <is>
          <t>미닛 스파클링 청포도 350PET X24</t>
        </is>
      </c>
      <c r="D617" s="256" t="n">
        <v>183</v>
      </c>
      <c r="E617" s="256" t="n">
        <v>182.5</v>
      </c>
      <c r="F617" s="155" t="n">
        <v>365</v>
      </c>
      <c r="G617" s="257" t="n">
        <v>182</v>
      </c>
    </row>
    <row r="618" ht="14.25" customHeight="1" s="237">
      <c r="A618" s="126" t="n">
        <v>4158</v>
      </c>
      <c r="B618" s="127" t="inlineStr">
        <is>
          <t>MM4158</t>
        </is>
      </c>
      <c r="C618" s="128" t="inlineStr">
        <is>
          <t>미닛 스파클링 청포+유자 1.25PET 6X2</t>
        </is>
      </c>
      <c r="D618" s="256" t="n">
        <v>183</v>
      </c>
      <c r="E618" s="256" t="n">
        <v>182.5</v>
      </c>
      <c r="F618" s="155" t="n">
        <v>365</v>
      </c>
      <c r="G618" s="257" t="n">
        <v>182</v>
      </c>
    </row>
    <row r="619" ht="14.25" customHeight="1" s="237">
      <c r="A619" s="126" t="n">
        <v>4159</v>
      </c>
      <c r="B619" s="127" t="inlineStr">
        <is>
          <t>MM4159</t>
        </is>
      </c>
      <c r="C619" s="128" t="inlineStr">
        <is>
          <t>미닛 스파클링 사과 350PET X24</t>
        </is>
      </c>
      <c r="D619" s="256" t="n">
        <v>183</v>
      </c>
      <c r="E619" s="256" t="n">
        <v>182.5</v>
      </c>
      <c r="F619" s="155" t="n">
        <v>365</v>
      </c>
      <c r="G619" s="257" t="n">
        <v>182</v>
      </c>
    </row>
    <row r="620" ht="14.25" customHeight="1" s="237">
      <c r="A620" s="126" t="n">
        <v>5292</v>
      </c>
      <c r="B620" s="127" t="inlineStr">
        <is>
          <t>MM5292</t>
        </is>
      </c>
      <c r="C620" s="128" t="inlineStr">
        <is>
          <t>미닛 키즈오렌지 210PET X20</t>
        </is>
      </c>
      <c r="D620" s="256" t="n">
        <v>183</v>
      </c>
      <c r="E620" s="256" t="n">
        <v>136.5</v>
      </c>
      <c r="F620" s="155" t="n">
        <v>273</v>
      </c>
      <c r="G620" s="257" t="n">
        <v>90</v>
      </c>
    </row>
    <row r="621" ht="14.25" customHeight="1" s="237">
      <c r="A621" s="126" t="n">
        <v>5293</v>
      </c>
      <c r="B621" s="127" t="inlineStr">
        <is>
          <t>MM5293</t>
        </is>
      </c>
      <c r="C621" s="128" t="inlineStr">
        <is>
          <t>미닛 키즈오렌지 210PET X20</t>
        </is>
      </c>
      <c r="D621" s="256" t="n">
        <v>183</v>
      </c>
      <c r="E621" s="256" t="n">
        <v>136.5</v>
      </c>
      <c r="F621" s="155" t="n">
        <v>273</v>
      </c>
      <c r="G621" s="257" t="n">
        <v>90</v>
      </c>
    </row>
    <row r="622" ht="14.25" customHeight="1" s="237">
      <c r="A622" s="126" t="n">
        <v>5294</v>
      </c>
      <c r="B622" s="127" t="inlineStr">
        <is>
          <t>MM5294</t>
        </is>
      </c>
      <c r="C622" s="128" t="inlineStr">
        <is>
          <t>미닛 키즈포도 210PET X20</t>
        </is>
      </c>
      <c r="D622" s="256" t="n">
        <v>183</v>
      </c>
      <c r="E622" s="256" t="n">
        <v>136.5</v>
      </c>
      <c r="F622" s="155" t="n">
        <v>273</v>
      </c>
      <c r="G622" s="257" t="n">
        <v>90</v>
      </c>
    </row>
    <row r="623" ht="14.25" customHeight="1" s="237">
      <c r="A623" s="120" t="n">
        <v>5297</v>
      </c>
      <c r="B623" s="120" t="inlineStr">
        <is>
          <t>MM5297</t>
        </is>
      </c>
      <c r="C623" s="124" t="inlineStr">
        <is>
          <t>미닛쿠우오렌지300P X24</t>
        </is>
      </c>
      <c r="D623" s="256" t="n">
        <v>183</v>
      </c>
      <c r="E623" s="256" t="n">
        <v>136.5</v>
      </c>
      <c r="F623" s="155" t="n">
        <v>273</v>
      </c>
      <c r="G623" s="257" t="n">
        <v>90</v>
      </c>
    </row>
    <row r="624" ht="14.25" customHeight="1" s="237">
      <c r="A624" s="120" t="n">
        <v>5298</v>
      </c>
      <c r="B624" s="120" t="inlineStr">
        <is>
          <t>MM5298</t>
        </is>
      </c>
      <c r="C624" s="124" t="inlineStr">
        <is>
          <t>미닛쿠우포도 300P X24</t>
        </is>
      </c>
      <c r="D624" s="256" t="n">
        <v>183</v>
      </c>
      <c r="E624" s="256" t="n">
        <v>136.5</v>
      </c>
      <c r="F624" s="155" t="n">
        <v>273</v>
      </c>
      <c r="G624" s="257" t="n">
        <v>90</v>
      </c>
    </row>
    <row r="625" ht="14.25" customHeight="1" s="237">
      <c r="A625" s="120" t="n">
        <v>5303</v>
      </c>
      <c r="B625" s="120" t="inlineStr">
        <is>
          <t>MM5303</t>
        </is>
      </c>
      <c r="C625" s="124" t="inlineStr">
        <is>
          <t>MM 밀키라떼사과300P X24</t>
        </is>
      </c>
      <c r="D625" s="256" t="n">
        <v>122</v>
      </c>
      <c r="E625" s="256" t="n">
        <v>136.5</v>
      </c>
      <c r="F625" s="155" t="n">
        <v>273</v>
      </c>
      <c r="G625" s="257" t="n">
        <v>151</v>
      </c>
    </row>
    <row r="626" ht="14.25" customHeight="1" s="237">
      <c r="A626" s="120" t="n">
        <v>5304</v>
      </c>
      <c r="B626" s="120" t="inlineStr">
        <is>
          <t>MM5304</t>
        </is>
      </c>
      <c r="C626" s="124" t="inlineStr">
        <is>
          <t>MM 밀키라떼망고300P X24</t>
        </is>
      </c>
      <c r="D626" s="256" t="n">
        <v>122</v>
      </c>
      <c r="E626" s="256" t="n">
        <v>136.5</v>
      </c>
      <c r="F626" s="155" t="n">
        <v>273</v>
      </c>
      <c r="G626" s="257" t="n">
        <v>151</v>
      </c>
    </row>
    <row r="627" ht="14.25" customHeight="1" s="237">
      <c r="A627" s="120" t="n">
        <v>5305</v>
      </c>
      <c r="B627" s="120" t="inlineStr">
        <is>
          <t>MM5305</t>
        </is>
      </c>
      <c r="C627" s="124" t="inlineStr">
        <is>
          <t>MM밀키사과+망고300P 6X4</t>
        </is>
      </c>
      <c r="D627" s="256" t="n">
        <v>122</v>
      </c>
      <c r="E627" s="256" t="n">
        <v>136.5</v>
      </c>
      <c r="F627" s="155" t="n">
        <v>273</v>
      </c>
      <c r="G627" s="257" t="n">
        <v>151</v>
      </c>
    </row>
    <row r="628" ht="14.25" customHeight="1" s="237">
      <c r="A628" s="120" t="n">
        <v>5321</v>
      </c>
      <c r="B628" s="120" t="inlineStr">
        <is>
          <t>MM5321</t>
        </is>
      </c>
      <c r="C628" s="124" t="inlineStr">
        <is>
          <t>MM 퓨레복숭아240C X30</t>
        </is>
      </c>
      <c r="D628" s="256" t="n">
        <v>122</v>
      </c>
      <c r="E628" s="256" t="n">
        <v>136.5</v>
      </c>
      <c r="F628" s="155" t="n">
        <v>273</v>
      </c>
      <c r="G628" s="257" t="n">
        <v>151</v>
      </c>
    </row>
    <row r="629" ht="14.25" customHeight="1" s="237">
      <c r="A629" s="120" t="n">
        <v>5322</v>
      </c>
      <c r="B629" s="120" t="inlineStr">
        <is>
          <t>MM5322</t>
        </is>
      </c>
      <c r="C629" s="124" t="inlineStr">
        <is>
          <t>MM 퓨레복숭아300P X24</t>
        </is>
      </c>
      <c r="D629" s="256" t="n">
        <v>122</v>
      </c>
      <c r="E629" s="256" t="n">
        <v>136.5</v>
      </c>
      <c r="F629" s="155" t="n">
        <v>273</v>
      </c>
      <c r="G629" s="257" t="n">
        <v>151</v>
      </c>
    </row>
    <row r="630" ht="14.25" customHeight="1" s="237">
      <c r="A630" s="120" t="n">
        <v>5323</v>
      </c>
      <c r="B630" s="120" t="inlineStr">
        <is>
          <t>MM5323</t>
        </is>
      </c>
      <c r="C630" s="124" t="inlineStr">
        <is>
          <t>MM 퓨레 망고300P X24</t>
        </is>
      </c>
      <c r="D630" s="256" t="n">
        <v>122</v>
      </c>
      <c r="E630" s="256" t="n">
        <v>136.5</v>
      </c>
      <c r="F630" s="155" t="n">
        <v>273</v>
      </c>
      <c r="G630" s="257" t="n">
        <v>151</v>
      </c>
    </row>
    <row r="631" ht="14.25" customHeight="1" s="237">
      <c r="A631" s="120" t="n">
        <v>5324</v>
      </c>
      <c r="B631" s="120" t="inlineStr">
        <is>
          <t>MM5324</t>
        </is>
      </c>
      <c r="C631" s="124" t="inlineStr">
        <is>
          <t>MM퓨레복숭+망고300P 6X4</t>
        </is>
      </c>
      <c r="D631" s="256" t="n">
        <v>122</v>
      </c>
      <c r="E631" s="256" t="n">
        <v>136.5</v>
      </c>
      <c r="F631" s="155" t="n">
        <v>273</v>
      </c>
      <c r="G631" s="257" t="n">
        <v>151</v>
      </c>
    </row>
    <row r="632" ht="14.25" customHeight="1" s="237">
      <c r="A632" s="126" t="n">
        <v>5325</v>
      </c>
      <c r="B632" s="120" t="inlineStr">
        <is>
          <t>MM5325</t>
        </is>
      </c>
      <c r="C632" s="128" t="inlineStr">
        <is>
          <t>S)MM 퓨레망고300P 4X6</t>
        </is>
      </c>
      <c r="D632" s="256" t="n">
        <v>122</v>
      </c>
      <c r="E632" s="256" t="n">
        <v>136.5</v>
      </c>
      <c r="F632" s="155" t="n">
        <v>273</v>
      </c>
      <c r="G632" s="257" t="n">
        <v>151</v>
      </c>
    </row>
    <row r="633" ht="14.25" customHeight="1" s="237">
      <c r="A633" s="126" t="n">
        <v>5326</v>
      </c>
      <c r="B633" s="127" t="inlineStr">
        <is>
          <t>MM5326</t>
        </is>
      </c>
      <c r="C633" s="128" t="inlineStr">
        <is>
          <t>MM 퓨레복숭아175C X30</t>
        </is>
      </c>
      <c r="D633" s="256" t="n">
        <v>183</v>
      </c>
      <c r="E633" s="256" t="n">
        <v>182.5</v>
      </c>
      <c r="F633" s="155" t="n">
        <v>365</v>
      </c>
      <c r="G633" s="257" t="n">
        <v>182</v>
      </c>
    </row>
    <row r="634" ht="14.25" customHeight="1" s="237">
      <c r="A634" s="126" t="n">
        <v>5331</v>
      </c>
      <c r="B634" s="120" t="inlineStr">
        <is>
          <t>MM5331</t>
        </is>
      </c>
      <c r="C634" s="128" t="inlineStr">
        <is>
          <t>MM리치백포도＆알로1.5P X12</t>
        </is>
      </c>
      <c r="D634" s="256" t="n">
        <v>137</v>
      </c>
      <c r="E634" s="256" t="n">
        <v>136.5</v>
      </c>
      <c r="F634" s="155" t="n">
        <v>273</v>
      </c>
      <c r="G634" s="257" t="n">
        <v>136</v>
      </c>
    </row>
    <row r="635" ht="14.25" customHeight="1" s="237">
      <c r="A635" s="126" t="n">
        <v>5332</v>
      </c>
      <c r="B635" s="120" t="inlineStr">
        <is>
          <t>MM5332</t>
        </is>
      </c>
      <c r="C635" s="128" t="inlineStr">
        <is>
          <t>MM리치백포도＆알로238C X24</t>
        </is>
      </c>
      <c r="D635" s="256" t="n">
        <v>137</v>
      </c>
      <c r="E635" s="256" t="n">
        <v>136.5</v>
      </c>
      <c r="F635" s="155" t="n">
        <v>273</v>
      </c>
      <c r="G635" s="257" t="n">
        <v>136</v>
      </c>
    </row>
    <row r="636" ht="14.25" customHeight="1" s="237">
      <c r="A636" s="126" t="n">
        <v>5333</v>
      </c>
      <c r="B636" s="127" t="inlineStr">
        <is>
          <t>MM5333</t>
        </is>
      </c>
      <c r="C636" s="128" t="inlineStr">
        <is>
          <t>MM리치백포도＆알로180N X24</t>
        </is>
      </c>
      <c r="D636" s="256" t="n">
        <v>137</v>
      </c>
      <c r="E636" s="256" t="n">
        <v>136.5</v>
      </c>
      <c r="F636" s="155" t="n">
        <v>273</v>
      </c>
      <c r="G636" s="257" t="n">
        <v>136</v>
      </c>
    </row>
    <row r="637" ht="14.25" customHeight="1" s="237">
      <c r="A637" s="120" t="n">
        <v>6505</v>
      </c>
      <c r="B637" s="120" t="inlineStr">
        <is>
          <t>MM6505</t>
        </is>
      </c>
      <c r="C637" s="124" t="inlineStr">
        <is>
          <t>MM오렌지VC50% 1.5P X12</t>
        </is>
      </c>
      <c r="D637" s="256" t="n">
        <v>122</v>
      </c>
      <c r="E637" s="256" t="n">
        <v>136.5</v>
      </c>
      <c r="F637" s="155" t="n">
        <v>273</v>
      </c>
      <c r="G637" s="257" t="n">
        <v>151</v>
      </c>
    </row>
    <row r="638" ht="14.25" customHeight="1" s="237">
      <c r="A638" s="120" t="n">
        <v>6506</v>
      </c>
      <c r="B638" s="120" t="inlineStr">
        <is>
          <t>MM6506</t>
        </is>
      </c>
      <c r="C638" s="124" t="inlineStr">
        <is>
          <t>MM포도VC40% 1.5P X12</t>
        </is>
      </c>
      <c r="D638" s="256" t="n">
        <v>183</v>
      </c>
      <c r="E638" s="256" t="n">
        <v>182.5</v>
      </c>
      <c r="F638" s="155" t="n">
        <v>365</v>
      </c>
      <c r="G638" s="257" t="n">
        <v>182</v>
      </c>
    </row>
    <row r="639" ht="14.25" customHeight="1" s="237">
      <c r="A639" s="120" t="n">
        <v>6509</v>
      </c>
      <c r="B639" s="120" t="inlineStr">
        <is>
          <t>MM6509</t>
        </is>
      </c>
      <c r="C639" s="124" t="inlineStr">
        <is>
          <t>S)MM오리지널0R100 1.5P 2X6</t>
        </is>
      </c>
      <c r="D639" s="256" t="n">
        <v>122</v>
      </c>
      <c r="E639" s="256" t="n">
        <v>136.5</v>
      </c>
      <c r="F639" s="155" t="n">
        <v>273</v>
      </c>
      <c r="G639" s="257" t="n">
        <v>151</v>
      </c>
    </row>
    <row r="640" ht="14.25" customHeight="1" s="237">
      <c r="A640" s="120" t="n">
        <v>6510</v>
      </c>
      <c r="B640" s="120" t="inlineStr">
        <is>
          <t>MM6510</t>
        </is>
      </c>
      <c r="C640" s="124" t="inlineStr">
        <is>
          <t>S)MM오리지널GR100 1.5P 2X6</t>
        </is>
      </c>
      <c r="D640" s="256" t="n">
        <v>183</v>
      </c>
      <c r="E640" s="256" t="n">
        <v>182.5</v>
      </c>
      <c r="F640" s="155" t="n">
        <v>365</v>
      </c>
      <c r="G640" s="257" t="n">
        <v>182</v>
      </c>
    </row>
    <row r="641" ht="14.25" customHeight="1" s="237">
      <c r="A641" s="120" t="n">
        <v>6526</v>
      </c>
      <c r="B641" s="120" t="inlineStr">
        <is>
          <t>MM6526</t>
        </is>
      </c>
      <c r="C641" s="124" t="inlineStr">
        <is>
          <t>MM오렌지100셀렉트1.5PX12</t>
        </is>
      </c>
      <c r="D641" s="256" t="n">
        <v>122</v>
      </c>
      <c r="E641" s="256" t="n">
        <v>136.5</v>
      </c>
      <c r="F641" s="155" t="n">
        <v>273</v>
      </c>
      <c r="G641" s="257" t="n">
        <v>151</v>
      </c>
    </row>
    <row r="642" ht="14.25" customHeight="1" s="237">
      <c r="A642" s="120" t="n">
        <v>6527</v>
      </c>
      <c r="B642" s="120" t="inlineStr">
        <is>
          <t>MM6527</t>
        </is>
      </c>
      <c r="C642" s="124" t="inlineStr">
        <is>
          <t>MM포도100셀렉트1.5PX12</t>
        </is>
      </c>
      <c r="D642" s="256" t="n">
        <v>183</v>
      </c>
      <c r="E642" s="256" t="n">
        <v>182.5</v>
      </c>
      <c r="F642" s="155" t="n">
        <v>365</v>
      </c>
      <c r="G642" s="257" t="n">
        <v>182</v>
      </c>
    </row>
    <row r="643" ht="14.25" customHeight="1" s="237">
      <c r="A643" s="120" t="n">
        <v>6528</v>
      </c>
      <c r="B643" s="120" t="inlineStr">
        <is>
          <t>MM6528</t>
        </is>
      </c>
      <c r="C643" s="124" t="inlineStr">
        <is>
          <t>MM망고 1.5P X12</t>
        </is>
      </c>
      <c r="D643" s="256" t="n">
        <v>122</v>
      </c>
      <c r="E643" s="256" t="n">
        <v>136.5</v>
      </c>
      <c r="F643" s="155" t="n">
        <v>273</v>
      </c>
      <c r="G643" s="257" t="n">
        <v>151</v>
      </c>
    </row>
    <row r="644" ht="14.25" customHeight="1" s="237">
      <c r="A644" s="120" t="n">
        <v>6529</v>
      </c>
      <c r="B644" s="120" t="inlineStr">
        <is>
          <t>MM6529</t>
        </is>
      </c>
      <c r="C644" s="124" t="inlineStr">
        <is>
          <t>MM망고 1.5P 6X2</t>
        </is>
      </c>
      <c r="D644" s="256" t="n">
        <v>122</v>
      </c>
      <c r="E644" s="256" t="n">
        <v>136.5</v>
      </c>
      <c r="F644" s="155" t="n">
        <v>273</v>
      </c>
      <c r="G644" s="257" t="n">
        <v>151</v>
      </c>
    </row>
    <row r="645" ht="14.25" customHeight="1" s="237">
      <c r="A645" s="126" t="n">
        <v>6530</v>
      </c>
      <c r="B645" s="127" t="inlineStr">
        <is>
          <t>MM6530</t>
        </is>
      </c>
      <c r="C645" s="128" t="inlineStr">
        <is>
          <t>미닛 오렌지 1.2PET X12</t>
        </is>
      </c>
      <c r="D645" s="256" t="n">
        <v>122</v>
      </c>
      <c r="E645" s="256" t="n">
        <v>136.5</v>
      </c>
      <c r="F645" s="155" t="n">
        <v>273</v>
      </c>
      <c r="G645" s="257" t="n">
        <v>151</v>
      </c>
    </row>
    <row r="646" ht="14.25" customHeight="1" s="237">
      <c r="A646" s="126" t="n">
        <v>6531</v>
      </c>
      <c r="B646" s="127" t="inlineStr">
        <is>
          <t>MM6531</t>
        </is>
      </c>
      <c r="C646" s="128" t="inlineStr">
        <is>
          <t>미닛 포도 1.2PET X12</t>
        </is>
      </c>
      <c r="D646" s="256" t="n">
        <v>183</v>
      </c>
      <c r="E646" s="256" t="n">
        <v>182.5</v>
      </c>
      <c r="F646" s="155" t="n">
        <v>365</v>
      </c>
      <c r="G646" s="257" t="n">
        <v>182</v>
      </c>
    </row>
    <row r="647" ht="14.25" customHeight="1" s="237">
      <c r="A647" s="126" t="n">
        <v>6534</v>
      </c>
      <c r="B647" s="127" t="inlineStr">
        <is>
          <t>MM6534</t>
        </is>
      </c>
      <c r="C647" s="128" t="inlineStr">
        <is>
          <t>미닛 제주감귤 1.2PET X12</t>
        </is>
      </c>
      <c r="D647" s="256" t="n">
        <v>122</v>
      </c>
      <c r="E647" s="256" t="n">
        <v>136.5</v>
      </c>
      <c r="F647" s="155" t="n">
        <v>273</v>
      </c>
      <c r="G647" s="257" t="n">
        <v>151</v>
      </c>
    </row>
    <row r="648" ht="14.25" customHeight="1" s="237">
      <c r="A648" s="120" t="n">
        <v>6538</v>
      </c>
      <c r="B648" s="120" t="inlineStr">
        <is>
          <t>MM6538</t>
        </is>
      </c>
      <c r="C648" s="124" t="inlineStr">
        <is>
          <t>MM오리지널0R100 1.5PX12</t>
        </is>
      </c>
      <c r="D648" s="256" t="n">
        <v>122</v>
      </c>
      <c r="E648" s="256" t="n">
        <v>136.5</v>
      </c>
      <c r="F648" s="155" t="n">
        <v>273</v>
      </c>
      <c r="G648" s="257" t="n">
        <v>151</v>
      </c>
    </row>
    <row r="649" ht="14.25" customHeight="1" s="237">
      <c r="A649" s="120" t="n">
        <v>6539</v>
      </c>
      <c r="B649" s="120" t="inlineStr">
        <is>
          <t>MM6539</t>
        </is>
      </c>
      <c r="C649" s="124" t="inlineStr">
        <is>
          <t>MM오리지널GR100 1.5PX12</t>
        </is>
      </c>
      <c r="D649" s="256" t="n">
        <v>183</v>
      </c>
      <c r="E649" s="256" t="n">
        <v>182.5</v>
      </c>
      <c r="F649" s="155" t="n">
        <v>365</v>
      </c>
      <c r="G649" s="257" t="n">
        <v>182</v>
      </c>
    </row>
    <row r="650" ht="14.25" customHeight="1" s="237">
      <c r="A650" s="120" t="n">
        <v>6540</v>
      </c>
      <c r="B650" s="120" t="inlineStr">
        <is>
          <t>MM6540</t>
        </is>
      </c>
      <c r="C650" s="124" t="inlineStr">
        <is>
          <t>MM제주 감귤1.5P X12</t>
        </is>
      </c>
      <c r="D650" s="256" t="n">
        <v>122</v>
      </c>
      <c r="E650" s="256" t="n">
        <v>136.5</v>
      </c>
      <c r="F650" s="155" t="n">
        <v>273</v>
      </c>
      <c r="G650" s="257" t="n">
        <v>151</v>
      </c>
    </row>
    <row r="651" ht="14.25" customHeight="1" s="237">
      <c r="A651" s="120" t="n">
        <v>6555</v>
      </c>
      <c r="B651" s="120" t="inlineStr">
        <is>
          <t>MM6555</t>
        </is>
      </c>
      <c r="C651" s="124" t="inlineStr">
        <is>
          <t>MM오리지널OR100 1.0N X8</t>
        </is>
      </c>
      <c r="D651" s="256" t="n">
        <v>122</v>
      </c>
      <c r="E651" s="256" t="n">
        <v>136.5</v>
      </c>
      <c r="F651" s="155" t="n">
        <v>273</v>
      </c>
      <c r="G651" s="257" t="n">
        <v>151</v>
      </c>
    </row>
    <row r="652" ht="14.25" customHeight="1" s="237">
      <c r="A652" s="120" t="n">
        <v>6556</v>
      </c>
      <c r="B652" s="120" t="inlineStr">
        <is>
          <t>MM6556</t>
        </is>
      </c>
      <c r="C652" s="124" t="inlineStr">
        <is>
          <t>MM오리지널GR100 1.0N X8</t>
        </is>
      </c>
      <c r="D652" s="256" t="n">
        <v>183</v>
      </c>
      <c r="E652" s="256" t="n">
        <v>182.5</v>
      </c>
      <c r="F652" s="155" t="n">
        <v>365</v>
      </c>
      <c r="G652" s="257" t="n">
        <v>182</v>
      </c>
      <c r="H652" s="131" t="n"/>
    </row>
    <row r="653" ht="14.25" customHeight="1" s="237">
      <c r="A653" s="120" t="n">
        <v>6557</v>
      </c>
      <c r="B653" s="120" t="inlineStr">
        <is>
          <t>MM6557</t>
        </is>
      </c>
      <c r="C653" s="124" t="inlineStr">
        <is>
          <t>M오리지널오+오+포1.0N 4X3</t>
        </is>
      </c>
      <c r="D653" s="256" t="n">
        <v>122</v>
      </c>
      <c r="E653" s="256" t="n">
        <v>136.5</v>
      </c>
      <c r="F653" s="155" t="n">
        <v>273</v>
      </c>
      <c r="G653" s="257" t="n">
        <v>151</v>
      </c>
    </row>
    <row r="654" ht="14.25" customHeight="1" s="237">
      <c r="A654" s="120" t="n">
        <v>6559</v>
      </c>
      <c r="B654" s="120" t="inlineStr">
        <is>
          <t>MM6559</t>
        </is>
      </c>
      <c r="C654" s="124" t="inlineStr">
        <is>
          <t>MM프리미엄GR100 180C X30</t>
        </is>
      </c>
      <c r="D654" s="256" t="n">
        <v>183</v>
      </c>
      <c r="E654" s="256" t="n">
        <v>182.5</v>
      </c>
      <c r="F654" s="155" t="n">
        <v>365</v>
      </c>
      <c r="G654" s="257" t="n">
        <v>182</v>
      </c>
      <c r="H654" s="266" t="n"/>
      <c r="I654" s="133" t="n"/>
      <c r="J654" s="133" t="n"/>
    </row>
    <row r="655" ht="14.25" customHeight="1" s="237">
      <c r="A655" s="126" t="n">
        <v>6577</v>
      </c>
      <c r="B655" s="127" t="inlineStr">
        <is>
          <t>MM6577</t>
        </is>
      </c>
      <c r="C655" s="128" t="inlineStr">
        <is>
          <t>미닛 오렌지+포도 1.2PET 6X2</t>
        </is>
      </c>
      <c r="D655" s="256" t="n">
        <v>122</v>
      </c>
      <c r="E655" s="256" t="n">
        <v>136.5</v>
      </c>
      <c r="F655" s="155" t="n">
        <v>273</v>
      </c>
      <c r="G655" s="257" t="n">
        <v>151</v>
      </c>
    </row>
    <row r="656" ht="14.25" customHeight="1" s="237">
      <c r="A656" s="126" t="n">
        <v>6578</v>
      </c>
      <c r="B656" s="127" t="inlineStr">
        <is>
          <t>MM6578</t>
        </is>
      </c>
      <c r="C656" s="128" t="inlineStr">
        <is>
          <t>미닛 오렌지+감귤 1.2PET 6X2</t>
        </is>
      </c>
      <c r="D656" s="256" t="n">
        <v>122</v>
      </c>
      <c r="E656" s="256" t="n">
        <v>136.5</v>
      </c>
      <c r="F656" s="155" t="n">
        <v>273</v>
      </c>
      <c r="G656" s="257" t="n">
        <v>151</v>
      </c>
      <c r="I656" s="134" t="n"/>
    </row>
    <row r="657" ht="14.25" customHeight="1" s="237">
      <c r="A657" s="126" t="n">
        <v>6579</v>
      </c>
      <c r="B657" s="127" t="inlineStr">
        <is>
          <t>MM6579</t>
        </is>
      </c>
      <c r="C657" s="128" t="inlineStr">
        <is>
          <t>미닛 포도+감귤 1.2PET 6X2</t>
        </is>
      </c>
      <c r="D657" s="256" t="n">
        <v>122</v>
      </c>
      <c r="E657" s="256" t="n">
        <v>136.5</v>
      </c>
      <c r="F657" s="155" t="n">
        <v>273</v>
      </c>
      <c r="G657" s="257" t="n">
        <v>151</v>
      </c>
      <c r="I657" s="266" t="n"/>
    </row>
    <row r="658" ht="14.25" customHeight="1" s="237">
      <c r="A658" s="126" t="n">
        <v>6587</v>
      </c>
      <c r="B658" s="127" t="inlineStr">
        <is>
          <t>MM6587</t>
        </is>
      </c>
      <c r="C658" s="128" t="inlineStr">
        <is>
          <t>미닛 플라워 벚꽃사과 350PET X24</t>
        </is>
      </c>
      <c r="D658" s="256" t="n">
        <v>183</v>
      </c>
      <c r="E658" s="256" t="n">
        <v>182.5</v>
      </c>
      <c r="F658" s="155" t="n">
        <v>365</v>
      </c>
      <c r="G658" s="257" t="n">
        <v>182</v>
      </c>
    </row>
    <row r="659" ht="14.25" customHeight="1" s="237">
      <c r="A659" s="126" t="n">
        <v>6588</v>
      </c>
      <c r="B659" s="127" t="inlineStr">
        <is>
          <t>MM6588</t>
        </is>
      </c>
      <c r="C659" s="128" t="inlineStr">
        <is>
          <t>미닛 플라워 벚꽃사과 350PET 4X6</t>
        </is>
      </c>
      <c r="D659" s="256" t="n">
        <v>183</v>
      </c>
      <c r="E659" s="256" t="n">
        <v>182.5</v>
      </c>
      <c r="F659" s="155" t="n">
        <v>365</v>
      </c>
      <c r="G659" s="257" t="n">
        <v>182</v>
      </c>
    </row>
    <row r="660" ht="14.25" customHeight="1" s="237">
      <c r="A660" s="126" t="n">
        <v>6589</v>
      </c>
      <c r="B660" s="127" t="inlineStr">
        <is>
          <t>MM6589</t>
        </is>
      </c>
      <c r="C660" s="128" t="inlineStr">
        <is>
          <t>미닛 플라워 장미포도 350PET X24</t>
        </is>
      </c>
      <c r="D660" s="256" t="n">
        <v>183</v>
      </c>
      <c r="E660" s="256" t="n">
        <v>182.5</v>
      </c>
      <c r="F660" s="155" t="n">
        <v>365</v>
      </c>
      <c r="G660" s="257" t="n">
        <v>182</v>
      </c>
    </row>
    <row r="661" ht="14.25" customHeight="1" s="237">
      <c r="A661" s="126" t="n">
        <v>6590</v>
      </c>
      <c r="B661" s="127" t="inlineStr">
        <is>
          <t>MM6590</t>
        </is>
      </c>
      <c r="C661" s="128" t="inlineStr">
        <is>
          <t>미닛 플라워 벚꽃사과 1.2PET X12</t>
        </is>
      </c>
      <c r="D661" s="256" t="n">
        <v>183</v>
      </c>
      <c r="E661" s="256" t="n">
        <v>182.5</v>
      </c>
      <c r="F661" s="155" t="n">
        <v>365</v>
      </c>
      <c r="G661" s="257" t="n">
        <v>182</v>
      </c>
    </row>
    <row r="662" ht="14.25" customHeight="1" s="237">
      <c r="A662" s="126" t="n">
        <v>6591</v>
      </c>
      <c r="B662" s="127" t="inlineStr">
        <is>
          <t>MM6591</t>
        </is>
      </c>
      <c r="C662" s="128" t="inlineStr">
        <is>
          <t>미닛 플라워 장미포도 1.2PET X12</t>
        </is>
      </c>
      <c r="D662" s="256" t="n">
        <v>183</v>
      </c>
      <c r="E662" s="256" t="n">
        <v>182.5</v>
      </c>
      <c r="F662" s="155" t="n">
        <v>365</v>
      </c>
      <c r="G662" s="257" t="n">
        <v>182</v>
      </c>
    </row>
    <row r="663" ht="14.25" customHeight="1" s="237">
      <c r="A663" s="126" t="n">
        <v>6592</v>
      </c>
      <c r="B663" s="127" t="inlineStr">
        <is>
          <t>MM6592</t>
        </is>
      </c>
      <c r="C663" s="128" t="inlineStr">
        <is>
          <t>미닛 플라워 벚꽃+장미 1.2PET 6X2</t>
        </is>
      </c>
      <c r="D663" s="256" t="n">
        <v>183</v>
      </c>
      <c r="E663" s="256" t="n">
        <v>182.5</v>
      </c>
      <c r="F663" s="155" t="n">
        <v>365</v>
      </c>
      <c r="G663" s="257" t="n">
        <v>182</v>
      </c>
    </row>
    <row r="664" ht="14.25" customHeight="1" s="237">
      <c r="A664" s="126" t="n">
        <v>6600</v>
      </c>
      <c r="B664" s="127" t="inlineStr">
        <is>
          <t>MM6600</t>
        </is>
      </c>
      <c r="C664" s="128" t="inlineStr">
        <is>
          <t>미닛 코코구미 파인애플 300PET 4X6</t>
        </is>
      </c>
      <c r="D664" s="256" t="n">
        <v>122</v>
      </c>
      <c r="E664" s="256" t="n">
        <v>136.5</v>
      </c>
      <c r="F664" s="155" t="n">
        <v>273</v>
      </c>
      <c r="G664" s="257" t="n">
        <v>151</v>
      </c>
    </row>
    <row r="665" ht="14.25" customHeight="1" s="237">
      <c r="A665" s="120" t="n">
        <v>6681</v>
      </c>
      <c r="B665" s="120" t="inlineStr">
        <is>
          <t>MM6681</t>
        </is>
      </c>
      <c r="C665" s="124" t="inlineStr">
        <is>
          <t>M리치블랜드아사이1.0N X8</t>
        </is>
      </c>
      <c r="D665" s="256" t="n">
        <v>183</v>
      </c>
      <c r="E665" s="256" t="n">
        <v>182.5</v>
      </c>
      <c r="F665" s="155" t="n">
        <v>365</v>
      </c>
      <c r="G665" s="257" t="n">
        <v>182</v>
      </c>
    </row>
    <row r="666" ht="14.25" customHeight="1" s="237">
      <c r="A666" s="120" t="n">
        <v>6682</v>
      </c>
      <c r="B666" s="120" t="inlineStr">
        <is>
          <t>MM6682</t>
        </is>
      </c>
      <c r="C666" s="124" t="inlineStr">
        <is>
          <t>M리치블랜드크렌베1.0N X8</t>
        </is>
      </c>
      <c r="D666" s="256" t="n">
        <v>183</v>
      </c>
      <c r="E666" s="256" t="n">
        <v>182.5</v>
      </c>
      <c r="F666" s="155" t="n">
        <v>365</v>
      </c>
      <c r="G666" s="257" t="n">
        <v>182</v>
      </c>
    </row>
    <row r="667" ht="14.25" customHeight="1" s="237">
      <c r="A667" s="120" t="n">
        <v>6685</v>
      </c>
      <c r="B667" s="120" t="inlineStr">
        <is>
          <t>MM6685</t>
        </is>
      </c>
      <c r="C667" s="124" t="inlineStr">
        <is>
          <t>M리치블랜드아사이300P X24</t>
        </is>
      </c>
      <c r="D667" s="256" t="n">
        <v>183</v>
      </c>
      <c r="E667" s="256" t="n">
        <v>182.5</v>
      </c>
      <c r="F667" s="155" t="n">
        <v>365</v>
      </c>
      <c r="G667" s="257" t="n">
        <v>182</v>
      </c>
    </row>
    <row r="668" ht="14.25" customHeight="1" s="237">
      <c r="A668" s="120" t="n">
        <v>6686</v>
      </c>
      <c r="B668" s="120" t="inlineStr">
        <is>
          <t>MM6686</t>
        </is>
      </c>
      <c r="C668" s="124" t="inlineStr">
        <is>
          <t>M리치블랜드크렌베300P X24</t>
        </is>
      </c>
      <c r="D668" s="256" t="n">
        <v>183</v>
      </c>
      <c r="E668" s="256" t="n">
        <v>182.5</v>
      </c>
      <c r="F668" s="155" t="n">
        <v>365</v>
      </c>
      <c r="G668" s="257" t="n">
        <v>182</v>
      </c>
    </row>
    <row r="669" ht="14.25" customHeight="1" s="237">
      <c r="A669" s="120" t="n">
        <v>6687</v>
      </c>
      <c r="B669" s="120" t="inlineStr">
        <is>
          <t>MM6687</t>
        </is>
      </c>
      <c r="C669" s="124" t="inlineStr">
        <is>
          <t>M리치블랜드아사이1.5P X12</t>
        </is>
      </c>
      <c r="D669" s="256" t="n">
        <v>183</v>
      </c>
      <c r="E669" s="256" t="n">
        <v>182.5</v>
      </c>
      <c r="F669" s="155" t="n">
        <v>365</v>
      </c>
      <c r="G669" s="257" t="n">
        <v>182</v>
      </c>
    </row>
    <row r="670" ht="14.25" customHeight="1" s="237">
      <c r="A670" s="120" t="n">
        <v>6688</v>
      </c>
      <c r="B670" s="120" t="inlineStr">
        <is>
          <t>MM6688</t>
        </is>
      </c>
      <c r="C670" s="124" t="inlineStr">
        <is>
          <t>M리치블랜드크렌베1.5P X12</t>
        </is>
      </c>
      <c r="D670" s="256" t="n">
        <v>183</v>
      </c>
      <c r="E670" s="256" t="n">
        <v>182.5</v>
      </c>
      <c r="F670" s="155" t="n">
        <v>365</v>
      </c>
      <c r="G670" s="257" t="n">
        <v>182</v>
      </c>
    </row>
    <row r="671" ht="14.25" customHeight="1" s="237">
      <c r="A671" s="120" t="n">
        <v>6689</v>
      </c>
      <c r="B671" s="120" t="inlineStr">
        <is>
          <t>MM6689</t>
        </is>
      </c>
      <c r="C671" s="124" t="inlineStr">
        <is>
          <t>M리치블랜드AB+CB 1.5P 6X2</t>
        </is>
      </c>
      <c r="D671" s="256" t="n">
        <v>183</v>
      </c>
      <c r="E671" s="256" t="n">
        <v>182.5</v>
      </c>
      <c r="F671" s="155" t="n">
        <v>365</v>
      </c>
      <c r="G671" s="257" t="n">
        <v>182</v>
      </c>
    </row>
    <row r="672" ht="14.25" customHeight="1" s="237">
      <c r="A672" s="120" t="n">
        <v>6690</v>
      </c>
      <c r="B672" s="120" t="inlineStr">
        <is>
          <t>MM6690</t>
        </is>
      </c>
      <c r="C672" s="124" t="inlineStr">
        <is>
          <t>MM펀치 애플홀릭400P X24</t>
        </is>
      </c>
      <c r="D672" s="256" t="n">
        <v>183</v>
      </c>
      <c r="E672" s="256" t="n">
        <v>182.5</v>
      </c>
      <c r="F672" s="155" t="n">
        <v>365</v>
      </c>
      <c r="G672" s="257" t="n">
        <v>182</v>
      </c>
    </row>
    <row r="673" ht="14.25" customHeight="1" s="237">
      <c r="A673" s="120" t="n">
        <v>6691</v>
      </c>
      <c r="B673" s="120" t="inlineStr">
        <is>
          <t>MM6691</t>
        </is>
      </c>
      <c r="C673" s="124" t="inlineStr">
        <is>
          <t>MM펀치오렌지자몽400P X24</t>
        </is>
      </c>
      <c r="D673" s="256" t="n">
        <v>122</v>
      </c>
      <c r="E673" s="256" t="n">
        <v>136.5</v>
      </c>
      <c r="F673" s="155" t="n">
        <v>273</v>
      </c>
      <c r="G673" s="257" t="n">
        <v>151</v>
      </c>
    </row>
    <row r="674" ht="14.25" customHeight="1" s="237">
      <c r="A674" s="120" t="n">
        <v>6694</v>
      </c>
      <c r="B674" s="120" t="inlineStr">
        <is>
          <t>MM6694</t>
        </is>
      </c>
      <c r="C674" s="124" t="inlineStr">
        <is>
          <t>MM펀치 애플홀릭1.5P X12</t>
        </is>
      </c>
      <c r="D674" s="256" t="n">
        <v>183</v>
      </c>
      <c r="E674" s="256" t="n">
        <v>182.5</v>
      </c>
      <c r="F674" s="155" t="n">
        <v>365</v>
      </c>
      <c r="G674" s="257" t="n">
        <v>182</v>
      </c>
    </row>
    <row r="675" ht="14.25" customHeight="1" s="237">
      <c r="A675" s="120" t="n">
        <v>6695</v>
      </c>
      <c r="B675" s="120" t="inlineStr">
        <is>
          <t>MM6695</t>
        </is>
      </c>
      <c r="C675" s="124" t="inlineStr">
        <is>
          <t>MM펀치오렌지자몽1.5P X12</t>
        </is>
      </c>
      <c r="D675" s="256" t="n">
        <v>122</v>
      </c>
      <c r="E675" s="256" t="n">
        <v>136.5</v>
      </c>
      <c r="F675" s="155" t="n">
        <v>273</v>
      </c>
      <c r="G675" s="257" t="n">
        <v>151</v>
      </c>
    </row>
    <row r="676" ht="14.25" customHeight="1" s="237">
      <c r="A676" s="120" t="n">
        <v>6700</v>
      </c>
      <c r="B676" s="120" t="inlineStr">
        <is>
          <t>MM6700</t>
        </is>
      </c>
      <c r="C676" s="124" t="inlineStr">
        <is>
          <t>MM오리지널OR100 350P X24</t>
        </is>
      </c>
      <c r="D676" s="256" t="n">
        <v>122</v>
      </c>
      <c r="E676" s="256" t="n">
        <v>136.5</v>
      </c>
      <c r="F676" s="155" t="n">
        <v>273</v>
      </c>
      <c r="G676" s="257" t="n">
        <v>151</v>
      </c>
    </row>
    <row r="677" ht="14.25" customHeight="1" s="237">
      <c r="A677" s="120" t="n">
        <v>6701</v>
      </c>
      <c r="B677" s="120" t="inlineStr">
        <is>
          <t>MM6701</t>
        </is>
      </c>
      <c r="C677" s="124" t="inlineStr">
        <is>
          <t>MM오리지널GR100 350P X24</t>
        </is>
      </c>
      <c r="D677" s="256" t="n">
        <v>183</v>
      </c>
      <c r="E677" s="256" t="n">
        <v>182.5</v>
      </c>
      <c r="F677" s="155" t="n">
        <v>365</v>
      </c>
      <c r="G677" s="257" t="n">
        <v>182</v>
      </c>
    </row>
    <row r="678" ht="14.25" customHeight="1" s="237">
      <c r="A678" s="120" t="n">
        <v>6705</v>
      </c>
      <c r="B678" s="120" t="inlineStr">
        <is>
          <t>MM6705</t>
        </is>
      </c>
      <c r="C678" s="124" t="inlineStr">
        <is>
          <t>S)MM오리지널OR100 350P 4X6</t>
        </is>
      </c>
      <c r="D678" s="256" t="n">
        <v>122</v>
      </c>
      <c r="E678" s="256" t="n">
        <v>136.5</v>
      </c>
      <c r="F678" s="155" t="n">
        <v>273</v>
      </c>
      <c r="G678" s="257" t="n">
        <v>151</v>
      </c>
    </row>
    <row r="679" ht="14.25" customHeight="1" s="237">
      <c r="A679" s="120" t="n">
        <v>6706</v>
      </c>
      <c r="B679" s="120" t="inlineStr">
        <is>
          <t>MM6706</t>
        </is>
      </c>
      <c r="C679" s="124" t="inlineStr">
        <is>
          <t>S)미닛 포도 350PET 4X6</t>
        </is>
      </c>
      <c r="D679" s="256" t="n">
        <v>183</v>
      </c>
      <c r="E679" s="256" t="n">
        <v>182.5</v>
      </c>
      <c r="F679" s="155" t="n">
        <v>365</v>
      </c>
      <c r="G679" s="257" t="n">
        <v>182</v>
      </c>
    </row>
    <row r="680" ht="14.25" customHeight="1" s="237">
      <c r="A680" s="120" t="n">
        <v>6708</v>
      </c>
      <c r="B680" s="120" t="inlineStr">
        <is>
          <t>MM6708</t>
        </is>
      </c>
      <c r="C680" s="124" t="inlineStr">
        <is>
          <t>S)M리치블랜아사이300P 4X6</t>
        </is>
      </c>
      <c r="D680" s="256" t="n">
        <v>183</v>
      </c>
      <c r="E680" s="256" t="n">
        <v>182.5</v>
      </c>
      <c r="F680" s="155" t="n">
        <v>365</v>
      </c>
      <c r="G680" s="257" t="n">
        <v>182</v>
      </c>
    </row>
    <row r="681" ht="14.25" customHeight="1" s="237">
      <c r="A681" s="120" t="n">
        <v>6709</v>
      </c>
      <c r="B681" s="120" t="inlineStr">
        <is>
          <t>MM6709</t>
        </is>
      </c>
      <c r="C681" s="124" t="inlineStr">
        <is>
          <t>S)M리치블랜크렌베300P 4X6</t>
        </is>
      </c>
      <c r="D681" s="256" t="n">
        <v>183</v>
      </c>
      <c r="E681" s="256" t="n">
        <v>182.5</v>
      </c>
      <c r="F681" s="155" t="n">
        <v>365</v>
      </c>
      <c r="G681" s="257" t="n">
        <v>182</v>
      </c>
    </row>
    <row r="682" ht="14.25" customHeight="1" s="237">
      <c r="A682" s="120" t="n">
        <v>6710</v>
      </c>
      <c r="B682" s="120" t="inlineStr">
        <is>
          <t>MM6710</t>
        </is>
      </c>
      <c r="C682" s="124" t="inlineStr">
        <is>
          <t>MM오리지널OR100 1.8P X12</t>
        </is>
      </c>
      <c r="D682" s="256" t="n">
        <v>122</v>
      </c>
      <c r="E682" s="256" t="n">
        <v>136.5</v>
      </c>
      <c r="F682" s="155" t="n">
        <v>273</v>
      </c>
      <c r="G682" s="257" t="n">
        <v>151</v>
      </c>
    </row>
    <row r="683" ht="14.25" customHeight="1" s="237">
      <c r="A683" s="120" t="n">
        <v>6711</v>
      </c>
      <c r="B683" s="120" t="inlineStr">
        <is>
          <t>MM6711</t>
        </is>
      </c>
      <c r="C683" s="124" t="inlineStr">
        <is>
          <t>MM오리지널GR100 1.8P X12</t>
        </is>
      </c>
      <c r="D683" s="256" t="n">
        <v>183</v>
      </c>
      <c r="E683" s="256" t="n">
        <v>182.5</v>
      </c>
      <c r="F683" s="155" t="n">
        <v>365</v>
      </c>
      <c r="G683" s="257" t="n">
        <v>182</v>
      </c>
    </row>
    <row r="684" ht="14.25" customHeight="1" s="237">
      <c r="A684" s="120" t="n">
        <v>6712</v>
      </c>
      <c r="B684" s="120" t="inlineStr">
        <is>
          <t>MM6712</t>
        </is>
      </c>
      <c r="C684" s="124" t="inlineStr">
        <is>
          <t>MM프리미엄감귤1.8P X12</t>
        </is>
      </c>
      <c r="D684" s="256" t="n">
        <v>122</v>
      </c>
      <c r="E684" s="256" t="n">
        <v>136.5</v>
      </c>
      <c r="F684" s="155" t="n">
        <v>273</v>
      </c>
      <c r="G684" s="257" t="n">
        <v>151</v>
      </c>
    </row>
    <row r="685" ht="14.25" customHeight="1" s="237">
      <c r="A685" s="120" t="n">
        <v>6718</v>
      </c>
      <c r="B685" s="120" t="inlineStr">
        <is>
          <t>MM6718</t>
        </is>
      </c>
      <c r="C685" s="124" t="inlineStr">
        <is>
          <t>M&amp;P)미닛제주감귤1.8P X12</t>
        </is>
      </c>
      <c r="D685" s="256" t="n">
        <v>122</v>
      </c>
      <c r="E685" s="256" t="n">
        <v>136.5</v>
      </c>
      <c r="F685" s="155" t="n">
        <v>273</v>
      </c>
      <c r="G685" s="257" t="n">
        <v>151</v>
      </c>
    </row>
    <row r="686" ht="14.25" customHeight="1" s="237">
      <c r="A686" s="120" t="n">
        <v>6736</v>
      </c>
      <c r="B686" s="120" t="inlineStr">
        <is>
          <t>MM6736</t>
        </is>
      </c>
      <c r="C686" s="124" t="inlineStr">
        <is>
          <t>MM오리지널OR100 175C X30</t>
        </is>
      </c>
      <c r="D686" s="256" t="n">
        <v>183</v>
      </c>
      <c r="E686" s="256" t="n">
        <v>182.5</v>
      </c>
      <c r="F686" s="155" t="n">
        <v>365</v>
      </c>
      <c r="G686" s="257" t="n">
        <v>182</v>
      </c>
    </row>
    <row r="687" ht="14.25" customHeight="1" s="237">
      <c r="A687" s="120" t="n">
        <v>6738</v>
      </c>
      <c r="B687" s="120" t="inlineStr">
        <is>
          <t>MM6738</t>
        </is>
      </c>
      <c r="C687" s="124" t="inlineStr">
        <is>
          <t>MM망고 240C X30</t>
        </is>
      </c>
      <c r="D687" s="256" t="n">
        <v>183</v>
      </c>
      <c r="E687" s="256" t="n">
        <v>182.5</v>
      </c>
      <c r="F687" s="155" t="n">
        <v>365</v>
      </c>
      <c r="G687" s="257" t="n">
        <v>182</v>
      </c>
    </row>
    <row r="688" ht="14.25" customHeight="1" s="237">
      <c r="A688" s="120" t="n">
        <v>6985</v>
      </c>
      <c r="B688" s="120" t="inlineStr">
        <is>
          <t>MM6985</t>
        </is>
      </c>
      <c r="C688" s="124" t="inlineStr">
        <is>
          <t>미닛 벌꿀배 240C X30</t>
        </is>
      </c>
      <c r="D688" s="256" t="n">
        <v>122</v>
      </c>
      <c r="E688" s="256" t="n">
        <v>136.5</v>
      </c>
      <c r="F688" s="155" t="n">
        <v>273</v>
      </c>
      <c r="G688" s="257" t="n">
        <v>151</v>
      </c>
    </row>
    <row r="689" ht="14.25" customHeight="1" s="237">
      <c r="A689" s="120" t="n">
        <v>6986</v>
      </c>
      <c r="B689" s="120" t="inlineStr">
        <is>
          <t>MM6986</t>
        </is>
      </c>
      <c r="C689" s="124" t="inlineStr">
        <is>
          <t>미닛 벌꿀배 280N X20</t>
        </is>
      </c>
      <c r="D689" s="256" t="n">
        <v>122</v>
      </c>
      <c r="E689" s="256" t="n">
        <v>136.5</v>
      </c>
      <c r="F689" s="155" t="n">
        <v>273</v>
      </c>
      <c r="G689" s="257" t="n">
        <v>151</v>
      </c>
    </row>
    <row r="690" ht="14.25" customHeight="1" s="237">
      <c r="A690" s="120" t="n">
        <v>6991</v>
      </c>
      <c r="B690" s="120" t="inlineStr">
        <is>
          <t>MM6991</t>
        </is>
      </c>
      <c r="C690" s="124" t="inlineStr">
        <is>
          <t>미닛5얼라이브350P X24</t>
        </is>
      </c>
      <c r="D690" s="256" t="n">
        <v>122</v>
      </c>
      <c r="E690" s="256" t="n">
        <v>136.5</v>
      </c>
      <c r="F690" s="155" t="n">
        <v>273</v>
      </c>
      <c r="G690" s="257" t="n">
        <v>151</v>
      </c>
    </row>
    <row r="691" ht="14.25" customHeight="1" s="237">
      <c r="A691" s="120" t="n">
        <v>6992</v>
      </c>
      <c r="B691" s="120" t="inlineStr">
        <is>
          <t>MM6992</t>
        </is>
      </c>
      <c r="C691" s="124" t="inlineStr">
        <is>
          <t>미닛5얼라이브1.0T X9</t>
        </is>
      </c>
      <c r="D691" s="256" t="n">
        <v>122</v>
      </c>
      <c r="E691" s="256" t="n">
        <v>136.5</v>
      </c>
      <c r="F691" s="155" t="n">
        <v>273</v>
      </c>
      <c r="G691" s="257" t="n">
        <v>151</v>
      </c>
    </row>
    <row r="692" ht="14.25" customHeight="1" s="237">
      <c r="A692" s="120" t="n">
        <v>6993</v>
      </c>
      <c r="B692" s="120" t="inlineStr">
        <is>
          <t>MM6993</t>
        </is>
      </c>
      <c r="C692" s="124" t="inlineStr">
        <is>
          <t>미닛5얼라이브1.5P X12</t>
        </is>
      </c>
      <c r="D692" s="256" t="n">
        <v>122</v>
      </c>
      <c r="E692" s="256" t="n">
        <v>136.5</v>
      </c>
      <c r="F692" s="155" t="n">
        <v>273</v>
      </c>
      <c r="G692" s="257" t="n">
        <v>151</v>
      </c>
    </row>
    <row r="693" ht="14.25" customHeight="1" s="237">
      <c r="A693" s="120" t="n">
        <v>6994</v>
      </c>
      <c r="B693" s="120" t="inlineStr">
        <is>
          <t>MM6994</t>
        </is>
      </c>
      <c r="C693" s="124" t="inlineStr">
        <is>
          <t>S미닛5얼라이브350P 4X6</t>
        </is>
      </c>
      <c r="D693" s="256" t="n">
        <v>122</v>
      </c>
      <c r="E693" s="256" t="n">
        <v>136.5</v>
      </c>
      <c r="F693" s="155" t="n">
        <v>273</v>
      </c>
      <c r="G693" s="257" t="n">
        <v>151</v>
      </c>
    </row>
    <row r="694" ht="14.25" customHeight="1" s="237">
      <c r="A694" s="126" t="n">
        <v>7001</v>
      </c>
      <c r="B694" s="120" t="inlineStr">
        <is>
          <t>MM7001</t>
        </is>
      </c>
      <c r="C694" s="128" t="inlineStr">
        <is>
          <t>MM홈스타일오렌지1.2P X12</t>
        </is>
      </c>
      <c r="D694" s="256" t="n">
        <v>137</v>
      </c>
      <c r="E694" s="256" t="n">
        <v>136.5</v>
      </c>
      <c r="F694" s="155" t="n">
        <v>273</v>
      </c>
      <c r="G694" s="257" t="n">
        <v>136</v>
      </c>
    </row>
    <row r="695" ht="14.25" customHeight="1" s="237">
      <c r="A695" s="126" t="n">
        <v>7002</v>
      </c>
      <c r="B695" s="120" t="inlineStr">
        <is>
          <t>MM7002</t>
        </is>
      </c>
      <c r="C695" s="128" t="inlineStr">
        <is>
          <t>MM홈스타일　자몽1.2P X12</t>
        </is>
      </c>
      <c r="D695" s="256" t="n">
        <v>137</v>
      </c>
      <c r="E695" s="256" t="n">
        <v>136.5</v>
      </c>
      <c r="F695" s="155" t="n">
        <v>273</v>
      </c>
      <c r="G695" s="257" t="n">
        <v>136</v>
      </c>
    </row>
    <row r="696" ht="14.25" customHeight="1" s="237">
      <c r="A696" s="126" t="n">
        <v>7003</v>
      </c>
      <c r="B696" s="120" t="inlineStr">
        <is>
          <t>MM7003</t>
        </is>
      </c>
      <c r="C696" s="128" t="inlineStr">
        <is>
          <t>MM홈스타일오렌지300P X24</t>
        </is>
      </c>
      <c r="D696" s="256" t="n">
        <v>137</v>
      </c>
      <c r="E696" s="256" t="n">
        <v>136.5</v>
      </c>
      <c r="F696" s="155" t="n">
        <v>273</v>
      </c>
      <c r="G696" s="257" t="n">
        <v>136</v>
      </c>
    </row>
    <row r="697" ht="14.25" customHeight="1" s="237">
      <c r="A697" s="126" t="n">
        <v>7004</v>
      </c>
      <c r="B697" s="120" t="inlineStr">
        <is>
          <t>MM7004</t>
        </is>
      </c>
      <c r="C697" s="128" t="inlineStr">
        <is>
          <t>MM홈스타일　자몽300P X24</t>
        </is>
      </c>
      <c r="D697" s="256" t="n">
        <v>137</v>
      </c>
      <c r="E697" s="256" t="n">
        <v>136.5</v>
      </c>
      <c r="F697" s="155" t="n">
        <v>273</v>
      </c>
      <c r="G697" s="257" t="n">
        <v>136</v>
      </c>
    </row>
    <row r="698" ht="14.25" customHeight="1" s="237">
      <c r="A698" s="126" t="n">
        <v>7005</v>
      </c>
      <c r="B698" s="120" t="inlineStr">
        <is>
          <t>MM7005</t>
        </is>
      </c>
      <c r="C698" s="128" t="inlineStr">
        <is>
          <t>MM홈스타일　자몽300P 4X6</t>
        </is>
      </c>
      <c r="D698" s="256" t="n">
        <v>137</v>
      </c>
      <c r="E698" s="256" t="n">
        <v>136.5</v>
      </c>
      <c r="F698" s="155" t="n">
        <v>273</v>
      </c>
      <c r="G698" s="257" t="n">
        <v>136</v>
      </c>
    </row>
    <row r="699" ht="14.25" customHeight="1" s="237">
      <c r="A699" s="126" t="n">
        <v>7006</v>
      </c>
      <c r="B699" s="120" t="inlineStr">
        <is>
          <t>MM7006</t>
        </is>
      </c>
      <c r="C699" s="128" t="inlineStr">
        <is>
          <t>MM홈스타오렌＋자몽1.2P 6X2</t>
        </is>
      </c>
      <c r="D699" s="256" t="n">
        <v>137</v>
      </c>
      <c r="E699" s="256" t="n">
        <v>136.5</v>
      </c>
      <c r="F699" s="155" t="n">
        <v>273</v>
      </c>
      <c r="G699" s="257" t="n">
        <v>136</v>
      </c>
    </row>
    <row r="700" ht="14.25" customHeight="1" s="237">
      <c r="A700" s="120" t="n">
        <v>7007</v>
      </c>
      <c r="B700" s="120" t="inlineStr">
        <is>
          <t>MM7007</t>
        </is>
      </c>
      <c r="C700" s="124" t="inlineStr">
        <is>
          <t>S)MM홈스타일오렌지300P 4X6</t>
        </is>
      </c>
      <c r="D700" s="256" t="n">
        <v>137</v>
      </c>
      <c r="E700" s="256" t="n">
        <v>136.5</v>
      </c>
      <c r="F700" s="155" t="n">
        <v>273</v>
      </c>
      <c r="G700" s="257" t="n">
        <v>136</v>
      </c>
    </row>
    <row r="701" ht="14.25" customHeight="1" s="237">
      <c r="A701" s="126" t="n">
        <v>7008</v>
      </c>
      <c r="B701" s="127" t="inlineStr">
        <is>
          <t>MM7008</t>
        </is>
      </c>
      <c r="C701" s="128" t="inlineStr">
        <is>
          <t>MM홈스타일선물세트1.2P 3X4</t>
        </is>
      </c>
      <c r="D701" s="256" t="n">
        <v>137</v>
      </c>
      <c r="E701" s="256" t="n">
        <v>136.5</v>
      </c>
      <c r="F701" s="155" t="n">
        <v>273</v>
      </c>
      <c r="G701" s="257" t="n">
        <v>136</v>
      </c>
    </row>
    <row r="702" ht="14.25" customHeight="1" s="237">
      <c r="A702" s="126" t="n">
        <v>7009</v>
      </c>
      <c r="B702" s="126" t="inlineStr">
        <is>
          <t>MM7009</t>
        </is>
      </c>
      <c r="C702" s="128" t="inlineStr">
        <is>
          <t>미닛 홈스타일오렌지 180NRB X24</t>
        </is>
      </c>
      <c r="D702" s="256" t="n">
        <v>137</v>
      </c>
      <c r="E702" s="256" t="n">
        <v>136.5</v>
      </c>
      <c r="F702" s="155" t="n">
        <v>273</v>
      </c>
      <c r="G702" s="257" t="n">
        <v>136</v>
      </c>
    </row>
    <row r="703" ht="14.25" customHeight="1" s="237">
      <c r="A703" s="126" t="n">
        <v>7010</v>
      </c>
      <c r="B703" s="126" t="inlineStr">
        <is>
          <t>MM7010</t>
        </is>
      </c>
      <c r="C703" s="128" t="inlineStr">
        <is>
          <t>미닛 홈스타일자몽 180NRB X24</t>
        </is>
      </c>
      <c r="D703" s="256" t="n">
        <v>137</v>
      </c>
      <c r="E703" s="256" t="n">
        <v>136.5</v>
      </c>
      <c r="F703" s="155" t="n">
        <v>273</v>
      </c>
      <c r="G703" s="257" t="n">
        <v>136</v>
      </c>
    </row>
    <row r="704" ht="14.25" customHeight="1" s="237">
      <c r="A704" s="120" t="n">
        <v>7011</v>
      </c>
      <c r="B704" s="120" t="inlineStr">
        <is>
          <t>MM7011</t>
        </is>
      </c>
      <c r="C704" s="124" t="inlineStr">
        <is>
          <t>MM홈스타일오＋자180N 3X12</t>
        </is>
      </c>
      <c r="D704" s="256" t="n">
        <v>137</v>
      </c>
      <c r="E704" s="256" t="n">
        <v>136.5</v>
      </c>
      <c r="F704" s="155" t="n">
        <v>273</v>
      </c>
      <c r="G704" s="257" t="n">
        <v>136</v>
      </c>
    </row>
    <row r="705" ht="14.25" customHeight="1" s="237">
      <c r="A705" s="126" t="n">
        <v>7012</v>
      </c>
      <c r="B705" s="127" t="inlineStr">
        <is>
          <t>MM7012</t>
        </is>
      </c>
      <c r="C705" s="128" t="inlineStr">
        <is>
          <t>S)MM홈스타일자몽1.2P 2X6</t>
        </is>
      </c>
      <c r="D705" s="256" t="n">
        <v>137</v>
      </c>
      <c r="E705" s="256" t="n">
        <v>136.5</v>
      </c>
      <c r="F705" s="155" t="n">
        <v>273</v>
      </c>
      <c r="G705" s="257" t="n">
        <v>136</v>
      </c>
    </row>
    <row r="706" ht="14.25" customHeight="1" s="237">
      <c r="A706" s="126" t="n">
        <v>7013</v>
      </c>
      <c r="B706" s="127" t="inlineStr">
        <is>
          <t>MM7013</t>
        </is>
      </c>
      <c r="C706" s="128" t="inlineStr">
        <is>
          <t>미닛 홈스오렌+오리진자몽 1.2PET 6X2</t>
        </is>
      </c>
      <c r="D706" s="256" t="n">
        <v>137</v>
      </c>
      <c r="E706" s="256" t="n">
        <v>136.5</v>
      </c>
      <c r="F706" s="155" t="n">
        <v>273</v>
      </c>
      <c r="G706" s="257" t="n">
        <v>136</v>
      </c>
    </row>
    <row r="707" ht="14.25" customHeight="1" s="237">
      <c r="A707" s="126" t="n">
        <v>7014</v>
      </c>
      <c r="B707" s="127" t="inlineStr">
        <is>
          <t>MM7014</t>
        </is>
      </c>
      <c r="C707" s="128" t="inlineStr">
        <is>
          <t>미닛 홈스오렌+오리진레몬 1.2PET 6X2</t>
        </is>
      </c>
      <c r="D707" s="256" t="n">
        <v>137</v>
      </c>
      <c r="E707" s="256" t="n">
        <v>136.5</v>
      </c>
      <c r="F707" s="155" t="n">
        <v>273</v>
      </c>
      <c r="G707" s="257" t="n">
        <v>136</v>
      </c>
    </row>
    <row r="708" ht="14.25" customHeight="1" s="237">
      <c r="A708" s="126" t="n">
        <v>7015</v>
      </c>
      <c r="B708" s="127" t="inlineStr">
        <is>
          <t>MM7015</t>
        </is>
      </c>
      <c r="C708" s="128" t="inlineStr">
        <is>
          <t>MM홈스타일　청포도300P X24</t>
        </is>
      </c>
      <c r="D708" s="256" t="n">
        <v>137</v>
      </c>
      <c r="E708" s="256" t="n">
        <v>136.5</v>
      </c>
      <c r="F708" s="155" t="n">
        <v>273</v>
      </c>
      <c r="G708" s="257" t="n">
        <v>136</v>
      </c>
    </row>
    <row r="709" ht="14.25" customHeight="1" s="237">
      <c r="A709" s="136" t="n">
        <v>7016</v>
      </c>
      <c r="B709" s="127" t="inlineStr">
        <is>
          <t>MM7016</t>
        </is>
      </c>
      <c r="C709" s="128" t="inlineStr">
        <is>
          <t>미닛 홈스타일 청포도 1.2PET X12</t>
        </is>
      </c>
      <c r="D709" s="256" t="n">
        <v>137</v>
      </c>
      <c r="E709" s="256" t="n">
        <v>136.5</v>
      </c>
      <c r="F709" s="155" t="n">
        <v>273</v>
      </c>
      <c r="G709" s="257" t="n">
        <v>136</v>
      </c>
    </row>
    <row r="710" ht="14.25" customHeight="1" s="237">
      <c r="A710" s="136" t="n">
        <v>7017</v>
      </c>
      <c r="B710" s="127" t="inlineStr">
        <is>
          <t>MM7017</t>
        </is>
      </c>
      <c r="C710" s="128" t="inlineStr">
        <is>
          <t>미닛 홈스타일 오렌+청포도 1.2PET 6X2</t>
        </is>
      </c>
      <c r="D710" s="256" t="n">
        <v>137</v>
      </c>
      <c r="E710" s="256" t="n">
        <v>136.5</v>
      </c>
      <c r="F710" s="155" t="n">
        <v>273</v>
      </c>
      <c r="G710" s="257" t="n">
        <v>136</v>
      </c>
    </row>
    <row r="711" ht="14.25" customHeight="1" s="237">
      <c r="A711" s="126" t="n">
        <v>7018</v>
      </c>
      <c r="B711" s="127" t="inlineStr">
        <is>
          <t>MM7018</t>
        </is>
      </c>
      <c r="C711" s="128" t="inlineStr">
        <is>
          <t>미닛 홈스타일 자몽+청포도 1.2PET 6X2</t>
        </is>
      </c>
      <c r="D711" s="256" t="n">
        <v>137</v>
      </c>
      <c r="E711" s="256" t="n">
        <v>136.5</v>
      </c>
      <c r="F711" s="155" t="n">
        <v>273</v>
      </c>
      <c r="G711" s="257" t="n">
        <v>136</v>
      </c>
    </row>
    <row r="712" ht="14.25" customHeight="1" s="237">
      <c r="A712" s="126" t="n">
        <v>7019</v>
      </c>
      <c r="B712" s="127" t="inlineStr">
        <is>
          <t>MM7019</t>
        </is>
      </c>
      <c r="C712" s="128" t="inlineStr">
        <is>
          <t>미닛 홈스타오렌+자몽 1.2PET X6</t>
        </is>
      </c>
      <c r="D712" s="256" t="n">
        <v>137</v>
      </c>
      <c r="E712" s="256" t="n">
        <v>136.5</v>
      </c>
      <c r="F712" s="155" t="n">
        <v>273</v>
      </c>
      <c r="G712" s="257" t="n">
        <v>136</v>
      </c>
    </row>
    <row r="713" ht="14.25" customHeight="1" s="237">
      <c r="A713" s="126" t="n">
        <v>7020</v>
      </c>
      <c r="B713" s="127" t="inlineStr">
        <is>
          <t>MM7020</t>
        </is>
      </c>
      <c r="C713" s="128" t="inlineStr">
        <is>
          <t>미닛 홈스 오자청 1.2+300PET 2X6</t>
        </is>
      </c>
      <c r="D713" s="256" t="n">
        <v>137</v>
      </c>
      <c r="E713" s="256" t="n">
        <v>136.5</v>
      </c>
      <c r="F713" s="155" t="n">
        <v>273</v>
      </c>
      <c r="G713" s="257" t="n">
        <v>136</v>
      </c>
    </row>
    <row r="714" ht="14.25" customHeight="1" s="237">
      <c r="A714" s="126" t="n">
        <v>7021</v>
      </c>
      <c r="B714" s="127" t="inlineStr">
        <is>
          <t>MM7021</t>
        </is>
      </c>
      <c r="C714" s="128" t="inlineStr">
        <is>
          <t>미닛 홈스타일 오+자+청 180NRB 3X12</t>
        </is>
      </c>
      <c r="D714" s="256" t="n">
        <v>137</v>
      </c>
      <c r="E714" s="256" t="n">
        <v>136.5</v>
      </c>
      <c r="F714" s="155" t="n">
        <v>273</v>
      </c>
      <c r="G714" s="257" t="n">
        <v>136</v>
      </c>
    </row>
    <row r="715" ht="14.25" customHeight="1" s="237">
      <c r="A715" s="120" t="n">
        <v>7025</v>
      </c>
      <c r="B715" s="120" t="inlineStr">
        <is>
          <t>MM7025</t>
        </is>
      </c>
      <c r="C715" s="124" t="inlineStr">
        <is>
          <t>미닛테트라오렌지1.0T X9</t>
        </is>
      </c>
      <c r="D715" s="256" t="n">
        <v>122</v>
      </c>
      <c r="E715" s="256" t="n">
        <v>136.5</v>
      </c>
      <c r="F715" s="155" t="n">
        <v>273</v>
      </c>
      <c r="G715" s="257" t="n">
        <v>151</v>
      </c>
    </row>
    <row r="716" ht="14.25" customHeight="1" s="237">
      <c r="A716" s="120" t="n">
        <v>7026</v>
      </c>
      <c r="B716" s="120" t="inlineStr">
        <is>
          <t>MM7026</t>
        </is>
      </c>
      <c r="C716" s="124" t="inlineStr">
        <is>
          <t>미닛테트라 포도1.0T X9</t>
        </is>
      </c>
      <c r="D716" s="256" t="n">
        <v>122</v>
      </c>
      <c r="E716" s="256" t="n">
        <v>136.5</v>
      </c>
      <c r="F716" s="155" t="n">
        <v>273</v>
      </c>
      <c r="G716" s="257" t="n">
        <v>151</v>
      </c>
    </row>
    <row r="717" ht="14.25" customHeight="1" s="237">
      <c r="A717" s="120" t="n">
        <v>7027</v>
      </c>
      <c r="B717" s="120" t="inlineStr">
        <is>
          <t>MM7027</t>
        </is>
      </c>
      <c r="C717" s="124" t="inlineStr">
        <is>
          <t>미닛테트라 망고1.0T X9</t>
        </is>
      </c>
      <c r="D717" s="256" t="n">
        <v>122</v>
      </c>
      <c r="E717" s="256" t="n">
        <v>136.5</v>
      </c>
      <c r="F717" s="155" t="n">
        <v>273</v>
      </c>
      <c r="G717" s="257" t="n">
        <v>151</v>
      </c>
    </row>
    <row r="718" ht="14.25" customHeight="1" s="237">
      <c r="A718" s="120" t="n">
        <v>7028</v>
      </c>
      <c r="B718" s="120" t="inlineStr">
        <is>
          <t>MM7028</t>
        </is>
      </c>
      <c r="C718" s="124" t="inlineStr">
        <is>
          <t>미닛테트라오오포망1.0T 4X4</t>
        </is>
      </c>
      <c r="D718" s="256" t="n">
        <v>122</v>
      </c>
      <c r="E718" s="256" t="n">
        <v>136.5</v>
      </c>
      <c r="F718" s="155" t="n">
        <v>273</v>
      </c>
      <c r="G718" s="257" t="n">
        <v>151</v>
      </c>
    </row>
    <row r="719" ht="14.25" customHeight="1" s="237">
      <c r="A719" s="120" t="n">
        <v>7029</v>
      </c>
      <c r="B719" s="120" t="inlineStr">
        <is>
          <t>MM7029</t>
        </is>
      </c>
      <c r="C719" s="124" t="inlineStr">
        <is>
          <t>미닛테트라오오포망1.0T 3X4</t>
        </is>
      </c>
      <c r="D719" s="256" t="n">
        <v>122</v>
      </c>
      <c r="E719" s="256" t="n">
        <v>136.5</v>
      </c>
      <c r="F719" s="155" t="n">
        <v>273</v>
      </c>
      <c r="G719" s="257" t="n">
        <v>151</v>
      </c>
    </row>
    <row r="720" ht="14.25" customHeight="1" s="237">
      <c r="A720" s="126" t="n">
        <v>7034</v>
      </c>
      <c r="B720" s="127" t="inlineStr">
        <is>
          <t>MM7034</t>
        </is>
      </c>
      <c r="C720" s="128" t="inlineStr">
        <is>
          <t>미닛 홈스타일 오+오+자+청 1.2PET 3X4</t>
        </is>
      </c>
      <c r="D720" s="256" t="n">
        <v>137</v>
      </c>
      <c r="E720" s="256" t="n">
        <v>136.5</v>
      </c>
      <c r="F720" s="155" t="n">
        <v>273</v>
      </c>
      <c r="G720" s="257" t="n">
        <v>136</v>
      </c>
    </row>
    <row r="721" ht="14.25" customHeight="1" s="237">
      <c r="A721" s="126" t="n">
        <v>7038</v>
      </c>
      <c r="B721" s="127" t="inlineStr">
        <is>
          <t>MM7038</t>
        </is>
      </c>
      <c r="C721" s="128" t="inlineStr">
        <is>
          <t>미닛 감귤+홈스 자몽 1.2PET 6X2</t>
        </is>
      </c>
      <c r="D721" s="256" t="n">
        <v>137</v>
      </c>
      <c r="E721" s="256" t="n">
        <v>136.5</v>
      </c>
      <c r="F721" s="155" t="n">
        <v>273</v>
      </c>
      <c r="G721" s="257" t="n">
        <v>136</v>
      </c>
    </row>
    <row r="722" ht="14.25" customHeight="1" s="237">
      <c r="A722" s="126" t="n">
        <v>7040</v>
      </c>
      <c r="B722" s="127" t="inlineStr">
        <is>
          <t>MM7040</t>
        </is>
      </c>
      <c r="C722" s="128" t="inlineStr">
        <is>
          <t>미닛 감귤+홈스 청포도 1.2PET 6X2</t>
        </is>
      </c>
      <c r="D722" s="256" t="n">
        <v>137</v>
      </c>
      <c r="E722" s="256" t="n">
        <v>136.5</v>
      </c>
      <c r="F722" s="155" t="n">
        <v>273</v>
      </c>
      <c r="G722" s="257" t="n">
        <v>136</v>
      </c>
    </row>
    <row r="723" ht="14.25" customHeight="1" s="237">
      <c r="A723" s="126" t="n">
        <v>7042</v>
      </c>
      <c r="B723" s="127" t="inlineStr">
        <is>
          <t>MM7042</t>
        </is>
      </c>
      <c r="C723" s="128" t="inlineStr">
        <is>
          <t>미닛 홈스타일사과 300PET X24</t>
        </is>
      </c>
      <c r="D723" s="256" t="n">
        <v>137</v>
      </c>
      <c r="E723" s="256" t="n">
        <v>136.5</v>
      </c>
      <c r="F723" s="155" t="n">
        <v>273</v>
      </c>
      <c r="G723" s="257" t="n">
        <v>136</v>
      </c>
    </row>
    <row r="724" ht="14.25" customHeight="1" s="237">
      <c r="A724" s="126" t="n">
        <v>7043</v>
      </c>
      <c r="B724" s="127" t="inlineStr">
        <is>
          <t>MM7043</t>
        </is>
      </c>
      <c r="C724" s="128" t="inlineStr">
        <is>
          <t>미닛 홈스타일사과 1.2PET X12</t>
        </is>
      </c>
      <c r="D724" s="256" t="n">
        <v>137</v>
      </c>
      <c r="E724" s="256" t="n">
        <v>136.5</v>
      </c>
      <c r="F724" s="155" t="n">
        <v>273</v>
      </c>
      <c r="G724" s="257" t="n">
        <v>136</v>
      </c>
    </row>
    <row r="725" ht="14.25" customHeight="1" s="237">
      <c r="A725" s="126" t="n">
        <v>7044</v>
      </c>
      <c r="B725" s="127" t="inlineStr">
        <is>
          <t>MM7044</t>
        </is>
      </c>
      <c r="C725" s="128" t="inlineStr">
        <is>
          <t>미닛 홈스타일 오렌+사과 1.2PET 6X2</t>
        </is>
      </c>
      <c r="D725" s="256" t="n">
        <v>137</v>
      </c>
      <c r="E725" s="256" t="n">
        <v>136.5</v>
      </c>
      <c r="F725" s="155" t="n">
        <v>273</v>
      </c>
      <c r="G725" s="257" t="n">
        <v>136</v>
      </c>
    </row>
    <row r="726" ht="14.25" customHeight="1" s="237">
      <c r="A726" s="126" t="n">
        <v>7045</v>
      </c>
      <c r="B726" s="127" t="inlineStr">
        <is>
          <t>MM7045</t>
        </is>
      </c>
      <c r="C726" s="128" t="inlineStr">
        <is>
          <t>미닛 홈스타일 자몽+사과 1.2PET 6X2</t>
        </is>
      </c>
      <c r="D726" s="256" t="n">
        <v>137</v>
      </c>
      <c r="E726" s="256" t="n">
        <v>136.5</v>
      </c>
      <c r="F726" s="155" t="n">
        <v>273</v>
      </c>
      <c r="G726" s="257" t="n">
        <v>136</v>
      </c>
    </row>
    <row r="727" ht="14.25" customHeight="1" s="237">
      <c r="A727" s="126" t="n">
        <v>7046</v>
      </c>
      <c r="B727" s="127" t="inlineStr">
        <is>
          <t>MM7046</t>
        </is>
      </c>
      <c r="C727" s="128" t="inlineStr">
        <is>
          <t>미닛 홈스타일 청포도+사과 1.2PET 6X2</t>
        </is>
      </c>
      <c r="D727" s="256" t="n">
        <v>137</v>
      </c>
      <c r="E727" s="256" t="n">
        <v>136.5</v>
      </c>
      <c r="F727" s="155" t="n">
        <v>273</v>
      </c>
      <c r="G727" s="257" t="n">
        <v>136</v>
      </c>
    </row>
    <row r="728" ht="14.25" customHeight="1" s="237">
      <c r="A728" s="126" t="n">
        <v>7047</v>
      </c>
      <c r="B728" s="127" t="inlineStr">
        <is>
          <t>MM7047</t>
        </is>
      </c>
      <c r="C728" s="128" t="inlineStr">
        <is>
          <t>미닛 홈스타일오렌지 E-T 1.2PET X4</t>
        </is>
      </c>
      <c r="D728" s="256" t="n">
        <v>137</v>
      </c>
      <c r="E728" s="256" t="n">
        <v>136.5</v>
      </c>
      <c r="F728" s="155" t="n">
        <v>273</v>
      </c>
      <c r="G728" s="257" t="n">
        <v>136</v>
      </c>
    </row>
    <row r="729" ht="14.25" customHeight="1" s="237">
      <c r="A729" s="126" t="n">
        <v>7048</v>
      </c>
      <c r="B729" s="127" t="inlineStr">
        <is>
          <t>MM7048</t>
        </is>
      </c>
      <c r="C729" s="128" t="inlineStr">
        <is>
          <t>미닛 홈스 오렌+청포도 증정 1.2PET 6X2</t>
        </is>
      </c>
      <c r="D729" s="256" t="n">
        <v>137</v>
      </c>
      <c r="E729" s="256" t="n">
        <v>136.5</v>
      </c>
      <c r="F729" s="155" t="n">
        <v>273</v>
      </c>
      <c r="G729" s="257" t="n">
        <v>136</v>
      </c>
    </row>
    <row r="730" ht="14.25" customHeight="1" s="237">
      <c r="A730" s="126" t="n">
        <v>7049</v>
      </c>
      <c r="B730" s="127" t="inlineStr">
        <is>
          <t>MM7049</t>
        </is>
      </c>
      <c r="C730" s="128" t="inlineStr">
        <is>
          <t>미닛 홈스 오렌+사과 증정 1.2PET 6X2</t>
        </is>
      </c>
      <c r="D730" s="256" t="n">
        <v>137</v>
      </c>
      <c r="E730" s="256" t="n">
        <v>136.5</v>
      </c>
      <c r="F730" s="155" t="n">
        <v>273</v>
      </c>
      <c r="G730" s="257" t="n">
        <v>136</v>
      </c>
    </row>
    <row r="731" ht="14.25" customHeight="1" s="237">
      <c r="A731" s="120" t="n">
        <v>7140</v>
      </c>
      <c r="B731" s="120" t="inlineStr">
        <is>
          <t>MM7140</t>
        </is>
      </c>
      <c r="C731" s="124" t="inlineStr">
        <is>
          <t>미닛조이 오렌지175C X30</t>
        </is>
      </c>
      <c r="D731" s="256" t="n">
        <v>183</v>
      </c>
      <c r="E731" s="256" t="n">
        <v>182.5</v>
      </c>
      <c r="F731" s="155" t="n">
        <v>365</v>
      </c>
      <c r="G731" s="257" t="n">
        <v>182</v>
      </c>
    </row>
    <row r="732" ht="14.25" customHeight="1" s="237">
      <c r="A732" s="120" t="n">
        <v>7141</v>
      </c>
      <c r="B732" s="120" t="inlineStr">
        <is>
          <t>MM7141</t>
        </is>
      </c>
      <c r="C732" s="124" t="inlineStr">
        <is>
          <t>미닛조이애플리치175C X30</t>
        </is>
      </c>
      <c r="D732" s="256" t="n">
        <v>183</v>
      </c>
      <c r="E732" s="256" t="n">
        <v>182.5</v>
      </c>
      <c r="F732" s="155" t="n">
        <v>365</v>
      </c>
      <c r="G732" s="257" t="n">
        <v>182</v>
      </c>
    </row>
    <row r="733" ht="14.25" customHeight="1" s="237">
      <c r="A733" s="120" t="n">
        <v>7142</v>
      </c>
      <c r="B733" s="120" t="inlineStr">
        <is>
          <t>MM7142</t>
        </is>
      </c>
      <c r="C733" s="124" t="inlineStr">
        <is>
          <t>미닛조이 오렌지240C X30</t>
        </is>
      </c>
      <c r="D733" s="256" t="n">
        <v>183</v>
      </c>
      <c r="E733" s="256" t="n">
        <v>182.5</v>
      </c>
      <c r="F733" s="155" t="n">
        <v>365</v>
      </c>
      <c r="G733" s="257" t="n">
        <v>182</v>
      </c>
    </row>
    <row r="734" ht="14.25" customHeight="1" s="237">
      <c r="A734" s="120" t="n">
        <v>7143</v>
      </c>
      <c r="B734" s="120" t="inlineStr">
        <is>
          <t>MM7143</t>
        </is>
      </c>
      <c r="C734" s="124" t="inlineStr">
        <is>
          <t>미닛조이 포도 240C X30</t>
        </is>
      </c>
      <c r="D734" s="256" t="n">
        <v>183</v>
      </c>
      <c r="E734" s="256" t="n">
        <v>182.5</v>
      </c>
      <c r="F734" s="155" t="n">
        <v>365</v>
      </c>
      <c r="G734" s="257" t="n">
        <v>182</v>
      </c>
    </row>
    <row r="735" ht="14.25" customHeight="1" s="237">
      <c r="A735" s="120" t="n">
        <v>7144</v>
      </c>
      <c r="B735" s="120" t="inlineStr">
        <is>
          <t>MM7144</t>
        </is>
      </c>
      <c r="C735" s="124" t="inlineStr">
        <is>
          <t>미닛조이애플리치240C X30</t>
        </is>
      </c>
      <c r="D735" s="256" t="n">
        <v>183</v>
      </c>
      <c r="E735" s="256" t="n">
        <v>182.5</v>
      </c>
      <c r="F735" s="155" t="n">
        <v>365</v>
      </c>
      <c r="G735" s="257" t="n">
        <v>182</v>
      </c>
    </row>
    <row r="736" ht="14.25" customHeight="1" s="237">
      <c r="A736" s="120" t="n">
        <v>7148</v>
      </c>
      <c r="B736" s="120" t="inlineStr">
        <is>
          <t>MM7148</t>
        </is>
      </c>
      <c r="C736" s="124" t="inlineStr">
        <is>
          <t>미닛조이오렌지175C 4+2</t>
        </is>
      </c>
      <c r="D736" s="256" t="n">
        <v>183</v>
      </c>
      <c r="E736" s="256" t="n">
        <v>182.5</v>
      </c>
      <c r="F736" s="155" t="n">
        <v>365</v>
      </c>
      <c r="G736" s="257" t="n">
        <v>182</v>
      </c>
    </row>
    <row r="737" ht="14.25" customHeight="1" s="237">
      <c r="A737" s="120" t="n">
        <v>7149</v>
      </c>
      <c r="B737" s="120" t="inlineStr">
        <is>
          <t>MM7149</t>
        </is>
      </c>
      <c r="C737" s="124" t="inlineStr">
        <is>
          <t>미닛조이 오렌지175C 5X6</t>
        </is>
      </c>
      <c r="D737" s="256" t="n">
        <v>183</v>
      </c>
      <c r="E737" s="256" t="n">
        <v>182.5</v>
      </c>
      <c r="F737" s="155" t="n">
        <v>365</v>
      </c>
      <c r="G737" s="257" t="n">
        <v>182</v>
      </c>
    </row>
    <row r="738" ht="14.25" customHeight="1" s="237">
      <c r="A738" s="120" t="n">
        <v>7150</v>
      </c>
      <c r="B738" s="120" t="inlineStr">
        <is>
          <t>MM7150</t>
        </is>
      </c>
      <c r="C738" s="124" t="inlineStr">
        <is>
          <t>미닛조이애플리치175C 5X6</t>
        </is>
      </c>
      <c r="D738" s="256" t="n">
        <v>183</v>
      </c>
      <c r="E738" s="256" t="n">
        <v>182.5</v>
      </c>
      <c r="F738" s="155" t="n">
        <v>365</v>
      </c>
      <c r="G738" s="257" t="n">
        <v>182</v>
      </c>
    </row>
    <row r="739" ht="14.25" customHeight="1" s="237">
      <c r="A739" s="120" t="n">
        <v>7151</v>
      </c>
      <c r="B739" s="120" t="inlineStr">
        <is>
          <t>MM7151</t>
        </is>
      </c>
      <c r="C739" s="124" t="inlineStr">
        <is>
          <t>미닛펀치트로피칼175C X30</t>
        </is>
      </c>
      <c r="D739" s="256" t="n">
        <v>183</v>
      </c>
      <c r="E739" s="256" t="n">
        <v>182.5</v>
      </c>
      <c r="F739" s="155" t="n">
        <v>365</v>
      </c>
      <c r="G739" s="257" t="n">
        <v>182</v>
      </c>
    </row>
    <row r="740" ht="14.25" customHeight="1" s="237">
      <c r="A740" s="120" t="n">
        <v>7152</v>
      </c>
      <c r="B740" s="120" t="inlineStr">
        <is>
          <t>MM7152</t>
        </is>
      </c>
      <c r="C740" s="124" t="inlineStr">
        <is>
          <t>미닛펀치트로피175C 4+2</t>
        </is>
      </c>
      <c r="D740" s="256" t="n">
        <v>183</v>
      </c>
      <c r="E740" s="256" t="n">
        <v>182.5</v>
      </c>
      <c r="F740" s="155" t="n">
        <v>365</v>
      </c>
      <c r="G740" s="257" t="n">
        <v>182</v>
      </c>
    </row>
    <row r="741" ht="14.25" customHeight="1" s="237">
      <c r="A741" s="120" t="n">
        <v>7153</v>
      </c>
      <c r="B741" s="120" t="inlineStr">
        <is>
          <t>MM7153</t>
        </is>
      </c>
      <c r="C741" s="124" t="inlineStr">
        <is>
          <t>미닛메이드 망고175C X30</t>
        </is>
      </c>
      <c r="D741" s="256" t="n">
        <v>183</v>
      </c>
      <c r="E741" s="256" t="n">
        <v>182.5</v>
      </c>
      <c r="F741" s="155" t="n">
        <v>365</v>
      </c>
      <c r="G741" s="257" t="n">
        <v>182</v>
      </c>
    </row>
    <row r="742" ht="14.25" customHeight="1" s="237">
      <c r="A742" s="120" t="n">
        <v>7154</v>
      </c>
      <c r="B742" s="120" t="inlineStr">
        <is>
          <t>MM7154</t>
        </is>
      </c>
      <c r="C742" s="124" t="inlineStr">
        <is>
          <t>미닛메이드알로에175C X30</t>
        </is>
      </c>
      <c r="D742" s="256" t="n">
        <v>183</v>
      </c>
      <c r="E742" s="256" t="n">
        <v>182.5</v>
      </c>
      <c r="F742" s="155" t="n">
        <v>365</v>
      </c>
      <c r="G742" s="257" t="n">
        <v>182</v>
      </c>
    </row>
    <row r="743" ht="14.25" customHeight="1" s="237">
      <c r="A743" s="120" t="n">
        <v>7178</v>
      </c>
      <c r="B743" s="120" t="inlineStr">
        <is>
          <t>MM7178</t>
        </is>
      </c>
      <c r="C743" s="124" t="inlineStr">
        <is>
          <t>미닛메이드토마토1.5P X12</t>
        </is>
      </c>
      <c r="D743" s="256" t="n">
        <v>183</v>
      </c>
      <c r="E743" s="256" t="n">
        <v>182.5</v>
      </c>
      <c r="F743" s="155" t="n">
        <v>365</v>
      </c>
      <c r="G743" s="257" t="n">
        <v>182</v>
      </c>
    </row>
    <row r="744" ht="14.25" customHeight="1" s="237">
      <c r="A744" s="120" t="n">
        <v>7751</v>
      </c>
      <c r="B744" s="120" t="inlineStr">
        <is>
          <t>MM7751</t>
        </is>
      </c>
      <c r="C744" s="124" t="inlineStr">
        <is>
          <t>M셀렉트오+포+감귤1.5P4X3</t>
        </is>
      </c>
      <c r="D744" s="256" t="n">
        <v>122</v>
      </c>
      <c r="E744" s="256" t="n">
        <v>136.5</v>
      </c>
      <c r="F744" s="155" t="n">
        <v>273</v>
      </c>
      <c r="G744" s="257" t="n">
        <v>151</v>
      </c>
    </row>
    <row r="745" ht="14.25" customHeight="1" s="237">
      <c r="A745" s="126" t="n">
        <v>7752</v>
      </c>
      <c r="B745" s="120" t="inlineStr">
        <is>
          <t>MM7752</t>
        </is>
      </c>
      <c r="C745" s="128" t="inlineStr">
        <is>
          <t>M아사이＋백포알로1.5P 6X2</t>
        </is>
      </c>
      <c r="D745" s="256" t="n">
        <v>137</v>
      </c>
      <c r="E745" s="256" t="n">
        <v>136.5</v>
      </c>
      <c r="F745" s="155" t="n">
        <v>273</v>
      </c>
      <c r="G745" s="257" t="n">
        <v>136</v>
      </c>
    </row>
    <row r="746" ht="14.25" customHeight="1" s="237">
      <c r="A746" s="126" t="n">
        <v>7753</v>
      </c>
      <c r="B746" s="120" t="inlineStr">
        <is>
          <t>MM7753</t>
        </is>
      </c>
      <c r="C746" s="128" t="inlineStr">
        <is>
          <t>L-M)M셀렉트오＋감귤1.5P 6X2</t>
        </is>
      </c>
      <c r="D746" s="256" t="n">
        <v>137</v>
      </c>
      <c r="E746" s="256" t="n">
        <v>136.5</v>
      </c>
      <c r="F746" s="155" t="n">
        <v>273</v>
      </c>
      <c r="G746" s="257" t="n">
        <v>136</v>
      </c>
    </row>
    <row r="747" ht="14.25" customHeight="1" s="237">
      <c r="A747" s="126" t="n">
        <v>7754</v>
      </c>
      <c r="B747" s="120" t="inlineStr">
        <is>
          <t>MM7754</t>
        </is>
      </c>
      <c r="C747" s="128" t="inlineStr">
        <is>
          <t>L-M)M셀렉트포＋감귤1.5P 6X2</t>
        </is>
      </c>
      <c r="D747" s="256" t="n">
        <v>137</v>
      </c>
      <c r="E747" s="256" t="n">
        <v>136.5</v>
      </c>
      <c r="F747" s="155" t="n">
        <v>273</v>
      </c>
      <c r="G747" s="257" t="n">
        <v>136</v>
      </c>
    </row>
    <row r="748" ht="14.25" customHeight="1" s="237">
      <c r="A748" s="120" t="n">
        <v>7801</v>
      </c>
      <c r="B748" s="120" t="inlineStr">
        <is>
          <t>MM7801</t>
        </is>
      </c>
      <c r="C748" s="124" t="inlineStr">
        <is>
          <t>M오50%+포40% 1.5 6X2</t>
        </is>
      </c>
      <c r="D748" s="256" t="n">
        <v>122</v>
      </c>
      <c r="E748" s="256" t="n">
        <v>136.5</v>
      </c>
      <c r="F748" s="155" t="n">
        <v>273</v>
      </c>
      <c r="G748" s="257" t="n">
        <v>151</v>
      </c>
    </row>
    <row r="749" ht="14.25" customHeight="1" s="237">
      <c r="A749" s="120" t="n">
        <v>7808</v>
      </c>
      <c r="B749" s="120" t="inlineStr">
        <is>
          <t>MM7808</t>
        </is>
      </c>
      <c r="C749" s="124" t="inlineStr">
        <is>
          <t>M오리지널오+포1.5P 6X2</t>
        </is>
      </c>
      <c r="D749" s="256" t="n">
        <v>122</v>
      </c>
      <c r="E749" s="256" t="n">
        <v>136.5</v>
      </c>
      <c r="F749" s="155" t="n">
        <v>273</v>
      </c>
      <c r="G749" s="257" t="n">
        <v>151</v>
      </c>
    </row>
    <row r="750" ht="14.25" customHeight="1" s="237">
      <c r="A750" s="120" t="n">
        <v>7811</v>
      </c>
      <c r="B750" s="120" t="inlineStr">
        <is>
          <t>MM7811</t>
        </is>
      </c>
      <c r="C750" s="124" t="inlineStr">
        <is>
          <t>M오리지널오+알로1.5P 6X2</t>
        </is>
      </c>
      <c r="D750" s="256" t="n">
        <v>122</v>
      </c>
      <c r="E750" s="256" t="n">
        <v>136.5</v>
      </c>
      <c r="F750" s="155" t="n">
        <v>273</v>
      </c>
      <c r="G750" s="257" t="n">
        <v>151</v>
      </c>
    </row>
    <row r="751" ht="14.25" customHeight="1" s="237">
      <c r="A751" s="120" t="n">
        <v>7812</v>
      </c>
      <c r="B751" s="120" t="inlineStr">
        <is>
          <t>MM7812</t>
        </is>
      </c>
      <c r="C751" s="124" t="inlineStr">
        <is>
          <t>M오리지널오+감귤1.5P 6X2</t>
        </is>
      </c>
      <c r="D751" s="256" t="n">
        <v>122</v>
      </c>
      <c r="E751" s="256" t="n">
        <v>136.5</v>
      </c>
      <c r="F751" s="155" t="n">
        <v>273</v>
      </c>
      <c r="G751" s="257" t="n">
        <v>151</v>
      </c>
    </row>
    <row r="752" ht="14.25" customHeight="1" s="237">
      <c r="A752" s="120" t="n">
        <v>7813</v>
      </c>
      <c r="B752" s="120" t="inlineStr">
        <is>
          <t>MM7813</t>
        </is>
      </c>
      <c r="C752" s="124" t="inlineStr">
        <is>
          <t>M오리지널포+감귤1.5P 6X2</t>
        </is>
      </c>
      <c r="D752" s="256" t="n">
        <v>122</v>
      </c>
      <c r="E752" s="256" t="n">
        <v>136.5</v>
      </c>
      <c r="F752" s="155" t="n">
        <v>273</v>
      </c>
      <c r="G752" s="257" t="n">
        <v>151</v>
      </c>
    </row>
    <row r="753" ht="14.25" customHeight="1" s="237">
      <c r="A753" s="120" t="n">
        <v>7814</v>
      </c>
      <c r="B753" s="120" t="inlineStr">
        <is>
          <t>MM7814</t>
        </is>
      </c>
      <c r="C753" s="124" t="inlineStr">
        <is>
          <t>MM감귤+알로에1.5P 6X2</t>
        </is>
      </c>
      <c r="D753" s="256" t="n">
        <v>122</v>
      </c>
      <c r="E753" s="256" t="n">
        <v>136.5</v>
      </c>
      <c r="F753" s="155" t="n">
        <v>273</v>
      </c>
      <c r="G753" s="257" t="n">
        <v>151</v>
      </c>
    </row>
    <row r="754" ht="14.25" customHeight="1" s="237">
      <c r="A754" s="126" t="n">
        <v>7820</v>
      </c>
      <c r="B754" s="120" t="inlineStr">
        <is>
          <t>MM7820</t>
        </is>
      </c>
      <c r="C754" s="128" t="inlineStr">
        <is>
          <t>M오리지널오＋포1.8P 6X2</t>
        </is>
      </c>
      <c r="D754" s="256" t="n">
        <v>122</v>
      </c>
      <c r="E754" s="256" t="n">
        <v>136.5</v>
      </c>
      <c r="F754" s="155" t="n">
        <v>273</v>
      </c>
      <c r="G754" s="257" t="n">
        <v>151</v>
      </c>
    </row>
    <row r="755" ht="14.25" customHeight="1" s="237">
      <c r="A755" s="120" t="n">
        <v>7839</v>
      </c>
      <c r="B755" s="120" t="inlineStr">
        <is>
          <t>MM7839</t>
        </is>
      </c>
      <c r="C755" s="124" t="inlineStr">
        <is>
          <t>MM셀렉트오칼+포칼1.5L 6X2</t>
        </is>
      </c>
      <c r="D755" s="256" t="n">
        <v>122</v>
      </c>
      <c r="E755" s="256" t="n">
        <v>136.5</v>
      </c>
      <c r="F755" s="155" t="n">
        <v>273</v>
      </c>
      <c r="G755" s="257" t="n">
        <v>151</v>
      </c>
    </row>
    <row r="756" ht="14.25" customHeight="1" s="237">
      <c r="A756" s="120" t="n">
        <v>7843</v>
      </c>
      <c r="B756" s="120" t="inlineStr">
        <is>
          <t>MM7843</t>
        </is>
      </c>
      <c r="C756" s="124" t="inlineStr">
        <is>
          <t>L-M)M오리오+감귤1.5P 6X2</t>
        </is>
      </c>
      <c r="D756" s="256" t="n">
        <v>122</v>
      </c>
      <c r="E756" s="256" t="n">
        <v>136.5</v>
      </c>
      <c r="F756" s="155" t="n">
        <v>273</v>
      </c>
      <c r="G756" s="257" t="n">
        <v>151</v>
      </c>
    </row>
    <row r="757" ht="14.25" customHeight="1" s="237">
      <c r="A757" s="120" t="n">
        <v>7844</v>
      </c>
      <c r="B757" s="120" t="inlineStr">
        <is>
          <t>MM7844</t>
        </is>
      </c>
      <c r="C757" s="124" t="inlineStr">
        <is>
          <t>L-M)M오리포+감귤1.5P 6X2</t>
        </is>
      </c>
      <c r="D757" s="256" t="n">
        <v>122</v>
      </c>
      <c r="E757" s="256" t="n">
        <v>136.5</v>
      </c>
      <c r="F757" s="155" t="n">
        <v>273</v>
      </c>
      <c r="G757" s="257" t="n">
        <v>151</v>
      </c>
    </row>
    <row r="758" ht="14.25" customHeight="1" s="237">
      <c r="A758" s="120" t="n">
        <v>7845</v>
      </c>
      <c r="B758" s="120" t="inlineStr">
        <is>
          <t>MM7845</t>
        </is>
      </c>
      <c r="C758" s="124" t="inlineStr">
        <is>
          <t>MM펀치오렌지+사과1.5P 6X2</t>
        </is>
      </c>
      <c r="D758" s="256" t="n">
        <v>122</v>
      </c>
      <c r="E758" s="256" t="n">
        <v>136.5</v>
      </c>
      <c r="F758" s="155" t="n">
        <v>273</v>
      </c>
      <c r="G758" s="257" t="n">
        <v>151</v>
      </c>
    </row>
    <row r="759" ht="14.25" customHeight="1" s="237">
      <c r="A759" s="120" t="n">
        <v>7849</v>
      </c>
      <c r="B759" s="120" t="inlineStr">
        <is>
          <t>MM7849</t>
        </is>
      </c>
      <c r="C759" s="124" t="inlineStr">
        <is>
          <t>M셀렉트오+포+5A 1.5P 4X3</t>
        </is>
      </c>
      <c r="D759" s="256" t="n">
        <v>122</v>
      </c>
      <c r="E759" s="256" t="n">
        <v>136.5</v>
      </c>
      <c r="F759" s="155" t="n">
        <v>273</v>
      </c>
      <c r="G759" s="257" t="n">
        <v>151</v>
      </c>
    </row>
    <row r="760" ht="14.25" customHeight="1" s="237">
      <c r="A760" s="120" t="n">
        <v>7869</v>
      </c>
      <c r="B760" s="120" t="inlineStr">
        <is>
          <t>MM7869</t>
        </is>
      </c>
      <c r="C760" s="124" t="inlineStr">
        <is>
          <t>MM포도+감귤+5A 1.5P 4X3</t>
        </is>
      </c>
      <c r="D760" s="256" t="n">
        <v>122</v>
      </c>
      <c r="E760" s="256" t="n">
        <v>136.5</v>
      </c>
      <c r="F760" s="155" t="n">
        <v>273</v>
      </c>
      <c r="G760" s="257" t="n">
        <v>151</v>
      </c>
    </row>
    <row r="761" ht="14.25" customHeight="1" s="237">
      <c r="A761" s="120" t="n">
        <v>7870</v>
      </c>
      <c r="B761" s="120" t="inlineStr">
        <is>
          <t>MM7870</t>
        </is>
      </c>
      <c r="C761" s="124" t="inlineStr">
        <is>
          <t>신MM오리오렌지180N 3X12</t>
        </is>
      </c>
      <c r="D761" s="256" t="n">
        <v>122</v>
      </c>
      <c r="E761" s="256" t="n">
        <v>136.5</v>
      </c>
      <c r="F761" s="155" t="n">
        <v>273</v>
      </c>
      <c r="G761" s="257" t="n">
        <v>151</v>
      </c>
    </row>
    <row r="762" ht="14.25" customHeight="1" s="237">
      <c r="A762" s="120" t="n">
        <v>7871</v>
      </c>
      <c r="B762" s="120" t="inlineStr">
        <is>
          <t>MM7871</t>
        </is>
      </c>
      <c r="C762" s="124" t="inlineStr">
        <is>
          <t>신MM오리 포도180N 3X12</t>
        </is>
      </c>
      <c r="D762" s="256" t="n">
        <v>183</v>
      </c>
      <c r="E762" s="256" t="n">
        <v>182.5</v>
      </c>
      <c r="F762" s="155" t="n">
        <v>365</v>
      </c>
      <c r="G762" s="257" t="n">
        <v>182</v>
      </c>
    </row>
    <row r="763" ht="14.25" customHeight="1" s="237">
      <c r="A763" s="120" t="n">
        <v>7872</v>
      </c>
      <c r="B763" s="120" t="inlineStr">
        <is>
          <t>MM7872</t>
        </is>
      </c>
      <c r="C763" s="124" t="inlineStr">
        <is>
          <t>신MM감귤 180N 3X12</t>
        </is>
      </c>
      <c r="D763" s="256" t="n">
        <v>122</v>
      </c>
      <c r="E763" s="256" t="n">
        <v>136.5</v>
      </c>
      <c r="F763" s="155" t="n">
        <v>273</v>
      </c>
      <c r="G763" s="257" t="n">
        <v>151</v>
      </c>
    </row>
    <row r="764" ht="14.25" customHeight="1" s="237">
      <c r="A764" s="120" t="n">
        <v>7873</v>
      </c>
      <c r="B764" s="120" t="inlineStr">
        <is>
          <t>MM7873</t>
        </is>
      </c>
      <c r="C764" s="124" t="inlineStr">
        <is>
          <t>신MM알로에180N 3X12</t>
        </is>
      </c>
      <c r="D764" s="256" t="n">
        <v>183</v>
      </c>
      <c r="E764" s="256" t="n">
        <v>182.5</v>
      </c>
      <c r="F764" s="155" t="n">
        <v>365</v>
      </c>
      <c r="G764" s="257" t="n">
        <v>182</v>
      </c>
    </row>
    <row r="765" ht="14.25" customHeight="1" s="237">
      <c r="A765" s="120" t="n">
        <v>7874</v>
      </c>
      <c r="B765" s="120" t="inlineStr">
        <is>
          <t>MM7874</t>
        </is>
      </c>
      <c r="C765" s="124" t="inlineStr">
        <is>
          <t>신MM토마토180N 3X12</t>
        </is>
      </c>
      <c r="D765" s="256" t="n">
        <v>183</v>
      </c>
      <c r="E765" s="256" t="n">
        <v>182.5</v>
      </c>
      <c r="F765" s="155" t="n">
        <v>365</v>
      </c>
      <c r="G765" s="257" t="n">
        <v>182</v>
      </c>
    </row>
    <row r="766" ht="14.25" customHeight="1" s="237">
      <c r="A766" s="120" t="n">
        <v>7875</v>
      </c>
      <c r="B766" s="120" t="inlineStr">
        <is>
          <t>MM7875</t>
        </is>
      </c>
      <c r="C766" s="124" t="inlineStr">
        <is>
          <t>신MM오리오포감180N 3X12</t>
        </is>
      </c>
      <c r="D766" s="256" t="n">
        <v>122</v>
      </c>
      <c r="E766" s="256" t="n">
        <v>136.5</v>
      </c>
      <c r="F766" s="155" t="n">
        <v>273</v>
      </c>
      <c r="G766" s="257" t="n">
        <v>151</v>
      </c>
    </row>
    <row r="767" ht="14.25" customHeight="1" s="237">
      <c r="A767" s="120" t="n">
        <v>7949</v>
      </c>
      <c r="B767" s="120" t="inlineStr">
        <is>
          <t>MM7949</t>
        </is>
      </c>
      <c r="C767" s="124" t="inlineStr">
        <is>
          <t>미닛 오+포+알 180NRB 3X12</t>
        </is>
      </c>
      <c r="D767" s="256" t="n">
        <v>122</v>
      </c>
      <c r="E767" s="256" t="n">
        <v>136.5</v>
      </c>
      <c r="F767" s="155" t="n">
        <v>273</v>
      </c>
      <c r="G767" s="257" t="n">
        <v>151</v>
      </c>
    </row>
    <row r="768" ht="14.25" customHeight="1" s="237">
      <c r="A768" s="120" t="n">
        <v>7877</v>
      </c>
      <c r="B768" s="120" t="inlineStr">
        <is>
          <t>MM7877</t>
        </is>
      </c>
      <c r="C768" s="124" t="inlineStr">
        <is>
          <t>신MM감알토180N 3X12</t>
        </is>
      </c>
      <c r="D768" s="256" t="n">
        <v>122</v>
      </c>
      <c r="E768" s="256" t="n">
        <v>136.5</v>
      </c>
      <c r="F768" s="155" t="n">
        <v>273</v>
      </c>
      <c r="G768" s="257" t="n">
        <v>151</v>
      </c>
    </row>
    <row r="769" ht="14.25" customHeight="1" s="237">
      <c r="A769" s="120" t="n">
        <v>7878</v>
      </c>
      <c r="B769" s="120" t="inlineStr">
        <is>
          <t>MM7878</t>
        </is>
      </c>
      <c r="C769" s="124" t="inlineStr">
        <is>
          <t>신MM감포매180N 3X12</t>
        </is>
      </c>
      <c r="D769" s="256" t="n">
        <v>122</v>
      </c>
      <c r="E769" s="256" t="n">
        <v>136.5</v>
      </c>
      <c r="F769" s="155" t="n">
        <v>273</v>
      </c>
      <c r="G769" s="257" t="n">
        <v>151</v>
      </c>
    </row>
    <row r="770" ht="14.25" customHeight="1" s="237">
      <c r="A770" s="126" t="n">
        <v>7888</v>
      </c>
      <c r="B770" s="127" t="inlineStr">
        <is>
          <t>MM7888</t>
        </is>
      </c>
      <c r="C770" s="128" t="inlineStr">
        <is>
          <t>미닛 감귤+포도+망고 180NRB 3X12</t>
        </is>
      </c>
      <c r="D770" s="256" t="n">
        <v>122</v>
      </c>
      <c r="E770" s="256" t="n">
        <v>136.5</v>
      </c>
      <c r="F770" s="155" t="n">
        <v>273</v>
      </c>
      <c r="G770" s="257" t="n">
        <v>151</v>
      </c>
    </row>
    <row r="771" ht="14.25" customHeight="1" s="237">
      <c r="A771" s="120" t="n">
        <v>7890</v>
      </c>
      <c r="B771" s="120" t="inlineStr">
        <is>
          <t>MM7890</t>
        </is>
      </c>
      <c r="C771" s="124" t="inlineStr">
        <is>
          <t>M오리지널오+망고1.5P 6X2</t>
        </is>
      </c>
      <c r="D771" s="256" t="n">
        <v>122</v>
      </c>
      <c r="E771" s="256" t="n">
        <v>136.5</v>
      </c>
      <c r="F771" s="155" t="n">
        <v>273</v>
      </c>
      <c r="G771" s="257" t="n">
        <v>151</v>
      </c>
    </row>
    <row r="772" ht="14.25" customHeight="1" s="237">
      <c r="A772" s="120" t="n">
        <v>7891</v>
      </c>
      <c r="B772" s="120" t="inlineStr">
        <is>
          <t>MM7891</t>
        </is>
      </c>
      <c r="C772" s="124" t="inlineStr">
        <is>
          <t>M오리지널포+망고1.5P 6X2</t>
        </is>
      </c>
      <c r="D772" s="256" t="n">
        <v>122</v>
      </c>
      <c r="E772" s="256" t="n">
        <v>136.5</v>
      </c>
      <c r="F772" s="155" t="n">
        <v>273</v>
      </c>
      <c r="G772" s="257" t="n">
        <v>151</v>
      </c>
    </row>
    <row r="773" ht="14.25" customHeight="1" s="237">
      <c r="A773" s="120" t="n">
        <v>7892</v>
      </c>
      <c r="B773" s="120" t="inlineStr">
        <is>
          <t>MM7892</t>
        </is>
      </c>
      <c r="C773" s="124" t="inlineStr">
        <is>
          <t>MM알로에+망고1.5P 6X2</t>
        </is>
      </c>
      <c r="D773" s="256" t="n">
        <v>122</v>
      </c>
      <c r="E773" s="256" t="n">
        <v>136.5</v>
      </c>
      <c r="F773" s="155" t="n">
        <v>273</v>
      </c>
      <c r="G773" s="257" t="n">
        <v>151</v>
      </c>
    </row>
    <row r="774" ht="14.25" customHeight="1" s="237">
      <c r="A774" s="120" t="n">
        <v>7895</v>
      </c>
      <c r="B774" s="120" t="inlineStr">
        <is>
          <t>MM7895</t>
        </is>
      </c>
      <c r="C774" s="124" t="inlineStr">
        <is>
          <t>MM세트 오포망1.5P 3X3</t>
        </is>
      </c>
      <c r="D774" s="256" t="n">
        <v>122</v>
      </c>
      <c r="E774" s="256" t="n">
        <v>136.5</v>
      </c>
      <c r="F774" s="155" t="n">
        <v>273</v>
      </c>
      <c r="G774" s="257" t="n">
        <v>151</v>
      </c>
    </row>
    <row r="775" ht="14.25" customHeight="1" s="237">
      <c r="A775" s="120" t="n">
        <v>7896</v>
      </c>
      <c r="B775" s="120" t="inlineStr">
        <is>
          <t>MM7896</t>
        </is>
      </c>
      <c r="C775" s="124" t="inlineStr">
        <is>
          <t>MM세트 오포알망1.5P 3X4</t>
        </is>
      </c>
      <c r="D775" s="256" t="n">
        <v>122</v>
      </c>
      <c r="E775" s="256" t="n">
        <v>136.5</v>
      </c>
      <c r="F775" s="155" t="n">
        <v>273</v>
      </c>
      <c r="G775" s="257" t="n">
        <v>151</v>
      </c>
    </row>
    <row r="776" ht="14.25" customHeight="1" s="237">
      <c r="A776" s="120" t="n">
        <v>7897</v>
      </c>
      <c r="B776" s="120" t="inlineStr">
        <is>
          <t>MM7897</t>
        </is>
      </c>
      <c r="C776" s="124" t="inlineStr">
        <is>
          <t>MM세트NRB 3X(1.0X2+180X4)</t>
        </is>
      </c>
      <c r="D776" s="256" t="n">
        <v>122</v>
      </c>
      <c r="E776" s="256" t="n">
        <v>136.5</v>
      </c>
      <c r="F776" s="155" t="n">
        <v>273</v>
      </c>
      <c r="G776" s="257" t="n">
        <v>151</v>
      </c>
    </row>
    <row r="777" ht="14.25" customHeight="1" s="237">
      <c r="A777" s="120" t="n">
        <v>7898</v>
      </c>
      <c r="B777" s="120" t="inlineStr">
        <is>
          <t>MM7898</t>
        </is>
      </c>
      <c r="C777" s="124" t="inlineStr">
        <is>
          <t>MM오리지널오알망180N 3X12</t>
        </is>
      </c>
      <c r="D777" s="256" t="n">
        <v>122</v>
      </c>
      <c r="E777" s="256" t="n">
        <v>136.5</v>
      </c>
      <c r="F777" s="155" t="n">
        <v>273</v>
      </c>
      <c r="G777" s="257" t="n">
        <v>151</v>
      </c>
    </row>
    <row r="778" ht="14.25" customHeight="1" s="237">
      <c r="A778" s="120" t="n">
        <v>7899</v>
      </c>
      <c r="B778" s="120" t="inlineStr">
        <is>
          <t>MM7899</t>
        </is>
      </c>
      <c r="C778" s="124" t="inlineStr">
        <is>
          <t>M오리오+아사+크렌1.0N 3X3</t>
        </is>
      </c>
      <c r="D778" s="256" t="n">
        <v>122</v>
      </c>
      <c r="E778" s="256" t="n">
        <v>136.5</v>
      </c>
      <c r="F778" s="155" t="n">
        <v>273</v>
      </c>
      <c r="G778" s="257" t="n">
        <v>151</v>
      </c>
    </row>
    <row r="779" ht="14.25" customHeight="1" s="237">
      <c r="A779" s="120" t="n">
        <v>7900</v>
      </c>
      <c r="B779" s="120" t="inlineStr">
        <is>
          <t>MM7900</t>
        </is>
      </c>
      <c r="C779" s="124" t="inlineStr">
        <is>
          <t>M OR(C)2+GR(C)+AL 1.5PX4</t>
        </is>
      </c>
      <c r="D779" s="256" t="n">
        <v>122</v>
      </c>
      <c r="E779" s="256" t="n">
        <v>136.5</v>
      </c>
      <c r="F779" s="155" t="n">
        <v>273</v>
      </c>
      <c r="G779" s="257" t="n">
        <v>151</v>
      </c>
    </row>
    <row r="780" ht="14.25" customHeight="1" s="237">
      <c r="A780" s="120" t="n">
        <v>7901</v>
      </c>
      <c r="B780" s="120" t="inlineStr">
        <is>
          <t>MM7901</t>
        </is>
      </c>
      <c r="C780" s="124" t="inlineStr">
        <is>
          <t>신MM프리OR100 180N X24</t>
        </is>
      </c>
      <c r="D780" s="256" t="n">
        <v>122</v>
      </c>
      <c r="E780" s="256" t="n">
        <v>136.5</v>
      </c>
      <c r="F780" s="155" t="n">
        <v>273</v>
      </c>
      <c r="G780" s="257" t="n">
        <v>151</v>
      </c>
    </row>
    <row r="781" ht="14.25" customHeight="1" s="237">
      <c r="A781" s="120" t="n">
        <v>7902</v>
      </c>
      <c r="B781" s="120" t="inlineStr">
        <is>
          <t>MM7902</t>
        </is>
      </c>
      <c r="C781" s="124" t="inlineStr">
        <is>
          <t>신MM프리GR100 180N X24</t>
        </is>
      </c>
      <c r="D781" s="256" t="n">
        <v>183</v>
      </c>
      <c r="E781" s="256" t="n">
        <v>182.5</v>
      </c>
      <c r="F781" s="155" t="n">
        <v>365</v>
      </c>
      <c r="G781" s="257" t="n">
        <v>182</v>
      </c>
    </row>
    <row r="782" ht="14.25" customHeight="1" s="237">
      <c r="A782" s="120" t="n">
        <v>7903</v>
      </c>
      <c r="B782" s="120" t="inlineStr">
        <is>
          <t>MM7903</t>
        </is>
      </c>
      <c r="C782" s="124" t="inlineStr">
        <is>
          <t>신MM프리감귤180N X24</t>
        </is>
      </c>
      <c r="D782" s="256" t="n">
        <v>122</v>
      </c>
      <c r="E782" s="256" t="n">
        <v>136.5</v>
      </c>
      <c r="F782" s="155" t="n">
        <v>273</v>
      </c>
      <c r="G782" s="257" t="n">
        <v>151</v>
      </c>
    </row>
    <row r="783" ht="14.25" customHeight="1" s="237">
      <c r="A783" s="120" t="n">
        <v>7904</v>
      </c>
      <c r="B783" s="120" t="inlineStr">
        <is>
          <t>MM7904</t>
        </is>
      </c>
      <c r="C783" s="124" t="inlineStr">
        <is>
          <t>신MM프리알로에180N X24</t>
        </is>
      </c>
      <c r="D783" s="256" t="n">
        <v>183</v>
      </c>
      <c r="E783" s="256" t="n">
        <v>182.5</v>
      </c>
      <c r="F783" s="155" t="n">
        <v>365</v>
      </c>
      <c r="G783" s="257" t="n">
        <v>182</v>
      </c>
    </row>
    <row r="784" ht="14.25" customHeight="1" s="237">
      <c r="A784" s="120" t="n">
        <v>7905</v>
      </c>
      <c r="B784" s="120" t="inlineStr">
        <is>
          <t>MM7905</t>
        </is>
      </c>
      <c r="C784" s="124" t="inlineStr">
        <is>
          <t>신MM프리토마토180N X24</t>
        </is>
      </c>
      <c r="D784" s="256" t="n">
        <v>183</v>
      </c>
      <c r="E784" s="256" t="n">
        <v>182.5</v>
      </c>
      <c r="F784" s="155" t="n">
        <v>365</v>
      </c>
      <c r="G784" s="257" t="n">
        <v>182</v>
      </c>
    </row>
    <row r="785" ht="14.25" customHeight="1" s="237">
      <c r="A785" s="120" t="n">
        <v>7906</v>
      </c>
      <c r="B785" s="120" t="inlineStr">
        <is>
          <t>MM7906</t>
        </is>
      </c>
      <c r="C785" s="124" t="inlineStr">
        <is>
          <t>신MM프리 매실180N X24</t>
        </is>
      </c>
      <c r="D785" s="256" t="n">
        <v>183</v>
      </c>
      <c r="E785" s="256" t="n">
        <v>182.5</v>
      </c>
      <c r="F785" s="155" t="n">
        <v>365</v>
      </c>
      <c r="G785" s="257" t="n">
        <v>182</v>
      </c>
    </row>
    <row r="786" ht="14.25" customHeight="1" s="237">
      <c r="A786" s="120" t="n">
        <v>7907</v>
      </c>
      <c r="B786" s="120" t="inlineStr">
        <is>
          <t>MM7907</t>
        </is>
      </c>
      <c r="C786" s="124" t="inlineStr">
        <is>
          <t>M리치블랜드아사이180N X24</t>
        </is>
      </c>
      <c r="D786" s="256" t="n">
        <v>183</v>
      </c>
      <c r="E786" s="256" t="n">
        <v>182.5</v>
      </c>
      <c r="F786" s="155" t="n">
        <v>365</v>
      </c>
      <c r="G786" s="257" t="n">
        <v>182</v>
      </c>
    </row>
    <row r="787" ht="14.25" customHeight="1" s="237">
      <c r="A787" s="120" t="n">
        <v>7908</v>
      </c>
      <c r="B787" s="120" t="inlineStr">
        <is>
          <t>MM7908</t>
        </is>
      </c>
      <c r="C787" s="124" t="inlineStr">
        <is>
          <t>M리치블랜드크렌베180N X24</t>
        </is>
      </c>
      <c r="D787" s="256" t="n">
        <v>183</v>
      </c>
      <c r="E787" s="256" t="n">
        <v>182.5</v>
      </c>
      <c r="F787" s="155" t="n">
        <v>365</v>
      </c>
      <c r="G787" s="257" t="n">
        <v>182</v>
      </c>
    </row>
    <row r="788" ht="14.25" customHeight="1" s="237">
      <c r="A788" s="120" t="n">
        <v>7909</v>
      </c>
      <c r="B788" s="120" t="inlineStr">
        <is>
          <t>MM7909</t>
        </is>
      </c>
      <c r="C788" s="124" t="inlineStr">
        <is>
          <t>MM프리미엄 망고180N X24</t>
        </is>
      </c>
      <c r="D788" s="256" t="n">
        <v>122</v>
      </c>
      <c r="E788" s="256" t="n">
        <v>136.5</v>
      </c>
      <c r="F788" s="155" t="n">
        <v>273</v>
      </c>
      <c r="G788" s="257" t="n">
        <v>151</v>
      </c>
    </row>
    <row r="789" ht="14.25" customHeight="1" s="237">
      <c r="A789" s="120" t="n">
        <v>7911</v>
      </c>
      <c r="B789" s="120" t="inlineStr">
        <is>
          <t>MM7911</t>
        </is>
      </c>
      <c r="C789" s="124" t="inlineStr">
        <is>
          <t>M리치블랜드아사이180N 3X12</t>
        </is>
      </c>
      <c r="D789" s="256" t="n">
        <v>183</v>
      </c>
      <c r="E789" s="256" t="n">
        <v>182.5</v>
      </c>
      <c r="F789" s="155" t="n">
        <v>365</v>
      </c>
      <c r="G789" s="257" t="n">
        <v>182</v>
      </c>
    </row>
    <row r="790" ht="14.25" customHeight="1" s="237">
      <c r="A790" s="120" t="n">
        <v>7913</v>
      </c>
      <c r="B790" s="120" t="inlineStr">
        <is>
          <t>MM7913</t>
        </is>
      </c>
      <c r="C790" s="124" t="inlineStr">
        <is>
          <t>M리치블랜아사+크180N 3X12</t>
        </is>
      </c>
      <c r="D790" s="256" t="n">
        <v>183</v>
      </c>
      <c r="E790" s="256" t="n">
        <v>182.5</v>
      </c>
      <c r="F790" s="155" t="n">
        <v>365</v>
      </c>
      <c r="G790" s="257" t="n">
        <v>182</v>
      </c>
    </row>
    <row r="791" ht="14.25" customHeight="1" s="237">
      <c r="A791" s="120" t="n">
        <v>7914</v>
      </c>
      <c r="B791" s="120" t="inlineStr">
        <is>
          <t>MM7914</t>
        </is>
      </c>
      <c r="C791" s="124" t="inlineStr">
        <is>
          <t>MM망고 180N 3X12</t>
        </is>
      </c>
      <c r="D791" s="256" t="n">
        <v>122</v>
      </c>
      <c r="E791" s="256" t="n">
        <v>136.5</v>
      </c>
      <c r="F791" s="155" t="n">
        <v>273</v>
      </c>
      <c r="G791" s="257" t="n">
        <v>151</v>
      </c>
    </row>
    <row r="792" ht="14.25" customHeight="1" s="237">
      <c r="A792" s="126" t="n">
        <v>7915</v>
      </c>
      <c r="B792" s="120" t="inlineStr">
        <is>
          <t>MM7915</t>
        </is>
      </c>
      <c r="C792" s="128" t="inlineStr">
        <is>
          <t>M아사＋백포도알로180N 3X12</t>
        </is>
      </c>
      <c r="D792" s="256" t="n">
        <v>137</v>
      </c>
      <c r="E792" s="256" t="n">
        <v>136.5</v>
      </c>
      <c r="F792" s="155" t="n">
        <v>273</v>
      </c>
      <c r="G792" s="257" t="n">
        <v>136</v>
      </c>
    </row>
    <row r="793" ht="14.25" customHeight="1" s="237">
      <c r="A793" s="126" t="n">
        <v>7916</v>
      </c>
      <c r="B793" s="127" t="inlineStr">
        <is>
          <t>MM7916</t>
        </is>
      </c>
      <c r="C793" s="128" t="inlineStr">
        <is>
          <t>미닛 오포알감매토 180NRB 3X16</t>
        </is>
      </c>
      <c r="D793" s="256" t="n">
        <v>137</v>
      </c>
      <c r="E793" s="256" t="n">
        <v>136.5</v>
      </c>
      <c r="F793" s="155" t="n">
        <v>273</v>
      </c>
      <c r="G793" s="257" t="n">
        <v>136</v>
      </c>
    </row>
    <row r="794" ht="14.25" customHeight="1" s="237">
      <c r="A794" s="126" t="n">
        <v>7917</v>
      </c>
      <c r="B794" s="127" t="inlineStr">
        <is>
          <t>MM7917</t>
        </is>
      </c>
      <c r="C794" s="128" t="inlineStr">
        <is>
          <t>미닛 감귤+망고+토마 180NRB 4X9</t>
        </is>
      </c>
      <c r="D794" s="256" t="n">
        <v>137</v>
      </c>
      <c r="E794" s="256" t="n">
        <v>136.5</v>
      </c>
      <c r="F794" s="155" t="n">
        <v>273</v>
      </c>
      <c r="G794" s="257" t="n">
        <v>136</v>
      </c>
    </row>
    <row r="795" ht="14.25" customHeight="1" s="237">
      <c r="A795" s="126" t="n">
        <v>7920</v>
      </c>
      <c r="B795" s="127" t="inlineStr">
        <is>
          <t>MM7920</t>
        </is>
      </c>
      <c r="C795" s="128" t="inlineStr">
        <is>
          <t>MMＧ마켓선물세트1.5P 3X4(AA)</t>
        </is>
      </c>
      <c r="D795" s="256" t="n">
        <v>122</v>
      </c>
      <c r="E795" s="256" t="n">
        <v>136.5</v>
      </c>
      <c r="F795" s="155" t="n">
        <v>273</v>
      </c>
      <c r="G795" s="257" t="n">
        <v>151</v>
      </c>
    </row>
    <row r="796" ht="14.25" customHeight="1" s="237">
      <c r="A796" s="126" t="n">
        <v>7921</v>
      </c>
      <c r="B796" s="120" t="inlineStr">
        <is>
          <t>MM7921</t>
        </is>
      </c>
      <c r="C796" s="128" t="inlineStr">
        <is>
          <t>M제주감귤＋마테1.5P 6X2</t>
        </is>
      </c>
      <c r="D796" s="256" t="n">
        <v>122</v>
      </c>
      <c r="E796" s="256" t="n">
        <v>136.5</v>
      </c>
      <c r="F796" s="155" t="n">
        <v>273</v>
      </c>
      <c r="G796" s="257" t="n">
        <v>151</v>
      </c>
    </row>
    <row r="797" ht="14.25" customHeight="1" s="237">
      <c r="A797" s="126" t="n">
        <v>7922</v>
      </c>
      <c r="B797" s="127" t="inlineStr">
        <is>
          <t>MM7922</t>
        </is>
      </c>
      <c r="C797" s="128" t="inlineStr">
        <is>
          <t>미닛 오50+포40+감+토 1.5PET 3X4</t>
        </is>
      </c>
      <c r="D797" s="256" t="n">
        <v>183</v>
      </c>
      <c r="E797" s="256" t="n">
        <v>182.5</v>
      </c>
      <c r="F797" s="155" t="n">
        <v>365</v>
      </c>
      <c r="G797" s="257" t="n">
        <v>182</v>
      </c>
    </row>
    <row r="798" ht="14.25" customHeight="1" s="237">
      <c r="A798" s="126" t="n">
        <v>7925</v>
      </c>
      <c r="B798" s="127" t="inlineStr">
        <is>
          <t>MM7925</t>
        </is>
      </c>
      <c r="C798" s="128" t="inlineStr">
        <is>
          <t>미닛 오50%+포40%+감+감 1.5PET 3X4</t>
        </is>
      </c>
      <c r="D798" s="256" t="n">
        <v>183</v>
      </c>
      <c r="E798" s="256" t="n">
        <v>182.5</v>
      </c>
      <c r="F798" s="155" t="n">
        <v>365</v>
      </c>
      <c r="G798" s="257" t="n">
        <v>182</v>
      </c>
    </row>
    <row r="799" ht="14.25" customHeight="1" s="237">
      <c r="A799" s="126" t="n">
        <v>7926</v>
      </c>
      <c r="B799" s="127" t="inlineStr">
        <is>
          <t>MM7926</t>
        </is>
      </c>
      <c r="C799" s="128" t="inlineStr">
        <is>
          <t>미닛 오50%+포40%+감+알 1.5PET 3X4</t>
        </is>
      </c>
      <c r="D799" s="256" t="n">
        <v>183</v>
      </c>
      <c r="E799" s="256" t="n">
        <v>182.5</v>
      </c>
      <c r="F799" s="155" t="n">
        <v>365</v>
      </c>
      <c r="G799" s="257" t="n">
        <v>182</v>
      </c>
    </row>
    <row r="800" ht="14.25" customHeight="1" s="237">
      <c r="A800" s="126" t="n">
        <v>7927</v>
      </c>
      <c r="B800" s="127" t="inlineStr">
        <is>
          <t>MM7927</t>
        </is>
      </c>
      <c r="C800" s="128" t="inlineStr">
        <is>
          <t>미닛 홈스타일 오+사+청 1.2PET</t>
        </is>
      </c>
      <c r="D800" s="256" t="n">
        <v>183</v>
      </c>
      <c r="E800" s="256" t="n">
        <v>182.5</v>
      </c>
      <c r="F800" s="155" t="n">
        <v>365</v>
      </c>
      <c r="G800" s="257" t="n">
        <v>182</v>
      </c>
    </row>
    <row r="801" ht="14.25" customHeight="1" s="237">
      <c r="A801" s="126" t="n">
        <v>7941</v>
      </c>
      <c r="B801" s="127" t="inlineStr">
        <is>
          <t>MM7941</t>
        </is>
      </c>
      <c r="C801" s="128" t="inlineStr">
        <is>
          <t>미닛 오렌지 180NRB 3X12</t>
        </is>
      </c>
      <c r="D801" s="256" t="n">
        <v>122</v>
      </c>
      <c r="E801" s="256" t="n">
        <v>136.5</v>
      </c>
      <c r="F801" s="155" t="n">
        <v>273</v>
      </c>
      <c r="G801" s="257" t="n">
        <v>151</v>
      </c>
    </row>
    <row r="802" ht="14.25" customHeight="1" s="237">
      <c r="A802" s="126" t="n">
        <v>7942</v>
      </c>
      <c r="B802" s="127" t="inlineStr">
        <is>
          <t>MM7942</t>
        </is>
      </c>
      <c r="C802" s="128" t="inlineStr">
        <is>
          <t>미닛 포도 180NRB 3X12</t>
        </is>
      </c>
      <c r="D802" s="258" t="n">
        <v>183</v>
      </c>
      <c r="E802" s="258" t="n">
        <v>182.5</v>
      </c>
      <c r="F802" s="155" t="n">
        <v>365</v>
      </c>
      <c r="G802" s="259" t="n">
        <v>182</v>
      </c>
    </row>
    <row r="803" ht="14.25" customHeight="1" s="237">
      <c r="A803" s="126" t="n">
        <v>7943</v>
      </c>
      <c r="B803" s="127" t="inlineStr">
        <is>
          <t>MM7943</t>
        </is>
      </c>
      <c r="C803" s="128" t="inlineStr">
        <is>
          <t>미닛 오렌지+포도 180NRB 3X12</t>
        </is>
      </c>
      <c r="D803" s="256" t="n">
        <v>122</v>
      </c>
      <c r="E803" s="256" t="n">
        <v>136.5</v>
      </c>
      <c r="F803" s="155" t="n">
        <v>273</v>
      </c>
      <c r="G803" s="257" t="n">
        <v>151</v>
      </c>
    </row>
    <row r="804" ht="14.25" customHeight="1" s="237">
      <c r="A804" s="126" t="n">
        <v>7944</v>
      </c>
      <c r="B804" s="127" t="inlineStr">
        <is>
          <t>MM7944</t>
        </is>
      </c>
      <c r="C804" s="128" t="inlineStr">
        <is>
          <t>미닛 감귤+알로에 180NRB 3X12</t>
        </is>
      </c>
      <c r="D804" s="256" t="n">
        <v>122</v>
      </c>
      <c r="E804" s="256" t="n">
        <v>136.5</v>
      </c>
      <c r="F804" s="155" t="n">
        <v>273</v>
      </c>
      <c r="G804" s="257" t="n">
        <v>151</v>
      </c>
    </row>
    <row r="805" ht="14.25" customHeight="1" s="237">
      <c r="A805" s="171" t="n">
        <v>7945</v>
      </c>
      <c r="B805" s="172" t="inlineStr">
        <is>
          <t>MM7945</t>
        </is>
      </c>
      <c r="C805" s="137" t="inlineStr">
        <is>
          <t>미닛 포도+감귤 180NRB 3X12</t>
        </is>
      </c>
      <c r="D805" s="264" t="n">
        <v>122</v>
      </c>
      <c r="E805" s="264" t="n">
        <v>136.5</v>
      </c>
      <c r="F805" s="155" t="n">
        <v>273</v>
      </c>
      <c r="G805" s="265" t="n">
        <v>151</v>
      </c>
    </row>
    <row r="806" ht="14.25" customHeight="1" s="237">
      <c r="A806" s="171" t="n">
        <v>7946</v>
      </c>
      <c r="B806" s="172" t="inlineStr">
        <is>
          <t>MM7946</t>
        </is>
      </c>
      <c r="C806" s="137" t="inlineStr">
        <is>
          <t>미닛 오+자+청 180NRB 3X12</t>
        </is>
      </c>
      <c r="D806" s="264" t="n">
        <v>122</v>
      </c>
      <c r="E806" s="264" t="n">
        <v>136.5</v>
      </c>
      <c r="F806" s="155" t="n">
        <v>273</v>
      </c>
      <c r="G806" s="265" t="n">
        <v>151</v>
      </c>
    </row>
    <row r="807" ht="14.25" customHeight="1" s="237">
      <c r="A807" s="171" t="n">
        <v>7947</v>
      </c>
      <c r="B807" s="172" t="inlineStr">
        <is>
          <t>MM7947</t>
        </is>
      </c>
      <c r="C807" s="137" t="inlineStr">
        <is>
          <t>미닛 오+청 180NRB 3X12</t>
        </is>
      </c>
      <c r="D807" s="264" t="n">
        <v>122</v>
      </c>
      <c r="E807" s="264" t="n">
        <v>136.5</v>
      </c>
      <c r="F807" s="155" t="n">
        <v>273</v>
      </c>
      <c r="G807" s="265" t="n">
        <v>151</v>
      </c>
    </row>
    <row r="808" ht="14.25" customHeight="1" s="237">
      <c r="A808" s="120" t="n">
        <v>8420</v>
      </c>
      <c r="B808" s="120" t="inlineStr">
        <is>
          <t>MM8420</t>
        </is>
      </c>
      <c r="C808" s="124" t="inlineStr">
        <is>
          <t>미닛메이드알로에1.5P X4</t>
        </is>
      </c>
      <c r="D808" s="256" t="n">
        <v>183</v>
      </c>
      <c r="E808" s="256" t="n">
        <v>182.5</v>
      </c>
      <c r="F808" s="155" t="n">
        <v>365</v>
      </c>
      <c r="G808" s="257" t="n">
        <v>182</v>
      </c>
    </row>
    <row r="809" ht="14.25" customHeight="1" s="237">
      <c r="A809" s="120" t="n">
        <v>8421</v>
      </c>
      <c r="B809" s="120" t="inlineStr">
        <is>
          <t>MM8421</t>
        </is>
      </c>
      <c r="C809" s="124" t="inlineStr">
        <is>
          <t>미닛메이드토마토1.5P X4</t>
        </is>
      </c>
      <c r="D809" s="256" t="n">
        <v>183</v>
      </c>
      <c r="E809" s="256" t="n">
        <v>182.5</v>
      </c>
      <c r="F809" s="155" t="n">
        <v>365</v>
      </c>
      <c r="G809" s="257" t="n">
        <v>182</v>
      </c>
    </row>
    <row r="810" ht="14.25" customHeight="1" s="237">
      <c r="A810" s="120" t="n">
        <v>8422</v>
      </c>
      <c r="B810" s="120" t="inlineStr">
        <is>
          <t>MM8422</t>
        </is>
      </c>
      <c r="C810" s="124" t="inlineStr">
        <is>
          <t>미닛 알로에 350P X24</t>
        </is>
      </c>
      <c r="D810" s="256" t="n">
        <v>183</v>
      </c>
      <c r="E810" s="256" t="n">
        <v>182.5</v>
      </c>
      <c r="F810" s="155" t="n">
        <v>365</v>
      </c>
      <c r="G810" s="257" t="n">
        <v>182</v>
      </c>
    </row>
    <row r="811" ht="14.25" customHeight="1" s="237">
      <c r="A811" s="120" t="n">
        <v>8424</v>
      </c>
      <c r="B811" s="120" t="inlineStr">
        <is>
          <t>MM8424</t>
        </is>
      </c>
      <c r="C811" s="124" t="inlineStr">
        <is>
          <t>미닛 알로에 1.5P X12</t>
        </is>
      </c>
      <c r="D811" s="256" t="n">
        <v>183</v>
      </c>
      <c r="E811" s="256" t="n">
        <v>182.5</v>
      </c>
      <c r="F811" s="155" t="n">
        <v>365</v>
      </c>
      <c r="G811" s="257" t="n">
        <v>182</v>
      </c>
    </row>
    <row r="812" ht="14.25" customHeight="1" s="237">
      <c r="A812" s="120" t="n">
        <v>8427</v>
      </c>
      <c r="B812" s="120" t="inlineStr">
        <is>
          <t>MM8427</t>
        </is>
      </c>
      <c r="C812" s="124" t="inlineStr">
        <is>
          <t>미닛 매실 175C X30</t>
        </is>
      </c>
      <c r="D812" s="256" t="n">
        <v>183</v>
      </c>
      <c r="E812" s="256" t="n">
        <v>182.5</v>
      </c>
      <c r="F812" s="155" t="n">
        <v>365</v>
      </c>
      <c r="G812" s="257" t="n">
        <v>182</v>
      </c>
    </row>
    <row r="813" ht="14.25" customHeight="1" s="237">
      <c r="A813" s="126" t="n">
        <v>5628</v>
      </c>
      <c r="B813" s="127" t="inlineStr">
        <is>
          <t>MO5628</t>
        </is>
      </c>
      <c r="C813" s="128" t="inlineStr">
        <is>
          <t>몬스터 에너지 제로슈거 355CAN 4X6</t>
        </is>
      </c>
      <c r="D813" s="256" t="n">
        <v>365</v>
      </c>
      <c r="E813" s="256" t="n">
        <v>365</v>
      </c>
      <c r="F813" s="155" t="n">
        <v>730</v>
      </c>
      <c r="G813" s="257" t="n">
        <v>365</v>
      </c>
    </row>
    <row r="814" ht="14.25" customHeight="1" s="237">
      <c r="A814" s="126" t="n">
        <v>5676</v>
      </c>
      <c r="B814" s="127" t="inlineStr">
        <is>
          <t>MO5676</t>
        </is>
      </c>
      <c r="C814" s="128" t="inlineStr">
        <is>
          <t>S)몬스터 스트로베리 드림즈 355CAN 4X6</t>
        </is>
      </c>
      <c r="D814" s="256" t="n">
        <v>365</v>
      </c>
      <c r="E814" s="256" t="n">
        <v>365</v>
      </c>
      <c r="F814" s="155" t="n">
        <v>730</v>
      </c>
      <c r="G814" s="257" t="n">
        <v>365</v>
      </c>
    </row>
    <row r="815" ht="14.25" customHeight="1" s="237">
      <c r="A815" s="126" t="n">
        <v>5636</v>
      </c>
      <c r="B815" s="127" t="inlineStr">
        <is>
          <t>MO5636</t>
        </is>
      </c>
      <c r="C815" s="128" t="inlineStr">
        <is>
          <t>몬스터 에너지 펀치 355CAN 4X6</t>
        </is>
      </c>
      <c r="D815" s="256" t="n">
        <v>365</v>
      </c>
      <c r="E815" s="256" t="n">
        <v>365</v>
      </c>
      <c r="F815" s="155" t="n">
        <v>730</v>
      </c>
      <c r="G815" s="257" t="n">
        <v>365</v>
      </c>
    </row>
    <row r="816" ht="14.25" customHeight="1" s="237">
      <c r="A816" s="126" t="n">
        <v>5637</v>
      </c>
      <c r="B816" s="127" t="inlineStr">
        <is>
          <t>MO5637</t>
        </is>
      </c>
      <c r="C816" s="128" t="inlineStr">
        <is>
          <t>몬스터 에너지 그린 250CAN X30</t>
        </is>
      </c>
      <c r="D816" s="256" t="n">
        <v>365</v>
      </c>
      <c r="E816" s="256" t="n">
        <v>365</v>
      </c>
      <c r="F816" s="155" t="n">
        <v>730</v>
      </c>
      <c r="G816" s="257" t="n">
        <v>365</v>
      </c>
    </row>
    <row r="817" ht="14.25" customHeight="1" s="237">
      <c r="A817" s="126" t="n">
        <v>5638</v>
      </c>
      <c r="B817" s="127" t="inlineStr">
        <is>
          <t>MO5638</t>
        </is>
      </c>
      <c r="C817" s="128" t="inlineStr">
        <is>
          <t>몬스터 에너지 시트라 355CAN X24</t>
        </is>
      </c>
      <c r="D817" s="256" t="n">
        <v>365</v>
      </c>
      <c r="E817" s="256" t="n">
        <v>365</v>
      </c>
      <c r="F817" s="155" t="n">
        <v>730</v>
      </c>
      <c r="G817" s="257" t="n">
        <v>365</v>
      </c>
    </row>
    <row r="818" ht="14.25" customHeight="1" s="237">
      <c r="A818" s="126" t="n">
        <v>5639</v>
      </c>
      <c r="B818" s="127" t="inlineStr">
        <is>
          <t>MO5639</t>
        </is>
      </c>
      <c r="C818" s="128" t="inlineStr">
        <is>
          <t>몬스터 에너지 시트라 355CAN 4X6</t>
        </is>
      </c>
      <c r="D818" s="256" t="n">
        <v>365</v>
      </c>
      <c r="E818" s="256" t="n">
        <v>365</v>
      </c>
      <c r="F818" s="155" t="n">
        <v>730</v>
      </c>
      <c r="G818" s="257" t="n">
        <v>365</v>
      </c>
    </row>
    <row r="819" ht="14.25" customHeight="1" s="237">
      <c r="A819" s="126" t="n">
        <v>56400</v>
      </c>
      <c r="B819" s="127" t="inlineStr">
        <is>
          <t>MO5640</t>
        </is>
      </c>
      <c r="C819" s="128" t="inlineStr">
        <is>
          <t>몬스터에너지그린355C X24</t>
        </is>
      </c>
      <c r="D819" s="256" t="n">
        <v>365</v>
      </c>
      <c r="E819" s="256" t="n">
        <v>365</v>
      </c>
      <c r="F819" s="155" t="n">
        <v>730</v>
      </c>
      <c r="G819" s="257" t="n">
        <v>365</v>
      </c>
    </row>
    <row r="820" ht="14.25" customHeight="1" s="237">
      <c r="A820" s="126" t="n">
        <v>5641</v>
      </c>
      <c r="B820" s="127" t="inlineStr">
        <is>
          <t>MO5641</t>
        </is>
      </c>
      <c r="C820" s="128" t="inlineStr">
        <is>
          <t>몬스터에너지그린355C 4X6</t>
        </is>
      </c>
      <c r="D820" s="256" t="n">
        <v>365</v>
      </c>
      <c r="E820" s="256" t="n">
        <v>365</v>
      </c>
      <c r="F820" s="155" t="n">
        <v>730</v>
      </c>
      <c r="G820" s="257" t="n">
        <v>365</v>
      </c>
    </row>
    <row r="821" ht="14.25" customHeight="1" s="237">
      <c r="A821" s="126" t="n">
        <v>5679</v>
      </c>
      <c r="B821" s="127" t="inlineStr">
        <is>
          <t>MO5679</t>
        </is>
      </c>
      <c r="C821" s="128" t="inlineStr">
        <is>
          <t>S)몬스터 에너지 파피용 355CAN 4X6</t>
        </is>
      </c>
      <c r="D821" s="256" t="n">
        <v>365</v>
      </c>
      <c r="E821" s="256" t="n">
        <v>365</v>
      </c>
      <c r="F821" s="155" t="n">
        <v>730</v>
      </c>
      <c r="G821" s="257" t="n">
        <v>365</v>
      </c>
    </row>
    <row r="822" ht="14.25" customHeight="1" s="237">
      <c r="A822" s="126" t="n">
        <v>5642</v>
      </c>
      <c r="B822" s="127" t="inlineStr">
        <is>
          <t>MO5642</t>
        </is>
      </c>
      <c r="C822" s="128" t="inlineStr">
        <is>
          <t>몬스터 에너지 울트라 355CAN X24</t>
        </is>
      </c>
      <c r="D822" s="256" t="n">
        <v>365</v>
      </c>
      <c r="E822" s="256" t="n">
        <v>365</v>
      </c>
      <c r="F822" s="155" t="n">
        <v>730</v>
      </c>
      <c r="G822" s="257" t="n">
        <v>365</v>
      </c>
    </row>
    <row r="823" ht="14.25" customHeight="1" s="237">
      <c r="A823" s="126" t="n">
        <v>5643</v>
      </c>
      <c r="B823" s="127" t="inlineStr">
        <is>
          <t>MO5643</t>
        </is>
      </c>
      <c r="C823" s="128" t="inlineStr">
        <is>
          <t>몬스터 에너지 울트라 355CAN 4X6</t>
        </is>
      </c>
      <c r="D823" s="256" t="n">
        <v>365</v>
      </c>
      <c r="E823" s="256" t="n">
        <v>365</v>
      </c>
      <c r="F823" s="155" t="n">
        <v>730</v>
      </c>
      <c r="G823" s="257" t="n">
        <v>365</v>
      </c>
    </row>
    <row r="824" ht="14.25" customHeight="1" s="237">
      <c r="A824" s="126" t="n">
        <v>5654</v>
      </c>
      <c r="B824" s="127" t="inlineStr">
        <is>
          <t>MO5654</t>
        </is>
      </c>
      <c r="C824" s="128" t="inlineStr">
        <is>
          <t>몬스터 파라다이스 355CAN 4X6</t>
        </is>
      </c>
      <c r="D824" s="256" t="n">
        <v>365</v>
      </c>
      <c r="E824" s="256" t="n">
        <v>365</v>
      </c>
      <c r="F824" s="155" t="n">
        <v>730</v>
      </c>
      <c r="G824" s="257" t="n">
        <v>365</v>
      </c>
    </row>
    <row r="825" ht="14.25" customHeight="1" s="237">
      <c r="A825" s="126" t="n">
        <v>5656</v>
      </c>
      <c r="B825" s="127" t="inlineStr">
        <is>
          <t>MO5656</t>
        </is>
      </c>
      <c r="C825" s="128" t="inlineStr">
        <is>
          <t>몬스터 에너지 망고로코 355CAN 4X6</t>
        </is>
      </c>
      <c r="D825" s="256" t="n">
        <v>365</v>
      </c>
      <c r="E825" s="256" t="n">
        <v>365</v>
      </c>
      <c r="F825" s="155" t="n">
        <v>730</v>
      </c>
      <c r="G825" s="257" t="n">
        <v>365</v>
      </c>
    </row>
    <row r="826" ht="14.25" customHeight="1" s="237">
      <c r="A826" s="126" t="n">
        <v>5662</v>
      </c>
      <c r="B826" s="127" t="inlineStr">
        <is>
          <t>MO5662</t>
        </is>
      </c>
      <c r="C826" s="128" t="inlineStr">
        <is>
          <t>몬스터 에너지 선라이즈 355CAN 4X6</t>
        </is>
      </c>
      <c r="D826" s="256" t="n">
        <v>365</v>
      </c>
      <c r="E826" s="256" t="n">
        <v>365</v>
      </c>
      <c r="F826" s="155" t="n">
        <v>730</v>
      </c>
      <c r="G826" s="257" t="n">
        <v>365</v>
      </c>
    </row>
    <row r="827" ht="14.25" customHeight="1" s="237">
      <c r="A827" s="126" t="n">
        <v>5664</v>
      </c>
      <c r="B827" s="127" t="inlineStr">
        <is>
          <t>MO5664</t>
        </is>
      </c>
      <c r="C827" s="128" t="inlineStr">
        <is>
          <t>몬스터 에너지 피치킨 355CAN 4X6</t>
        </is>
      </c>
      <c r="D827" s="256" t="n">
        <v>365</v>
      </c>
      <c r="E827" s="256" t="n">
        <v>365</v>
      </c>
      <c r="F827" s="155" t="n">
        <v>730</v>
      </c>
      <c r="G827" s="257" t="n">
        <v>365</v>
      </c>
    </row>
    <row r="828" ht="14.25" customHeight="1" s="237">
      <c r="A828" s="126" t="n">
        <v>5668</v>
      </c>
      <c r="B828" s="127" t="inlineStr">
        <is>
          <t>MO5668</t>
        </is>
      </c>
      <c r="C828" s="128" t="inlineStr">
        <is>
          <t>몬스터 오지 레모네이드 355CAN 4X6</t>
        </is>
      </c>
      <c r="D828" s="256" t="n">
        <v>365</v>
      </c>
      <c r="E828" s="256" t="n">
        <v>365</v>
      </c>
      <c r="F828" s="155" t="n">
        <v>730</v>
      </c>
      <c r="G828" s="257" t="n">
        <v>365</v>
      </c>
    </row>
    <row r="829" ht="14.25" customHeight="1" s="237">
      <c r="A829" s="126" t="n">
        <v>5672</v>
      </c>
      <c r="B829" s="127" t="inlineStr">
        <is>
          <t>MO5672</t>
        </is>
      </c>
      <c r="C829" s="128" t="inlineStr">
        <is>
          <t>몬스터 에너지 그린 500CAN 4X6</t>
        </is>
      </c>
      <c r="D829" s="256" t="n">
        <v>365</v>
      </c>
      <c r="E829" s="256" t="n">
        <v>365</v>
      </c>
      <c r="F829" s="155" t="n">
        <v>730</v>
      </c>
      <c r="G829" s="257" t="n">
        <v>365</v>
      </c>
    </row>
    <row r="830" ht="14.25" customHeight="1" s="237">
      <c r="A830" s="126" t="n">
        <v>5673</v>
      </c>
      <c r="B830" s="127" t="inlineStr">
        <is>
          <t>MO5673</t>
        </is>
      </c>
      <c r="C830" s="128" t="inlineStr">
        <is>
          <t>몬스터 에너지 울트라 500CAN 4X6</t>
        </is>
      </c>
      <c r="D830" s="256" t="n">
        <v>365</v>
      </c>
      <c r="E830" s="256" t="n">
        <v>365</v>
      </c>
      <c r="F830" s="155" t="n">
        <v>730</v>
      </c>
      <c r="G830" s="257" t="n">
        <v>365</v>
      </c>
    </row>
    <row r="831" ht="14.25" customHeight="1" s="237">
      <c r="A831" s="181" t="inlineStr">
        <is>
          <t>0001</t>
        </is>
      </c>
      <c r="B831" s="140" t="inlineStr">
        <is>
          <t>PA0001</t>
        </is>
      </c>
      <c r="C831" s="3" t="inlineStr">
        <is>
          <t>파워 제로 마운틴 블라600PET</t>
        </is>
      </c>
      <c r="D831" s="256" t="n">
        <v>183</v>
      </c>
      <c r="E831" s="256" t="n">
        <v>182.5</v>
      </c>
      <c r="F831" s="155" t="n">
        <v>365</v>
      </c>
      <c r="G831" s="257" t="n">
        <v>182</v>
      </c>
    </row>
    <row r="832" ht="14.25" customHeight="1" s="237">
      <c r="A832" s="127" t="n"/>
      <c r="C832" s="128" t="inlineStr">
        <is>
          <t>파워제로마운티 600ml(소분)</t>
        </is>
      </c>
      <c r="D832" s="256" t="n">
        <v>183</v>
      </c>
      <c r="E832" s="256" t="n">
        <v>182.5</v>
      </c>
      <c r="F832" s="155" t="n">
        <v>365</v>
      </c>
      <c r="G832" s="257" t="n">
        <v>182</v>
      </c>
    </row>
    <row r="833" ht="14.25" customHeight="1" s="237">
      <c r="A833" s="120" t="n">
        <v>4563</v>
      </c>
      <c r="B833" s="120" t="inlineStr">
        <is>
          <t>PA4563</t>
        </is>
      </c>
      <c r="C833" s="124" t="inlineStr">
        <is>
          <t>파워M/B 1.5PET X12</t>
        </is>
      </c>
      <c r="D833" s="256" t="n">
        <v>183</v>
      </c>
      <c r="E833" s="256" t="n">
        <v>182.5</v>
      </c>
      <c r="F833" s="155" t="n">
        <v>365</v>
      </c>
      <c r="G833" s="257" t="n">
        <v>182</v>
      </c>
    </row>
    <row r="834" ht="14.25" customHeight="1" s="237">
      <c r="A834" s="126" t="n">
        <v>4564</v>
      </c>
      <c r="B834" s="127" t="inlineStr">
        <is>
          <t>PA4564</t>
        </is>
      </c>
      <c r="C834" s="128" t="inlineStr">
        <is>
          <t>파워 마운틴블라 900PET X12</t>
        </is>
      </c>
      <c r="D834" s="256" t="n">
        <v>183</v>
      </c>
      <c r="E834" s="256" t="n">
        <v>182.5</v>
      </c>
      <c r="F834" s="155" t="n">
        <v>365</v>
      </c>
      <c r="G834" s="257" t="n">
        <v>182</v>
      </c>
    </row>
    <row r="835" ht="14.25" customHeight="1" s="237">
      <c r="A835" s="120" t="n">
        <v>4566</v>
      </c>
      <c r="B835" s="120" t="inlineStr">
        <is>
          <t>PA4566</t>
        </is>
      </c>
      <c r="C835" s="124" t="inlineStr">
        <is>
          <t>파워M/B 390BTC X20</t>
        </is>
      </c>
      <c r="D835" s="256" t="n">
        <v>365</v>
      </c>
      <c r="E835" s="256" t="n">
        <v>365</v>
      </c>
      <c r="F835" s="155" t="n">
        <v>730</v>
      </c>
      <c r="G835" s="257" t="n">
        <v>365</v>
      </c>
    </row>
    <row r="836" ht="14.25" customHeight="1" s="237">
      <c r="A836" s="126" t="n">
        <v>4567</v>
      </c>
      <c r="B836" s="127" t="inlineStr">
        <is>
          <t>PA4567</t>
        </is>
      </c>
      <c r="C836" s="128" t="inlineStr">
        <is>
          <t>파워 퍼플스톰 1.5PET X12</t>
        </is>
      </c>
      <c r="D836" s="256" t="n">
        <v>183</v>
      </c>
      <c r="E836" s="256" t="n">
        <v>182.5</v>
      </c>
      <c r="F836" s="155" t="n">
        <v>365</v>
      </c>
      <c r="G836" s="257" t="n">
        <v>182</v>
      </c>
    </row>
    <row r="837" ht="14.25" customHeight="1" s="237">
      <c r="A837" s="120" t="n">
        <v>5367</v>
      </c>
      <c r="B837" s="120" t="inlineStr">
        <is>
          <t>PA5367</t>
        </is>
      </c>
      <c r="C837" s="124" t="inlineStr">
        <is>
          <t>파워M/B EDLP 355C 4X6</t>
        </is>
      </c>
      <c r="D837" s="256" t="n">
        <v>365</v>
      </c>
      <c r="E837" s="256" t="n">
        <v>365</v>
      </c>
      <c r="F837" s="155" t="n">
        <v>730</v>
      </c>
      <c r="G837" s="257" t="n">
        <v>365</v>
      </c>
    </row>
    <row r="838" ht="14.25" customHeight="1" s="237">
      <c r="A838" s="120" t="n">
        <v>5368</v>
      </c>
      <c r="B838" s="120" t="inlineStr">
        <is>
          <t>PA5368</t>
        </is>
      </c>
      <c r="C838" s="124" t="inlineStr">
        <is>
          <t>파워M/B 355PET X20</t>
        </is>
      </c>
      <c r="D838" s="256" t="n">
        <v>183</v>
      </c>
      <c r="E838" s="256" t="n">
        <v>182.5</v>
      </c>
      <c r="F838" s="155" t="n">
        <v>365</v>
      </c>
      <c r="G838" s="257" t="n">
        <v>182</v>
      </c>
    </row>
    <row r="839" ht="14.25" customHeight="1" s="237">
      <c r="A839" s="120" t="n">
        <v>5369</v>
      </c>
      <c r="B839" s="120" t="inlineStr">
        <is>
          <t>PA5369</t>
        </is>
      </c>
      <c r="C839" s="124" t="inlineStr">
        <is>
          <t>C)파워M/B 355PET X20</t>
        </is>
      </c>
      <c r="D839" s="256" t="n">
        <v>183</v>
      </c>
      <c r="E839" s="256" t="n">
        <v>182.5</v>
      </c>
      <c r="F839" s="155" t="n">
        <v>365</v>
      </c>
      <c r="G839" s="257" t="n">
        <v>182</v>
      </c>
    </row>
    <row r="840" ht="14.25" customHeight="1" s="237">
      <c r="A840" s="120" t="n">
        <v>5377</v>
      </c>
      <c r="B840" s="120" t="inlineStr">
        <is>
          <t>PA5377</t>
        </is>
      </c>
      <c r="C840" s="124" t="inlineStr">
        <is>
          <t>S)파워M/B 355C 4X6</t>
        </is>
      </c>
      <c r="D840" s="256" t="n">
        <v>365</v>
      </c>
      <c r="E840" s="256" t="n">
        <v>365</v>
      </c>
      <c r="F840" s="155" t="n">
        <v>730</v>
      </c>
      <c r="G840" s="257" t="n">
        <v>365</v>
      </c>
    </row>
    <row r="841" ht="14.25" customHeight="1" s="237">
      <c r="A841" s="120" t="n">
        <v>5378</v>
      </c>
      <c r="B841" s="120" t="inlineStr">
        <is>
          <t>PA5378</t>
        </is>
      </c>
      <c r="C841" s="124" t="inlineStr">
        <is>
          <t>파워M/B 355PET 6X3</t>
        </is>
      </c>
      <c r="D841" s="256" t="n">
        <v>183</v>
      </c>
      <c r="E841" s="256" t="n">
        <v>182.5</v>
      </c>
      <c r="F841" s="155" t="n">
        <v>365</v>
      </c>
      <c r="G841" s="257" t="n">
        <v>182</v>
      </c>
    </row>
    <row r="842" ht="14.25" customHeight="1" s="237">
      <c r="A842" s="120" t="n">
        <v>6273</v>
      </c>
      <c r="B842" s="120" t="inlineStr">
        <is>
          <t>PA6273</t>
        </is>
      </c>
      <c r="C842" s="124" t="inlineStr">
        <is>
          <t>파워M/B 600PET X20</t>
        </is>
      </c>
      <c r="D842" s="256" t="n">
        <v>183</v>
      </c>
      <c r="E842" s="256" t="n">
        <v>182.5</v>
      </c>
      <c r="F842" s="155" t="n">
        <v>365</v>
      </c>
      <c r="G842" s="257" t="n">
        <v>182</v>
      </c>
    </row>
    <row r="843" ht="14.25" customHeight="1" s="237">
      <c r="A843" s="126" t="n">
        <v>6274</v>
      </c>
      <c r="B843" s="127" t="inlineStr">
        <is>
          <t>PA6274</t>
        </is>
      </c>
      <c r="C843" s="128" t="inlineStr">
        <is>
          <t>파워 마이티포스 600PET X20</t>
        </is>
      </c>
      <c r="D843" s="256" t="n">
        <v>183</v>
      </c>
      <c r="E843" s="256" t="n">
        <v>182.5</v>
      </c>
      <c r="F843" s="155" t="n">
        <v>365</v>
      </c>
      <c r="G843" s="257" t="n">
        <v>182</v>
      </c>
    </row>
    <row r="844" ht="14.25" customHeight="1" s="237">
      <c r="A844" s="126" t="n">
        <v>6276</v>
      </c>
      <c r="B844" s="127" t="inlineStr">
        <is>
          <t>PA6276</t>
        </is>
      </c>
      <c r="C844" s="128" t="inlineStr">
        <is>
          <t>파워 퍼플스톰 600PET X20</t>
        </is>
      </c>
      <c r="D844" s="256" t="n">
        <v>183</v>
      </c>
      <c r="E844" s="256" t="n">
        <v>182.5</v>
      </c>
      <c r="F844" s="155" t="n">
        <v>365</v>
      </c>
      <c r="G844" s="257" t="n">
        <v>182</v>
      </c>
    </row>
    <row r="845" ht="14.25" customHeight="1" s="237">
      <c r="A845" s="126" t="n">
        <v>6277</v>
      </c>
      <c r="B845" s="127" t="inlineStr">
        <is>
          <t>PA6277</t>
        </is>
      </c>
      <c r="C845" s="128" t="inlineStr">
        <is>
          <t>파워 퍼플스톰 600PET 4X6</t>
        </is>
      </c>
      <c r="D845" s="256" t="n">
        <v>183</v>
      </c>
      <c r="E845" s="256" t="n">
        <v>182.5</v>
      </c>
      <c r="F845" s="155" t="n">
        <v>365</v>
      </c>
      <c r="G845" s="257" t="n">
        <v>182</v>
      </c>
    </row>
    <row r="846" ht="14.25" customHeight="1" s="237">
      <c r="A846" s="126" t="n">
        <v>6285</v>
      </c>
      <c r="B846" s="127" t="inlineStr">
        <is>
          <t>PA6285</t>
        </is>
      </c>
      <c r="C846" s="128" t="inlineStr">
        <is>
          <t>S)파워 스칼렛스톰 600PET 4X6</t>
        </is>
      </c>
      <c r="D846" s="256" t="n">
        <v>183</v>
      </c>
      <c r="E846" s="256" t="n">
        <v>182.5</v>
      </c>
      <c r="F846" s="155" t="n">
        <v>365</v>
      </c>
      <c r="G846" s="257" t="n">
        <v>182</v>
      </c>
    </row>
    <row r="847" ht="14.25" customHeight="1" s="237">
      <c r="A847" s="120" t="n">
        <v>6279</v>
      </c>
      <c r="B847" s="120" t="inlineStr">
        <is>
          <t>PA6279</t>
        </is>
      </c>
      <c r="C847" s="124" t="inlineStr">
        <is>
          <t>S)파워 메가볼츠 600PET 4X6</t>
        </is>
      </c>
      <c r="D847" s="256" t="n">
        <v>183</v>
      </c>
      <c r="E847" s="256" t="n">
        <v>182.5</v>
      </c>
      <c r="F847" s="155" t="n">
        <v>365</v>
      </c>
      <c r="G847" s="257" t="n">
        <v>182</v>
      </c>
    </row>
    <row r="848" ht="14.25" customHeight="1" s="237">
      <c r="A848" s="126" t="n">
        <v>6280</v>
      </c>
      <c r="B848" s="127" t="inlineStr">
        <is>
          <t>PA6280</t>
        </is>
      </c>
      <c r="C848" s="128" t="inlineStr">
        <is>
          <t>파워에이드 프로틴 355PET 4X6</t>
        </is>
      </c>
      <c r="D848" s="256" t="n">
        <v>84</v>
      </c>
      <c r="E848" s="256" t="n">
        <v>182.5</v>
      </c>
      <c r="F848" s="155" t="n">
        <v>365</v>
      </c>
      <c r="G848" s="257" t="n">
        <v>281</v>
      </c>
    </row>
    <row r="849" ht="14.25" customHeight="1" s="237">
      <c r="A849" s="120" t="n">
        <v>6871</v>
      </c>
      <c r="B849" s="120" t="inlineStr">
        <is>
          <t>PA6871</t>
        </is>
      </c>
      <c r="C849" s="124" t="inlineStr">
        <is>
          <t>S)파워 마운틴블라 600PET 4X6</t>
        </is>
      </c>
      <c r="D849" s="256" t="n">
        <v>183</v>
      </c>
      <c r="E849" s="256" t="n">
        <v>182.5</v>
      </c>
      <c r="F849" s="155" t="n">
        <v>365</v>
      </c>
      <c r="G849" s="257" t="n">
        <v>182</v>
      </c>
    </row>
    <row r="850" ht="14.25" customHeight="1" s="237">
      <c r="A850" s="135" t="inlineStr">
        <is>
          <t>PA0002</t>
        </is>
      </c>
      <c r="B850" s="120" t="inlineStr">
        <is>
          <t>PA0002</t>
        </is>
      </c>
      <c r="C850" s="124" t="inlineStr">
        <is>
          <t>파워 제로 마운틴블라 600PET 4X6</t>
        </is>
      </c>
      <c r="D850" s="256" t="n">
        <v>183</v>
      </c>
      <c r="E850" s="256" t="n">
        <v>182.5</v>
      </c>
      <c r="F850" s="155" t="n">
        <v>365</v>
      </c>
      <c r="G850" s="257" t="n">
        <v>182</v>
      </c>
    </row>
    <row r="851" ht="14.25" customHeight="1" s="237">
      <c r="A851" s="120" t="n">
        <v>6873</v>
      </c>
      <c r="B851" s="120" t="inlineStr">
        <is>
          <t>PA6873</t>
        </is>
      </c>
      <c r="C851" s="124" t="inlineStr">
        <is>
          <t>파워 마운틴블라 VIC 600PET X6</t>
        </is>
      </c>
      <c r="D851" s="256" t="n">
        <v>183</v>
      </c>
      <c r="E851" s="256" t="n">
        <v>182.5</v>
      </c>
      <c r="F851" s="155" t="n">
        <v>365</v>
      </c>
      <c r="G851" s="257" t="n">
        <v>182</v>
      </c>
    </row>
    <row r="852" ht="14.25" customHeight="1" s="237">
      <c r="A852" s="120" t="n">
        <v>7220</v>
      </c>
      <c r="B852" s="120" t="inlineStr">
        <is>
          <t>PA7220</t>
        </is>
      </c>
      <c r="C852" s="124" t="inlineStr">
        <is>
          <t>파워 M/B355CAN X24</t>
        </is>
      </c>
      <c r="D852" s="256" t="n">
        <v>365</v>
      </c>
      <c r="E852" s="256" t="n">
        <v>365</v>
      </c>
      <c r="F852" s="155" t="n">
        <v>730</v>
      </c>
      <c r="G852" s="257" t="n">
        <v>365</v>
      </c>
    </row>
    <row r="853" ht="14.25" customHeight="1" s="237">
      <c r="A853" s="120" t="n">
        <v>8505</v>
      </c>
      <c r="B853" s="120" t="inlineStr">
        <is>
          <t>PA8505</t>
        </is>
      </c>
      <c r="C853" s="124" t="inlineStr">
        <is>
          <t>파워아쿠아파워플600P X20</t>
        </is>
      </c>
      <c r="D853" s="256" t="n">
        <v>183</v>
      </c>
      <c r="E853" s="256" t="n">
        <v>182.5</v>
      </c>
      <c r="F853" s="155" t="n">
        <v>365</v>
      </c>
      <c r="G853" s="257" t="n">
        <v>182</v>
      </c>
    </row>
    <row r="854" ht="14.25" customHeight="1" s="237">
      <c r="A854" s="120" t="n">
        <v>8507</v>
      </c>
      <c r="B854" s="120" t="inlineStr">
        <is>
          <t>PA8507</t>
        </is>
      </c>
      <c r="C854" s="124" t="inlineStr">
        <is>
          <t>파워아쿠아파워플1.5P X12</t>
        </is>
      </c>
      <c r="D854" s="256" t="n">
        <v>183</v>
      </c>
      <c r="E854" s="256" t="n">
        <v>182.5</v>
      </c>
      <c r="F854" s="155" t="n">
        <v>365</v>
      </c>
      <c r="G854" s="257" t="n">
        <v>182</v>
      </c>
    </row>
    <row r="855" ht="14.25" customHeight="1" s="237">
      <c r="A855" s="120" t="n">
        <v>8515</v>
      </c>
      <c r="B855" s="120" t="inlineStr">
        <is>
          <t>PA8515</t>
        </is>
      </c>
      <c r="C855" s="124" t="inlineStr">
        <is>
          <t>파워골드러쉬240CAN X30</t>
        </is>
      </c>
      <c r="D855" s="256" t="n">
        <v>273</v>
      </c>
      <c r="E855" s="256" t="n">
        <v>270</v>
      </c>
      <c r="F855" s="155" t="n">
        <v>540</v>
      </c>
      <c r="G855" s="257" t="n">
        <v>267</v>
      </c>
    </row>
    <row r="856" ht="14.25" customHeight="1" s="237">
      <c r="A856" s="120" t="n">
        <v>8516</v>
      </c>
      <c r="B856" s="120" t="inlineStr">
        <is>
          <t>PA8516</t>
        </is>
      </c>
      <c r="C856" s="124" t="inlineStr">
        <is>
          <t>파워골드러쉬240CAN 5X6</t>
        </is>
      </c>
      <c r="D856" s="256" t="n">
        <v>273</v>
      </c>
      <c r="E856" s="256" t="n">
        <v>270</v>
      </c>
      <c r="F856" s="155" t="n">
        <v>540</v>
      </c>
      <c r="G856" s="257" t="n">
        <v>267</v>
      </c>
    </row>
    <row r="857" ht="14.25" customHeight="1" s="237">
      <c r="A857" s="120" t="n">
        <v>8517</v>
      </c>
      <c r="B857" s="120" t="inlineStr">
        <is>
          <t>PA8517</t>
        </is>
      </c>
      <c r="C857" s="124" t="inlineStr">
        <is>
          <t>파워골드러쉬600PET X20</t>
        </is>
      </c>
      <c r="D857" s="256" t="n">
        <v>183</v>
      </c>
      <c r="E857" s="256" t="n">
        <v>182.5</v>
      </c>
      <c r="F857" s="155" t="n">
        <v>365</v>
      </c>
      <c r="G857" s="257" t="n">
        <v>182</v>
      </c>
    </row>
    <row r="858" ht="14.25" customHeight="1" s="237">
      <c r="A858" s="120" t="n">
        <v>8518</v>
      </c>
      <c r="B858" s="120" t="inlineStr">
        <is>
          <t>PA8518</t>
        </is>
      </c>
      <c r="C858" s="124" t="inlineStr">
        <is>
          <t>S)파워골드러쉬600P 4X6</t>
        </is>
      </c>
      <c r="D858" s="256" t="n">
        <v>183</v>
      </c>
      <c r="E858" s="256" t="n">
        <v>182.5</v>
      </c>
      <c r="F858" s="155" t="n">
        <v>365</v>
      </c>
      <c r="G858" s="257" t="n">
        <v>182</v>
      </c>
    </row>
    <row r="859" ht="14.25" customHeight="1" s="237">
      <c r="A859" s="120" t="n">
        <v>8519</v>
      </c>
      <c r="B859" s="120" t="inlineStr">
        <is>
          <t>PA8519</t>
        </is>
      </c>
      <c r="C859" s="124" t="inlineStr">
        <is>
          <t>파워골드러쉬1.5PET X12</t>
        </is>
      </c>
      <c r="D859" s="256" t="n">
        <v>183</v>
      </c>
      <c r="E859" s="256" t="n">
        <v>182.5</v>
      </c>
      <c r="F859" s="155" t="n">
        <v>365</v>
      </c>
      <c r="G859" s="257" t="n">
        <v>182</v>
      </c>
    </row>
    <row r="860" ht="14.25" customHeight="1" s="237">
      <c r="A860" s="120" t="n">
        <v>8521</v>
      </c>
      <c r="B860" s="120" t="inlineStr">
        <is>
          <t>PA8521</t>
        </is>
      </c>
      <c r="C860" s="124" t="inlineStr">
        <is>
          <t>파워M/B 240CAN 5X6</t>
        </is>
      </c>
      <c r="D860" s="256" t="n">
        <v>365</v>
      </c>
      <c r="E860" s="256" t="n">
        <v>365</v>
      </c>
      <c r="F860" s="155" t="n">
        <v>730</v>
      </c>
      <c r="G860" s="257" t="n">
        <v>365</v>
      </c>
    </row>
    <row r="861" ht="14.25" customHeight="1" s="237">
      <c r="A861" s="120" t="n">
        <v>8526</v>
      </c>
      <c r="B861" s="120" t="inlineStr">
        <is>
          <t>PA8526</t>
        </is>
      </c>
      <c r="C861" s="124" t="inlineStr">
        <is>
          <t>파워M/B 240CAN X30</t>
        </is>
      </c>
      <c r="D861" s="256" t="n">
        <v>365</v>
      </c>
      <c r="E861" s="256" t="n">
        <v>365</v>
      </c>
      <c r="F861" s="155" t="n">
        <v>730</v>
      </c>
      <c r="G861" s="257" t="n">
        <v>365</v>
      </c>
    </row>
    <row r="862" ht="14.25" customHeight="1" s="237">
      <c r="A862" s="120" t="n">
        <v>8532</v>
      </c>
      <c r="B862" s="120" t="inlineStr">
        <is>
          <t>PA8532</t>
        </is>
      </c>
      <c r="C862" s="124" t="inlineStr">
        <is>
          <t>파워M/B 1.5PET 6X2</t>
        </is>
      </c>
      <c r="D862" s="256" t="n">
        <v>183</v>
      </c>
      <c r="E862" s="256" t="n">
        <v>182.5</v>
      </c>
      <c r="F862" s="155" t="n">
        <v>365</v>
      </c>
      <c r="G862" s="257" t="n">
        <v>182</v>
      </c>
    </row>
    <row r="863" ht="14.25" customHeight="1" s="237">
      <c r="A863" s="120" t="n">
        <v>8541</v>
      </c>
      <c r="B863" s="120" t="inlineStr">
        <is>
          <t>PA8541</t>
        </is>
      </c>
      <c r="C863" s="124" t="inlineStr">
        <is>
          <t>파워마운틴소분1.5P 2X6</t>
        </is>
      </c>
      <c r="D863" s="256" t="n">
        <v>183</v>
      </c>
      <c r="E863" s="256" t="n">
        <v>182.5</v>
      </c>
      <c r="F863" s="155" t="n">
        <v>365</v>
      </c>
      <c r="G863" s="257" t="n">
        <v>182</v>
      </c>
    </row>
    <row r="864" ht="14.25" customHeight="1" s="237">
      <c r="A864" s="120" t="n">
        <v>8547</v>
      </c>
      <c r="B864" s="120" t="inlineStr">
        <is>
          <t>PA8547</t>
        </is>
      </c>
      <c r="C864" s="124" t="inlineStr">
        <is>
          <t>파워에너지펀치600P X20</t>
        </is>
      </c>
      <c r="D864" s="256" t="n">
        <v>183</v>
      </c>
      <c r="E864" s="256" t="n">
        <v>182.5</v>
      </c>
      <c r="F864" s="155" t="n">
        <v>365</v>
      </c>
      <c r="G864" s="257" t="n">
        <v>182</v>
      </c>
    </row>
    <row r="865" ht="14.25" customHeight="1" s="237">
      <c r="A865" s="120" t="n">
        <v>8548</v>
      </c>
      <c r="B865" s="120" t="inlineStr">
        <is>
          <t>PA8548</t>
        </is>
      </c>
      <c r="C865" s="124" t="inlineStr">
        <is>
          <t>파워에너지펀치1.5P X12</t>
        </is>
      </c>
      <c r="D865" s="256" t="n">
        <v>183</v>
      </c>
      <c r="E865" s="256" t="n">
        <v>182.5</v>
      </c>
      <c r="F865" s="155" t="n">
        <v>365</v>
      </c>
      <c r="G865" s="257" t="n">
        <v>182</v>
      </c>
    </row>
    <row r="866" ht="14.25" customHeight="1" s="237">
      <c r="A866" s="120" t="n">
        <v>8566</v>
      </c>
      <c r="B866" s="120" t="inlineStr">
        <is>
          <t>PA8566</t>
        </is>
      </c>
      <c r="C866" s="124" t="inlineStr">
        <is>
          <t>S)파워에너지펀치600P 4X6</t>
        </is>
      </c>
      <c r="D866" s="256" t="n">
        <v>183</v>
      </c>
      <c r="E866" s="256" t="n">
        <v>182.5</v>
      </c>
      <c r="F866" s="155" t="n">
        <v>365</v>
      </c>
      <c r="G866" s="257" t="n">
        <v>182</v>
      </c>
    </row>
    <row r="867" ht="14.25" customHeight="1" s="237">
      <c r="A867" s="120" t="n">
        <v>8572</v>
      </c>
      <c r="B867" s="120" t="inlineStr">
        <is>
          <t>PA8572</t>
        </is>
      </c>
      <c r="C867" s="124" t="inlineStr">
        <is>
          <t>파워M/B+E/P 1.5P 6X2</t>
        </is>
      </c>
      <c r="D867" s="256" t="n">
        <v>183</v>
      </c>
      <c r="E867" s="256" t="n">
        <v>182.5</v>
      </c>
      <c r="F867" s="155" t="n">
        <v>365</v>
      </c>
      <c r="G867" s="257" t="n">
        <v>182</v>
      </c>
    </row>
    <row r="868" ht="14.25" customHeight="1" s="237">
      <c r="A868" s="120" t="n">
        <v>8579</v>
      </c>
      <c r="B868" s="120" t="inlineStr">
        <is>
          <t>PA8579</t>
        </is>
      </c>
      <c r="C868" s="124" t="inlineStr">
        <is>
          <t>파워M/B+A/P EDLP 1.5P 6X2</t>
        </is>
      </c>
      <c r="D868" s="256" t="n">
        <v>183</v>
      </c>
      <c r="E868" s="256" t="n">
        <v>182.5</v>
      </c>
      <c r="F868" s="155" t="n">
        <v>365</v>
      </c>
      <c r="G868" s="257" t="n">
        <v>182</v>
      </c>
    </row>
    <row r="869" ht="14.25" customHeight="1" s="237">
      <c r="A869" s="120" t="n">
        <v>8580</v>
      </c>
      <c r="B869" s="120" t="inlineStr">
        <is>
          <t>PA8580</t>
        </is>
      </c>
      <c r="C869" s="124" t="inlineStr">
        <is>
          <t>파워M/B+M/B+물병1.5P 4X2</t>
        </is>
      </c>
      <c r="D869" s="256" t="n">
        <v>183</v>
      </c>
      <c r="E869" s="256" t="n">
        <v>182.5</v>
      </c>
      <c r="F869" s="155" t="n">
        <v>365</v>
      </c>
      <c r="G869" s="257" t="n">
        <v>182</v>
      </c>
    </row>
    <row r="870" ht="14.25" customHeight="1" s="237">
      <c r="A870" s="120" t="n">
        <v>8582</v>
      </c>
      <c r="B870" s="120" t="inlineStr">
        <is>
          <t>PA8582</t>
        </is>
      </c>
      <c r="C870" s="124" t="inlineStr">
        <is>
          <t>파워MB+GR+AP+물병600P 5X3</t>
        </is>
      </c>
      <c r="D870" s="256" t="n">
        <v>183</v>
      </c>
      <c r="E870" s="256" t="n">
        <v>182.5</v>
      </c>
      <c r="F870" s="155" t="n">
        <v>365</v>
      </c>
      <c r="G870" s="257" t="n">
        <v>182</v>
      </c>
    </row>
    <row r="871" ht="14.25" customHeight="1" s="237">
      <c r="A871" s="120" t="n">
        <v>8621</v>
      </c>
      <c r="B871" s="120" t="inlineStr">
        <is>
          <t>PA8621</t>
        </is>
      </c>
      <c r="C871" s="124" t="inlineStr">
        <is>
          <t>파워M/B 520PET X20</t>
        </is>
      </c>
      <c r="D871" s="256" t="n">
        <v>183</v>
      </c>
      <c r="E871" s="256" t="n">
        <v>182.5</v>
      </c>
      <c r="F871" s="155" t="n">
        <v>365</v>
      </c>
      <c r="G871" s="257" t="n">
        <v>182</v>
      </c>
    </row>
    <row r="872" ht="14.25" customHeight="1" s="237">
      <c r="A872" s="120" t="n">
        <v>8622</v>
      </c>
      <c r="B872" s="120" t="inlineStr">
        <is>
          <t>PA8622</t>
        </is>
      </c>
      <c r="C872" s="124" t="inlineStr">
        <is>
          <t>파워골드러쉬520PET X20</t>
        </is>
      </c>
      <c r="D872" s="256" t="n">
        <v>183</v>
      </c>
      <c r="E872" s="256" t="n">
        <v>182.5</v>
      </c>
      <c r="F872" s="155" t="n">
        <v>365</v>
      </c>
      <c r="G872" s="257" t="n">
        <v>182</v>
      </c>
    </row>
    <row r="873" ht="14.25" customHeight="1" s="237">
      <c r="A873" s="120" t="n">
        <v>8623</v>
      </c>
      <c r="B873" s="120" t="inlineStr">
        <is>
          <t>PA8623</t>
        </is>
      </c>
      <c r="C873" s="124" t="inlineStr">
        <is>
          <t>파워아쿠아파워플520P X20</t>
        </is>
      </c>
      <c r="D873" s="256" t="n">
        <v>183</v>
      </c>
      <c r="E873" s="256" t="n">
        <v>182.5</v>
      </c>
      <c r="F873" s="155" t="n">
        <v>365</v>
      </c>
      <c r="G873" s="257" t="n">
        <v>182</v>
      </c>
    </row>
    <row r="874" ht="14.25" customHeight="1" s="237">
      <c r="A874" s="120" t="n">
        <v>8624</v>
      </c>
      <c r="B874" s="120" t="inlineStr">
        <is>
          <t>PA8624</t>
        </is>
      </c>
      <c r="C874" s="124" t="inlineStr">
        <is>
          <t>파워M/B 1.8PET X12</t>
        </is>
      </c>
      <c r="D874" s="256" t="n">
        <v>183</v>
      </c>
      <c r="E874" s="256" t="n">
        <v>182.5</v>
      </c>
      <c r="F874" s="155" t="n">
        <v>365</v>
      </c>
      <c r="G874" s="257" t="n">
        <v>182</v>
      </c>
    </row>
    <row r="875" ht="14.25" customHeight="1" s="237">
      <c r="A875" s="120" t="n">
        <v>8625</v>
      </c>
      <c r="B875" s="120" t="inlineStr">
        <is>
          <t>PA8625</t>
        </is>
      </c>
      <c r="C875" s="124" t="inlineStr">
        <is>
          <t>파워골드러쉬1.8PET X12</t>
        </is>
      </c>
      <c r="D875" s="256" t="n">
        <v>183</v>
      </c>
      <c r="E875" s="256" t="n">
        <v>182.5</v>
      </c>
      <c r="F875" s="155" t="n">
        <v>365</v>
      </c>
      <c r="G875" s="257" t="n">
        <v>182</v>
      </c>
    </row>
    <row r="876" ht="14.25" customHeight="1" s="237">
      <c r="A876" s="120" t="n">
        <v>8626</v>
      </c>
      <c r="B876" s="120" t="inlineStr">
        <is>
          <t>PA8626</t>
        </is>
      </c>
      <c r="C876" s="124" t="inlineStr">
        <is>
          <t>파워아쿠아파워플1.8P X12</t>
        </is>
      </c>
      <c r="D876" s="256" t="n">
        <v>183</v>
      </c>
      <c r="E876" s="256" t="n">
        <v>182.5</v>
      </c>
      <c r="F876" s="155" t="n">
        <v>365</v>
      </c>
      <c r="G876" s="257" t="n">
        <v>182</v>
      </c>
    </row>
    <row r="877" ht="14.25" customHeight="1" s="237">
      <c r="A877" s="126" t="n">
        <v>8631</v>
      </c>
      <c r="B877" s="120" t="inlineStr">
        <is>
          <t>PA8631</t>
        </is>
      </c>
      <c r="C877" s="128" t="inlineStr">
        <is>
          <t>파워M/B+스프1.8P 6X2</t>
        </is>
      </c>
      <c r="D877" s="256" t="n">
        <v>183</v>
      </c>
      <c r="E877" s="256" t="n">
        <v>182.5</v>
      </c>
      <c r="F877" s="155" t="n">
        <v>365</v>
      </c>
      <c r="G877" s="257" t="n">
        <v>182</v>
      </c>
    </row>
    <row r="878" ht="14.25" customHeight="1" s="237">
      <c r="A878" s="120" t="n">
        <v>5640</v>
      </c>
      <c r="B878" s="120" t="inlineStr">
        <is>
          <t>PC5640</t>
        </is>
      </c>
      <c r="C878" s="124" t="inlineStr">
        <is>
          <t>강원평창수 2.0PET X6</t>
        </is>
      </c>
      <c r="D878" s="256" t="n">
        <v>183</v>
      </c>
      <c r="E878" s="256" t="n">
        <v>182.5</v>
      </c>
      <c r="F878" s="155" t="n">
        <v>365</v>
      </c>
      <c r="G878" s="257" t="n">
        <v>182</v>
      </c>
    </row>
    <row r="879" ht="14.25" customHeight="1" s="237">
      <c r="A879" s="120" t="n">
        <v>653</v>
      </c>
      <c r="B879" s="120" t="inlineStr">
        <is>
          <t>PC5642</t>
        </is>
      </c>
      <c r="C879" s="124" t="inlineStr">
        <is>
          <t>강원평창수 500PET X20</t>
        </is>
      </c>
      <c r="D879" s="256" t="n">
        <v>183</v>
      </c>
      <c r="E879" s="256" t="n">
        <v>182.5</v>
      </c>
      <c r="F879" s="155" t="n">
        <v>365</v>
      </c>
      <c r="G879" s="257" t="n">
        <v>182</v>
      </c>
    </row>
    <row r="880" ht="14.25" customHeight="1" s="237">
      <c r="A880" s="171" t="n">
        <v>8831</v>
      </c>
      <c r="B880" s="172" t="inlineStr">
        <is>
          <t>SD8831</t>
        </is>
      </c>
      <c r="C880" s="137" t="inlineStr">
        <is>
          <t>제주 삼다수 500PET X20</t>
        </is>
      </c>
      <c r="D880" s="264" t="n">
        <v>183</v>
      </c>
      <c r="E880" s="264" t="n">
        <v>364.5</v>
      </c>
      <c r="F880" s="138" t="n">
        <v>729</v>
      </c>
      <c r="G880" s="265" t="n">
        <v>546</v>
      </c>
    </row>
    <row r="881" ht="14.25" customHeight="1" s="237">
      <c r="A881" s="171" t="n">
        <v>8832</v>
      </c>
      <c r="B881" s="172" t="inlineStr">
        <is>
          <t>SD8832</t>
        </is>
      </c>
      <c r="C881" s="137" t="inlineStr">
        <is>
          <t>제주 삼다수 2.0PET X6</t>
        </is>
      </c>
      <c r="D881" s="264" t="n">
        <v>183</v>
      </c>
      <c r="E881" s="264" t="n">
        <v>364.5</v>
      </c>
      <c r="F881" s="138" t="n">
        <v>729</v>
      </c>
      <c r="G881" s="265" t="n">
        <v>546</v>
      </c>
    </row>
    <row r="882" ht="14.25" customHeight="1" s="237">
      <c r="A882" s="120" t="n">
        <v>4191</v>
      </c>
      <c r="B882" s="120" t="inlineStr">
        <is>
          <t>SG4191</t>
        </is>
      </c>
      <c r="C882" s="124" t="inlineStr">
        <is>
          <t>씨그램 플레인350P X24</t>
        </is>
      </c>
      <c r="D882" s="256" t="n">
        <v>84</v>
      </c>
      <c r="E882" s="256" t="n">
        <v>182.5</v>
      </c>
      <c r="F882" s="155" t="n">
        <v>365</v>
      </c>
      <c r="G882" s="257" t="n">
        <v>281</v>
      </c>
    </row>
    <row r="883" ht="14.25" customHeight="1" s="237">
      <c r="A883" s="120" t="n">
        <v>4192</v>
      </c>
      <c r="B883" s="120" t="inlineStr">
        <is>
          <t>SG4192</t>
        </is>
      </c>
      <c r="C883" s="124" t="inlineStr">
        <is>
          <t>씨그램 라임 350P X24</t>
        </is>
      </c>
      <c r="D883" s="256" t="n">
        <v>84</v>
      </c>
      <c r="E883" s="256" t="n">
        <v>182.5</v>
      </c>
      <c r="F883" s="155" t="n">
        <v>365</v>
      </c>
      <c r="G883" s="257" t="n">
        <v>281</v>
      </c>
    </row>
    <row r="884" ht="14.25" customHeight="1" s="237">
      <c r="A884" s="120" t="n">
        <v>4193</v>
      </c>
      <c r="B884" s="120" t="inlineStr">
        <is>
          <t>SG4193</t>
        </is>
      </c>
      <c r="C884" s="124" t="inlineStr">
        <is>
          <t>S)씨그램 라임350P 4X6</t>
        </is>
      </c>
      <c r="D884" s="256" t="n">
        <v>84</v>
      </c>
      <c r="E884" s="256" t="n">
        <v>182.5</v>
      </c>
      <c r="F884" s="155" t="n">
        <v>365</v>
      </c>
      <c r="G884" s="257" t="n">
        <v>281</v>
      </c>
    </row>
    <row r="885" ht="14.25" customHeight="1" s="237">
      <c r="A885" s="120" t="n">
        <v>4194</v>
      </c>
      <c r="B885" s="120" t="inlineStr">
        <is>
          <t>SG4194</t>
        </is>
      </c>
      <c r="C885" s="124" t="inlineStr">
        <is>
          <t>S)씨그램플레인350P 4X6</t>
        </is>
      </c>
      <c r="D885" s="256" t="n">
        <v>84</v>
      </c>
      <c r="E885" s="256" t="n">
        <v>182.5</v>
      </c>
      <c r="F885" s="155" t="n">
        <v>365</v>
      </c>
      <c r="G885" s="257" t="n">
        <v>281</v>
      </c>
    </row>
    <row r="886" ht="14.25" customHeight="1" s="237">
      <c r="A886" s="120" t="n">
        <v>4195</v>
      </c>
      <c r="B886" s="120" t="inlineStr">
        <is>
          <t>SG4195</t>
        </is>
      </c>
      <c r="C886" s="124" t="inlineStr">
        <is>
          <t>씨그램 레몬 350P X24</t>
        </is>
      </c>
      <c r="D886" s="256" t="n">
        <v>84</v>
      </c>
      <c r="E886" s="256" t="n">
        <v>182.5</v>
      </c>
      <c r="F886" s="155" t="n">
        <v>365</v>
      </c>
      <c r="G886" s="257" t="n">
        <v>281</v>
      </c>
    </row>
    <row r="887" ht="14.25" customHeight="1" s="237">
      <c r="A887" s="120" t="n">
        <v>4196</v>
      </c>
      <c r="B887" s="120" t="inlineStr">
        <is>
          <t>SG4196</t>
        </is>
      </c>
      <c r="C887" s="124" t="inlineStr">
        <is>
          <t>S)씨그램 레몬350P 4X6</t>
        </is>
      </c>
      <c r="D887" s="256" t="n">
        <v>84</v>
      </c>
      <c r="E887" s="256" t="n">
        <v>182.5</v>
      </c>
      <c r="F887" s="155" t="n">
        <v>365</v>
      </c>
      <c r="G887" s="257" t="n">
        <v>281</v>
      </c>
    </row>
    <row r="888" ht="14.25" customHeight="1" s="237">
      <c r="A888" s="120" t="n">
        <v>4197</v>
      </c>
      <c r="B888" s="120" t="inlineStr">
        <is>
          <t>SG4197</t>
        </is>
      </c>
      <c r="C888" s="124" t="inlineStr">
        <is>
          <t>씨그램 플레인350P 6X4</t>
        </is>
      </c>
      <c r="D888" s="256" t="n">
        <v>84</v>
      </c>
      <c r="E888" s="256" t="n">
        <v>182.5</v>
      </c>
      <c r="F888" s="155" t="n">
        <v>365</v>
      </c>
      <c r="G888" s="257" t="n">
        <v>281</v>
      </c>
    </row>
    <row r="889" ht="14.25" customHeight="1" s="237">
      <c r="A889" s="120" t="n">
        <v>4198</v>
      </c>
      <c r="B889" s="120" t="inlineStr">
        <is>
          <t>SG4198</t>
        </is>
      </c>
      <c r="C889" s="124" t="inlineStr">
        <is>
          <t>씨그램 라임 350P 6X4</t>
        </is>
      </c>
      <c r="D889" s="256" t="n">
        <v>84</v>
      </c>
      <c r="E889" s="256" t="n">
        <v>182.5</v>
      </c>
      <c r="F889" s="155" t="n">
        <v>365</v>
      </c>
      <c r="G889" s="257" t="n">
        <v>281</v>
      </c>
    </row>
    <row r="890" ht="14.25" customHeight="1" s="237">
      <c r="A890" s="120" t="n">
        <v>4199</v>
      </c>
      <c r="B890" s="120" t="inlineStr">
        <is>
          <t>SG4199</t>
        </is>
      </c>
      <c r="C890" s="124" t="inlineStr">
        <is>
          <t>씨그램 레몬 350P 6X4</t>
        </is>
      </c>
      <c r="D890" s="256" t="n">
        <v>84</v>
      </c>
      <c r="E890" s="256" t="n">
        <v>182.5</v>
      </c>
      <c r="F890" s="155" t="n">
        <v>365</v>
      </c>
      <c r="G890" s="257" t="n">
        <v>281</v>
      </c>
    </row>
    <row r="891" ht="14.25" customHeight="1" s="237">
      <c r="A891" s="126" t="n">
        <v>4203</v>
      </c>
      <c r="B891" s="127" t="inlineStr">
        <is>
          <t>SG4203</t>
        </is>
      </c>
      <c r="C891" s="128" t="inlineStr">
        <is>
          <t>씨그램 레몬 C-C 325PET X30</t>
        </is>
      </c>
      <c r="D891" s="256" t="n">
        <v>84</v>
      </c>
      <c r="E891" s="256" t="n">
        <v>182.5</v>
      </c>
      <c r="F891" s="155" t="n">
        <v>365</v>
      </c>
      <c r="G891" s="257" t="n">
        <v>281</v>
      </c>
    </row>
    <row r="892" ht="14.25" customHeight="1" s="237">
      <c r="A892" s="126" t="n">
        <v>4204</v>
      </c>
      <c r="B892" s="127" t="inlineStr">
        <is>
          <t>SG4204</t>
        </is>
      </c>
      <c r="C892" s="128" t="inlineStr">
        <is>
          <t>씨그램 자몽 C-C 325PET X30</t>
        </is>
      </c>
      <c r="D892" s="256" t="n">
        <v>84</v>
      </c>
      <c r="E892" s="256" t="n">
        <v>182.5</v>
      </c>
      <c r="F892" s="155" t="n">
        <v>365</v>
      </c>
      <c r="G892" s="257" t="n">
        <v>281</v>
      </c>
    </row>
    <row r="893" ht="14.25" customHeight="1" s="237">
      <c r="A893" s="120" t="n">
        <v>4221</v>
      </c>
      <c r="B893" s="120" t="inlineStr">
        <is>
          <t>SG4221</t>
        </is>
      </c>
      <c r="C893" s="124" t="inlineStr">
        <is>
          <t>씨그램 라임 355C X24</t>
        </is>
      </c>
      <c r="D893" s="256" t="n">
        <v>182.5</v>
      </c>
      <c r="E893" s="256" t="n">
        <v>182.5</v>
      </c>
      <c r="F893" s="155" t="n">
        <v>365</v>
      </c>
      <c r="G893" s="257" t="n">
        <v>182.5</v>
      </c>
    </row>
    <row r="894" ht="14.25" customHeight="1" s="237">
      <c r="A894" s="120" t="n">
        <v>4222</v>
      </c>
      <c r="B894" s="120" t="inlineStr">
        <is>
          <t>SG4222</t>
        </is>
      </c>
      <c r="C894" s="124" t="inlineStr">
        <is>
          <t>씨그램 레몬 355C X24</t>
        </is>
      </c>
      <c r="D894" s="256" t="n">
        <v>182.5</v>
      </c>
      <c r="E894" s="256" t="n">
        <v>182.5</v>
      </c>
      <c r="F894" s="155" t="n">
        <v>365</v>
      </c>
      <c r="G894" s="257" t="n">
        <v>182.5</v>
      </c>
    </row>
    <row r="895" ht="14.25" customHeight="1" s="237">
      <c r="A895" s="126" t="n">
        <v>4227</v>
      </c>
      <c r="B895" s="127" t="inlineStr">
        <is>
          <t>SG4227</t>
        </is>
      </c>
      <c r="C895" s="128" t="inlineStr">
        <is>
          <t>씨그램 라임 345CAN X24</t>
        </is>
      </c>
      <c r="D895" s="256" t="n">
        <v>182.5</v>
      </c>
      <c r="E895" s="256" t="n">
        <v>182.5</v>
      </c>
      <c r="F895" s="155" t="n">
        <v>365</v>
      </c>
      <c r="G895" s="257" t="n">
        <v>182.5</v>
      </c>
    </row>
    <row r="896" ht="14.25" customHeight="1" s="237">
      <c r="A896" s="126" t="n">
        <v>4230</v>
      </c>
      <c r="B896" s="127" t="inlineStr">
        <is>
          <t>SG4230</t>
        </is>
      </c>
      <c r="C896" s="128" t="inlineStr">
        <is>
          <t>씨그램 미네랄워터 500PET X20</t>
        </is>
      </c>
      <c r="D896" s="256" t="n">
        <v>183</v>
      </c>
      <c r="E896" s="256" t="n">
        <v>182.5</v>
      </c>
      <c r="F896" s="155" t="n">
        <v>365</v>
      </c>
      <c r="G896" s="257" t="n">
        <v>182</v>
      </c>
    </row>
    <row r="897" ht="14.25" customHeight="1" s="237">
      <c r="A897" s="120" t="n">
        <v>4231</v>
      </c>
      <c r="B897" s="120" t="inlineStr">
        <is>
          <t>SG4231</t>
        </is>
      </c>
      <c r="C897" s="124" t="inlineStr">
        <is>
          <t>씨그램　플레인330N X20</t>
        </is>
      </c>
      <c r="D897" s="256" t="n">
        <v>365</v>
      </c>
      <c r="E897" s="256" t="n">
        <v>365</v>
      </c>
      <c r="F897" s="155" t="n">
        <v>730</v>
      </c>
      <c r="G897" s="257" t="n">
        <v>365</v>
      </c>
    </row>
    <row r="898" ht="14.25" customHeight="1" s="237">
      <c r="A898" s="120" t="n">
        <v>4232</v>
      </c>
      <c r="B898" s="120" t="inlineStr">
        <is>
          <t>SG4232</t>
        </is>
      </c>
      <c r="C898" s="124" t="inlineStr">
        <is>
          <t>씨그램　라임　330N X20</t>
        </is>
      </c>
      <c r="D898" s="256" t="n">
        <v>182.5</v>
      </c>
      <c r="E898" s="256" t="n">
        <v>182.5</v>
      </c>
      <c r="F898" s="155" t="n">
        <v>365</v>
      </c>
      <c r="G898" s="257" t="n">
        <v>182.5</v>
      </c>
    </row>
    <row r="899" ht="14.25" customHeight="1" s="237">
      <c r="A899" s="126" t="n">
        <v>4233</v>
      </c>
      <c r="B899" s="127" t="inlineStr">
        <is>
          <t>SG4233</t>
        </is>
      </c>
      <c r="C899" s="128" t="inlineStr">
        <is>
          <t>씨그램 워터 아티스트 500PET X20</t>
        </is>
      </c>
      <c r="D899" s="256" t="n">
        <v>182.5</v>
      </c>
      <c r="E899" s="256" t="n">
        <v>182.5</v>
      </c>
      <c r="F899" s="155" t="n">
        <v>365</v>
      </c>
      <c r="G899" s="257" t="n">
        <v>182.5</v>
      </c>
    </row>
    <row r="900" ht="14.25" customHeight="1" s="237">
      <c r="A900" s="126" t="n">
        <v>4236</v>
      </c>
      <c r="B900" s="127" t="inlineStr">
        <is>
          <t>SG4236</t>
        </is>
      </c>
      <c r="C900" s="128" t="inlineStr">
        <is>
          <t>씨그램 자몽 350PET X24</t>
        </is>
      </c>
      <c r="D900" s="256" t="n">
        <v>182.5</v>
      </c>
      <c r="E900" s="256" t="n">
        <v>182.5</v>
      </c>
      <c r="F900" s="155" t="n">
        <v>365</v>
      </c>
      <c r="G900" s="257" t="n">
        <v>182.5</v>
      </c>
    </row>
    <row r="901" ht="14.25" customHeight="1" s="237">
      <c r="A901" s="126" t="n">
        <v>4242</v>
      </c>
      <c r="B901" s="120" t="inlineStr">
        <is>
          <t>SG4242</t>
        </is>
      </c>
      <c r="C901" s="128" t="inlineStr">
        <is>
          <t>씨그램　라임　250C X30</t>
        </is>
      </c>
      <c r="D901" s="256" t="n">
        <v>183</v>
      </c>
      <c r="E901" s="256" t="n">
        <v>182.5</v>
      </c>
      <c r="F901" s="155" t="n">
        <v>365</v>
      </c>
      <c r="G901" s="257" t="n">
        <v>182</v>
      </c>
    </row>
    <row r="902" ht="14.25" customHeight="1" s="237">
      <c r="A902" s="120" t="n">
        <v>4252</v>
      </c>
      <c r="B902" s="120" t="inlineStr">
        <is>
          <t>SG4252</t>
        </is>
      </c>
      <c r="C902" s="124" t="inlineStr">
        <is>
          <t>온）씨그램레몬350P X20</t>
        </is>
      </c>
      <c r="D902" s="256" t="n">
        <v>182.5</v>
      </c>
      <c r="E902" s="256" t="n">
        <v>182.5</v>
      </c>
      <c r="F902" s="155" t="n">
        <v>365</v>
      </c>
      <c r="G902" s="257" t="n">
        <v>182.5</v>
      </c>
    </row>
    <row r="903" ht="14.25" customHeight="1" s="237">
      <c r="A903" s="120" t="n">
        <v>4253</v>
      </c>
      <c r="B903" s="120" t="inlineStr">
        <is>
          <t>SG4253</t>
        </is>
      </c>
      <c r="C903" s="124" t="inlineStr">
        <is>
          <t>C-C)씨그램레몬350P X24</t>
        </is>
      </c>
      <c r="D903" s="256" t="n">
        <v>182.5</v>
      </c>
      <c r="E903" s="256" t="n">
        <v>182.5</v>
      </c>
      <c r="F903" s="155" t="n">
        <v>365</v>
      </c>
      <c r="G903" s="257" t="n">
        <v>182.5</v>
      </c>
    </row>
    <row r="904" ht="14.25" customHeight="1" s="237">
      <c r="A904" s="120" t="n">
        <v>4254</v>
      </c>
      <c r="B904" s="120" t="inlineStr">
        <is>
          <t>SG4254</t>
        </is>
      </c>
      <c r="C904" s="124" t="inlineStr">
        <is>
          <t>온）씨그램플레인350P X20</t>
        </is>
      </c>
      <c r="D904" s="256" t="n">
        <v>182.5</v>
      </c>
      <c r="E904" s="256" t="n">
        <v>182.5</v>
      </c>
      <c r="F904" s="155" t="n">
        <v>365</v>
      </c>
      <c r="G904" s="257" t="n">
        <v>182.5</v>
      </c>
    </row>
    <row r="905" ht="14.25" customHeight="1" s="237">
      <c r="A905" s="126" t="n">
        <v>4261</v>
      </c>
      <c r="B905" s="127" t="inlineStr">
        <is>
          <t>SG4261</t>
        </is>
      </c>
      <c r="C905" s="128" t="inlineStr">
        <is>
          <t>씨그램  플레인   450X24</t>
        </is>
      </c>
      <c r="D905" s="256" t="n">
        <v>84</v>
      </c>
      <c r="E905" s="256" t="n">
        <v>182.5</v>
      </c>
      <c r="F905" s="155" t="n">
        <v>365</v>
      </c>
      <c r="G905" s="257" t="n">
        <v>281</v>
      </c>
    </row>
    <row r="906" ht="14.25" customHeight="1" s="237">
      <c r="A906" s="126" t="n">
        <v>4262</v>
      </c>
      <c r="B906" s="127" t="inlineStr">
        <is>
          <t>SG4262</t>
        </is>
      </c>
      <c r="C906" s="128" t="inlineStr">
        <is>
          <t>씨그램  라임 450X24</t>
        </is>
      </c>
      <c r="D906" s="256" t="n">
        <v>84</v>
      </c>
      <c r="E906" s="256" t="n">
        <v>182.5</v>
      </c>
      <c r="F906" s="155" t="n">
        <v>365</v>
      </c>
      <c r="G906" s="257" t="n">
        <v>281</v>
      </c>
    </row>
    <row r="907" ht="14.25" customHeight="1" s="237">
      <c r="A907" s="126" t="n">
        <v>4263</v>
      </c>
      <c r="B907" s="127" t="inlineStr">
        <is>
          <t>SG4263</t>
        </is>
      </c>
      <c r="C907" s="128" t="inlineStr">
        <is>
          <t>씨그램  레몬향   450X24</t>
        </is>
      </c>
      <c r="D907" s="256" t="n">
        <v>84</v>
      </c>
      <c r="E907" s="256" t="n">
        <v>182.5</v>
      </c>
      <c r="F907" s="155" t="n">
        <v>365</v>
      </c>
      <c r="G907" s="257" t="n">
        <v>281</v>
      </c>
    </row>
    <row r="908" ht="14.25" customHeight="1" s="237">
      <c r="A908" s="126" t="n">
        <v>4370</v>
      </c>
      <c r="B908" s="127" t="inlineStr">
        <is>
          <t>SG4370</t>
        </is>
      </c>
      <c r="C908" s="128" t="inlineStr">
        <is>
          <t>씨그램 미네랄워터 On-P용 300PET X20</t>
        </is>
      </c>
      <c r="D908" s="256" t="n">
        <v>183</v>
      </c>
      <c r="E908" s="256" t="n">
        <v>182.5</v>
      </c>
      <c r="F908" s="155" t="n">
        <v>365</v>
      </c>
      <c r="G908" s="257" t="n">
        <v>182</v>
      </c>
    </row>
    <row r="909" ht="14.25" customHeight="1" s="237">
      <c r="A909" s="126" t="n">
        <v>4372</v>
      </c>
      <c r="B909" s="127" t="inlineStr">
        <is>
          <t>SG4372</t>
        </is>
      </c>
      <c r="C909" s="128" t="inlineStr">
        <is>
          <t>씨그램 미네랄워터 On-P용 500PET X20</t>
        </is>
      </c>
      <c r="D909" s="256" t="n">
        <v>183</v>
      </c>
      <c r="E909" s="256" t="n">
        <v>182.5</v>
      </c>
      <c r="F909" s="155" t="n">
        <v>365</v>
      </c>
      <c r="G909" s="257" t="n">
        <v>182</v>
      </c>
    </row>
    <row r="910" ht="14.25" customHeight="1" s="237">
      <c r="A910" s="126" t="n">
        <v>4374</v>
      </c>
      <c r="B910" s="127" t="inlineStr">
        <is>
          <t>SG4374</t>
        </is>
      </c>
      <c r="C910" s="128" t="inlineStr">
        <is>
          <t>씨그램 미네랄워터 On-P용 2.0PET X6</t>
        </is>
      </c>
      <c r="D910" s="256" t="n">
        <v>183</v>
      </c>
      <c r="E910" s="256" t="n">
        <v>182.5</v>
      </c>
      <c r="F910" s="155" t="n">
        <v>365</v>
      </c>
      <c r="G910" s="257" t="n">
        <v>182</v>
      </c>
    </row>
    <row r="911" ht="14.25" customHeight="1" s="237">
      <c r="A911" s="126" t="n">
        <v>4375</v>
      </c>
      <c r="B911" s="127" t="inlineStr">
        <is>
          <t>SG4375</t>
        </is>
      </c>
      <c r="C911" s="128" t="inlineStr">
        <is>
          <t>씨그램 미네랄워터 On-P용 2.0PET X9</t>
        </is>
      </c>
      <c r="D911" s="256" t="n">
        <v>183</v>
      </c>
      <c r="E911" s="256" t="n">
        <v>182.5</v>
      </c>
      <c r="F911" s="155" t="n">
        <v>365</v>
      </c>
      <c r="G911" s="257" t="n">
        <v>182</v>
      </c>
    </row>
    <row r="912" ht="14.25" customHeight="1" s="237">
      <c r="A912" s="126" t="n">
        <v>4383</v>
      </c>
      <c r="B912" s="127" t="inlineStr">
        <is>
          <t>SG4383</t>
        </is>
      </c>
      <c r="C912" s="128" t="inlineStr">
        <is>
          <t>씨그램 더탄산 레몬 450PET 4X6</t>
        </is>
      </c>
      <c r="D912" s="256" t="n">
        <v>182.5</v>
      </c>
      <c r="E912" s="256" t="n">
        <v>182.5</v>
      </c>
      <c r="F912" s="155" t="n">
        <v>365</v>
      </c>
      <c r="G912" s="257" t="n">
        <v>182.5</v>
      </c>
    </row>
    <row r="913" ht="14.25" customHeight="1" s="237">
      <c r="A913" s="126" t="n">
        <v>4384</v>
      </c>
      <c r="B913" s="127" t="inlineStr">
        <is>
          <t>SG4384</t>
        </is>
      </c>
      <c r="C913" s="128" t="inlineStr">
        <is>
          <t>씨그램 더탄산 애플민트 450PET 4X6</t>
        </is>
      </c>
      <c r="D913" s="256" t="n">
        <v>182.5</v>
      </c>
      <c r="E913" s="256" t="n">
        <v>182.5</v>
      </c>
      <c r="F913" s="155" t="n">
        <v>365</v>
      </c>
      <c r="G913" s="257" t="n">
        <v>182.5</v>
      </c>
    </row>
    <row r="914" ht="14.25" customHeight="1" s="237">
      <c r="A914" s="126" t="n">
        <v>4435</v>
      </c>
      <c r="B914" s="127" t="inlineStr">
        <is>
          <t>SG4435</t>
        </is>
      </c>
      <c r="C914" s="128" t="inlineStr">
        <is>
          <t>씨그램 라임 홈플 350PET X24</t>
        </is>
      </c>
      <c r="D914" s="256" t="n">
        <v>182.5</v>
      </c>
      <c r="E914" s="256" t="n">
        <v>182.5</v>
      </c>
      <c r="F914" s="155" t="n">
        <v>365</v>
      </c>
      <c r="G914" s="257" t="n">
        <v>182.5</v>
      </c>
    </row>
    <row r="915" ht="14.25" customHeight="1" s="237">
      <c r="A915" s="126" t="n">
        <v>4436</v>
      </c>
      <c r="B915" s="127" t="inlineStr">
        <is>
          <t>SG4436</t>
        </is>
      </c>
      <c r="C915" s="128" t="inlineStr">
        <is>
          <t>씨그램 레몬 홈플 350PET X24</t>
        </is>
      </c>
      <c r="D915" s="256" t="n">
        <v>182.5</v>
      </c>
      <c r="E915" s="256" t="n">
        <v>182.5</v>
      </c>
      <c r="F915" s="155" t="n">
        <v>365</v>
      </c>
      <c r="G915" s="257" t="n">
        <v>182.5</v>
      </c>
    </row>
    <row r="916" ht="14.25" customHeight="1" s="237">
      <c r="A916" s="126" t="n">
        <v>4441</v>
      </c>
      <c r="B916" s="127" t="inlineStr">
        <is>
          <t>SG4441</t>
        </is>
      </c>
      <c r="C916" s="128" t="inlineStr">
        <is>
          <t>S)씨그램 애플 350PET 4X6</t>
        </is>
      </c>
      <c r="D916" s="256" t="n">
        <v>182.5</v>
      </c>
      <c r="E916" s="256" t="n">
        <v>182.5</v>
      </c>
      <c r="F916" s="155" t="n">
        <v>365</v>
      </c>
      <c r="G916" s="257" t="n">
        <v>182.5</v>
      </c>
    </row>
    <row r="917" ht="14.25" customHeight="1" s="237">
      <c r="A917" s="126" t="n">
        <v>4463</v>
      </c>
      <c r="B917" s="127" t="inlineStr">
        <is>
          <t>SG4463</t>
        </is>
      </c>
      <c r="C917" s="128" t="inlineStr">
        <is>
          <t>S)씨그램 피치 350PET 4X6</t>
        </is>
      </c>
      <c r="D917" s="256" t="n">
        <v>183</v>
      </c>
      <c r="E917" s="256" t="n">
        <v>182.5</v>
      </c>
      <c r="F917" s="155" t="n">
        <v>365</v>
      </c>
      <c r="G917" s="257" t="n">
        <v>182</v>
      </c>
    </row>
    <row r="918" ht="14.25" customHeight="1" s="237">
      <c r="A918" s="120" t="n">
        <v>2872</v>
      </c>
      <c r="B918" s="120" t="inlineStr">
        <is>
          <t>SK2872</t>
        </is>
      </c>
      <c r="C918" s="124" t="inlineStr">
        <is>
          <t>SK체리에이드350PET X24</t>
        </is>
      </c>
      <c r="D918" s="256" t="n">
        <v>136.5</v>
      </c>
      <c r="E918" s="256" t="n">
        <v>136.5</v>
      </c>
      <c r="F918" s="155" t="n">
        <v>273</v>
      </c>
      <c r="G918" s="257" t="n">
        <v>136.5</v>
      </c>
    </row>
    <row r="919" ht="14.25" customHeight="1" s="237">
      <c r="A919" s="120" t="n">
        <v>3026</v>
      </c>
      <c r="B919" s="120" t="inlineStr">
        <is>
          <t>SK3026</t>
        </is>
      </c>
      <c r="C919" s="124" t="inlineStr">
        <is>
          <t>SK스위티에이드350P X24</t>
        </is>
      </c>
      <c r="D919" s="256" t="n">
        <v>136.5</v>
      </c>
      <c r="E919" s="256" t="n">
        <v>136.5</v>
      </c>
      <c r="F919" s="155" t="n">
        <v>273</v>
      </c>
      <c r="G919" s="257" t="n">
        <v>136.5</v>
      </c>
    </row>
    <row r="920" ht="14.25" customHeight="1" s="237">
      <c r="A920" s="120" t="n">
        <v>3033</v>
      </c>
      <c r="B920" s="120" t="inlineStr">
        <is>
          <t>SK3033</t>
        </is>
      </c>
      <c r="C920" s="124" t="inlineStr">
        <is>
          <t>SKV밸런오렌+야채350P 4X6</t>
        </is>
      </c>
      <c r="D920" s="256" t="n">
        <v>182.5</v>
      </c>
      <c r="E920" s="256" t="n">
        <v>182.5</v>
      </c>
      <c r="F920" s="155" t="n">
        <v>365</v>
      </c>
      <c r="G920" s="257" t="n">
        <v>182.5</v>
      </c>
    </row>
    <row r="921" ht="14.25" customHeight="1" s="237">
      <c r="A921" s="126" t="n">
        <v>3066</v>
      </c>
      <c r="B921" s="127" t="inlineStr">
        <is>
          <t>SK3066</t>
        </is>
      </c>
      <c r="C921" s="128" t="inlineStr">
        <is>
          <t>SK칵테일블루하와이180C X30</t>
        </is>
      </c>
      <c r="D921" s="256" t="n">
        <v>365</v>
      </c>
      <c r="E921" s="256" t="n">
        <v>365</v>
      </c>
      <c r="F921" s="155" t="n">
        <v>730</v>
      </c>
      <c r="G921" s="257" t="n">
        <v>365</v>
      </c>
    </row>
    <row r="922" ht="14.25" customHeight="1" s="237">
      <c r="A922" s="126" t="n">
        <v>3088</v>
      </c>
      <c r="B922" s="127" t="inlineStr">
        <is>
          <t>SK3088</t>
        </is>
      </c>
      <c r="C922" s="128" t="inlineStr">
        <is>
          <t>SK 자몽소다(New) 355CAN X24</t>
        </is>
      </c>
      <c r="D922" s="256" t="n">
        <v>365</v>
      </c>
      <c r="E922" s="256" t="n">
        <v>365</v>
      </c>
      <c r="F922" s="155" t="n">
        <v>730</v>
      </c>
      <c r="G922" s="257" t="n">
        <v>365</v>
      </c>
    </row>
    <row r="923" ht="14.25" customHeight="1" s="237">
      <c r="A923" s="126" t="n">
        <v>3089</v>
      </c>
      <c r="B923" s="127" t="inlineStr">
        <is>
          <t>SK3089</t>
        </is>
      </c>
      <c r="C923" s="128" t="inlineStr">
        <is>
          <t>SK 키즈사과 210PET X20</t>
        </is>
      </c>
      <c r="D923" s="256" t="n">
        <v>182.5</v>
      </c>
      <c r="E923" s="256" t="n">
        <v>182.5</v>
      </c>
      <c r="F923" s="155" t="n">
        <v>365</v>
      </c>
      <c r="G923" s="257" t="n">
        <v>182.5</v>
      </c>
    </row>
    <row r="924" ht="14.25" customHeight="1" s="237">
      <c r="A924" s="126" t="n">
        <v>3109</v>
      </c>
      <c r="B924" s="127" t="inlineStr">
        <is>
          <t>SK3109</t>
        </is>
      </c>
      <c r="C924" s="128" t="inlineStr">
        <is>
          <t>SK 허니자몽 240CAN X30</t>
        </is>
      </c>
      <c r="D924" s="256" t="n">
        <v>365</v>
      </c>
      <c r="E924" s="256" t="n">
        <v>365</v>
      </c>
      <c r="F924" s="155" t="n">
        <v>730</v>
      </c>
      <c r="G924" s="257" t="n">
        <v>365</v>
      </c>
    </row>
    <row r="925" ht="14.25" customHeight="1" s="237">
      <c r="A925" s="126" t="n">
        <v>3120</v>
      </c>
      <c r="B925" s="127" t="inlineStr">
        <is>
          <t>SK3120</t>
        </is>
      </c>
      <c r="C925" s="128" t="inlineStr">
        <is>
          <t>SK 보리탄산 250CAN X30</t>
        </is>
      </c>
      <c r="D925" s="256" t="n">
        <v>365</v>
      </c>
      <c r="E925" s="256" t="n">
        <v>365</v>
      </c>
      <c r="F925" s="155" t="n">
        <v>730</v>
      </c>
      <c r="G925" s="257" t="n">
        <v>365</v>
      </c>
    </row>
    <row r="926" ht="14.25" customHeight="1" s="237">
      <c r="A926" s="120" t="n">
        <v>3886</v>
      </c>
      <c r="B926" s="120" t="inlineStr">
        <is>
          <t>SK3886</t>
        </is>
      </c>
      <c r="C926" s="124" t="inlineStr">
        <is>
          <t>썬키스트 알로에180C X30</t>
        </is>
      </c>
      <c r="D926" s="256" t="n">
        <v>365</v>
      </c>
      <c r="E926" s="256" t="n">
        <v>365</v>
      </c>
      <c r="F926" s="155" t="n">
        <v>730</v>
      </c>
      <c r="G926" s="257" t="n">
        <v>365</v>
      </c>
    </row>
    <row r="927" ht="14.25" customHeight="1" s="237">
      <c r="A927" s="126" t="n">
        <v>3901</v>
      </c>
      <c r="B927" s="127" t="inlineStr">
        <is>
          <t>SK3901</t>
        </is>
      </c>
      <c r="C927" s="128" t="inlineStr">
        <is>
          <t>SK칵테일샤인더비치350P X24</t>
        </is>
      </c>
      <c r="D927" s="256" t="n">
        <v>182.5</v>
      </c>
      <c r="E927" s="256" t="n">
        <v>182.5</v>
      </c>
      <c r="F927" s="155" t="n">
        <v>365</v>
      </c>
      <c r="G927" s="257" t="n">
        <v>182.5</v>
      </c>
    </row>
    <row r="928" ht="14.25" customHeight="1" s="237">
      <c r="A928" s="120" t="n">
        <v>3911</v>
      </c>
      <c r="B928" s="120" t="inlineStr">
        <is>
          <t>SK3911</t>
        </is>
      </c>
      <c r="C928" s="124" t="inlineStr">
        <is>
          <t>SK후레쉬JB OR100 1.5PX12</t>
        </is>
      </c>
      <c r="D928" s="256" t="n">
        <v>136.5</v>
      </c>
      <c r="E928" s="256" t="n">
        <v>136.5</v>
      </c>
      <c r="F928" s="155" t="n">
        <v>273</v>
      </c>
      <c r="G928" s="257" t="n">
        <v>136.5</v>
      </c>
    </row>
    <row r="929" ht="14.25" customHeight="1" s="237">
      <c r="A929" s="120" t="n">
        <v>3917</v>
      </c>
      <c r="B929" s="120" t="inlineStr">
        <is>
          <t>SK3917</t>
        </is>
      </c>
      <c r="C929" s="124" t="inlineStr">
        <is>
          <t>SK후레쉬JB OR100 2.0P X6</t>
        </is>
      </c>
      <c r="D929" s="256" t="n">
        <v>136.5</v>
      </c>
      <c r="E929" s="256" t="n">
        <v>136.5</v>
      </c>
      <c r="F929" s="155" t="n">
        <v>273</v>
      </c>
      <c r="G929" s="257" t="n">
        <v>136.5</v>
      </c>
    </row>
    <row r="930" ht="14.25" customHeight="1" s="237">
      <c r="A930" s="120" t="n">
        <v>3921</v>
      </c>
      <c r="B930" s="120" t="inlineStr">
        <is>
          <t>SK3921</t>
        </is>
      </c>
      <c r="C930" s="124" t="inlineStr">
        <is>
          <t>SK칵테일블루하와이350P X24</t>
        </is>
      </c>
      <c r="D930" s="256" t="n">
        <v>182.5</v>
      </c>
      <c r="E930" s="256" t="n">
        <v>182.5</v>
      </c>
      <c r="F930" s="155" t="n">
        <v>365</v>
      </c>
      <c r="G930" s="257" t="n">
        <v>182.5</v>
      </c>
    </row>
    <row r="931" ht="14.25" customHeight="1" s="237">
      <c r="A931" s="120" t="n">
        <v>3923</v>
      </c>
      <c r="B931" s="120" t="inlineStr">
        <is>
          <t>SK3923</t>
        </is>
      </c>
      <c r="C931" s="124" t="inlineStr">
        <is>
          <t>SK칵테일샤인더비치350P 4X6</t>
        </is>
      </c>
      <c r="D931" s="256" t="n">
        <v>182.5</v>
      </c>
      <c r="E931" s="256" t="n">
        <v>182.5</v>
      </c>
      <c r="F931" s="155" t="n">
        <v>365</v>
      </c>
      <c r="G931" s="257" t="n">
        <v>182.5</v>
      </c>
    </row>
    <row r="932" ht="14.25" customHeight="1" s="237">
      <c r="A932" s="126" t="n">
        <v>3933</v>
      </c>
      <c r="B932" s="127" t="inlineStr">
        <is>
          <t>SK3933</t>
        </is>
      </c>
      <c r="C932" s="128" t="inlineStr">
        <is>
          <t>SK 망고드링크 180CAN X30</t>
        </is>
      </c>
      <c r="D932" s="256" t="n">
        <v>182.5</v>
      </c>
      <c r="E932" s="256" t="n">
        <v>182.5</v>
      </c>
      <c r="F932" s="155" t="n">
        <v>365</v>
      </c>
      <c r="G932" s="257" t="n">
        <v>182.5</v>
      </c>
    </row>
    <row r="933" ht="14.25" customHeight="1" s="237">
      <c r="A933" s="120" t="n">
        <v>3953</v>
      </c>
      <c r="B933" s="120" t="inlineStr">
        <is>
          <t>SK3953</t>
        </is>
      </c>
      <c r="C933" s="124" t="inlineStr">
        <is>
          <t>SK모과생강 280NRB X20</t>
        </is>
      </c>
      <c r="D933" s="256" t="n">
        <v>182.5</v>
      </c>
      <c r="E933" s="256" t="n">
        <v>182.5</v>
      </c>
      <c r="F933" s="155" t="n">
        <v>365</v>
      </c>
      <c r="G933" s="257" t="n">
        <v>182.5</v>
      </c>
      <c r="I933" s="131" t="inlineStr">
        <is>
          <t>연장18개월</t>
        </is>
      </c>
    </row>
    <row r="934" ht="14.25" customHeight="1" s="237">
      <c r="A934" s="120" t="n">
        <v>3972</v>
      </c>
      <c r="B934" s="120" t="inlineStr">
        <is>
          <t>SK3972</t>
        </is>
      </c>
      <c r="C934" s="124" t="inlineStr">
        <is>
          <t>SK키즈 딸기210P X20</t>
        </is>
      </c>
      <c r="D934" s="256" t="n">
        <v>182.5</v>
      </c>
      <c r="E934" s="256" t="n">
        <v>182.5</v>
      </c>
      <c r="F934" s="155" t="n">
        <v>365</v>
      </c>
      <c r="G934" s="257" t="n">
        <v>182.5</v>
      </c>
      <c r="I934" s="131" t="inlineStr">
        <is>
          <t>연장18개월</t>
        </is>
      </c>
    </row>
    <row r="935" ht="14.25" customHeight="1" s="237">
      <c r="A935" s="120" t="n">
        <v>3983</v>
      </c>
      <c r="B935" s="120" t="inlineStr">
        <is>
          <t>SK3983</t>
        </is>
      </c>
      <c r="C935" s="124" t="inlineStr">
        <is>
          <t>SK키즈포도겨울왕국210PX20</t>
        </is>
      </c>
      <c r="D935" s="256" t="n">
        <v>182.5</v>
      </c>
      <c r="E935" s="256" t="n">
        <v>182.5</v>
      </c>
      <c r="F935" s="155" t="n">
        <v>365</v>
      </c>
      <c r="G935" s="257" t="n">
        <v>182.5</v>
      </c>
    </row>
    <row r="936" ht="14.25" customHeight="1" s="237">
      <c r="A936" s="120" t="n">
        <v>3989</v>
      </c>
      <c r="B936" s="120" t="inlineStr">
        <is>
          <t>SK3989</t>
        </is>
      </c>
      <c r="C936" s="124" t="inlineStr">
        <is>
          <t>썬키스트 배 180C X30</t>
        </is>
      </c>
      <c r="D936" s="256" t="n">
        <v>365</v>
      </c>
      <c r="E936" s="256" t="n">
        <v>365</v>
      </c>
      <c r="F936" s="155" t="n">
        <v>730</v>
      </c>
      <c r="G936" s="257" t="n">
        <v>365</v>
      </c>
    </row>
    <row r="937" ht="14.25" customHeight="1" s="237">
      <c r="A937" s="126" t="n">
        <v>3993</v>
      </c>
      <c r="B937" s="127" t="inlineStr">
        <is>
          <t>SK3993</t>
        </is>
      </c>
      <c r="C937" s="128" t="inlineStr">
        <is>
          <t>SK 멜론소다 355CAN 4X6</t>
        </is>
      </c>
      <c r="D937" s="256" t="n">
        <v>365</v>
      </c>
      <c r="E937" s="256" t="n">
        <v>365</v>
      </c>
      <c r="F937" s="155" t="n">
        <v>730</v>
      </c>
      <c r="G937" s="257" t="n">
        <v>365</v>
      </c>
    </row>
    <row r="938" ht="14.25" customHeight="1" s="237">
      <c r="A938" s="126" t="n">
        <v>4223</v>
      </c>
      <c r="B938" s="127" t="inlineStr">
        <is>
          <t>SK4223</t>
        </is>
      </c>
      <c r="C938" s="128" t="inlineStr">
        <is>
          <t>SK리얼에이드자몽340P X24</t>
        </is>
      </c>
      <c r="D938" s="256" t="n">
        <v>182.5</v>
      </c>
      <c r="E938" s="256" t="n">
        <v>182.5</v>
      </c>
      <c r="F938" s="155" t="n">
        <v>365</v>
      </c>
      <c r="G938" s="257" t="n">
        <v>182.5</v>
      </c>
    </row>
    <row r="939" ht="14.25" customHeight="1" s="237">
      <c r="A939" s="126" t="n">
        <v>4237</v>
      </c>
      <c r="B939" s="127" t="inlineStr">
        <is>
          <t>SK4237</t>
        </is>
      </c>
      <c r="C939" s="128" t="inlineStr">
        <is>
          <t>SK 멜론소다(New) 350PET X24</t>
        </is>
      </c>
      <c r="D939" s="256" t="n">
        <v>182.5</v>
      </c>
      <c r="E939" s="256" t="n">
        <v>182.5</v>
      </c>
      <c r="F939" s="155" t="n">
        <v>365</v>
      </c>
      <c r="G939" s="257" t="n">
        <v>182.5</v>
      </c>
    </row>
    <row r="940" ht="14.25" customHeight="1" s="237">
      <c r="A940" s="126" t="n">
        <v>4238</v>
      </c>
      <c r="B940" s="127" t="inlineStr">
        <is>
          <t>SK4238</t>
        </is>
      </c>
      <c r="C940" s="128" t="inlineStr">
        <is>
          <t>신SK자몽소다350P X24</t>
        </is>
      </c>
      <c r="D940" s="256" t="n">
        <v>182.5</v>
      </c>
      <c r="E940" s="256" t="n">
        <v>182.5</v>
      </c>
      <c r="F940" s="155" t="n">
        <v>365</v>
      </c>
      <c r="G940" s="257" t="n">
        <v>182.5</v>
      </c>
    </row>
    <row r="941" ht="14.25" customHeight="1" s="237">
      <c r="A941" s="120" t="n">
        <v>4239</v>
      </c>
      <c r="B941" s="120" t="inlineStr">
        <is>
          <t>SK4239</t>
        </is>
      </c>
      <c r="C941" s="124" t="inlineStr">
        <is>
          <t>SK리얼에이드자몽340P 4X6</t>
        </is>
      </c>
      <c r="D941" s="256" t="n">
        <v>182.5</v>
      </c>
      <c r="E941" s="256" t="n">
        <v>182.5</v>
      </c>
      <c r="F941" s="155" t="n">
        <v>365</v>
      </c>
      <c r="G941" s="257" t="n">
        <v>182.5</v>
      </c>
    </row>
    <row r="942" ht="14.25" customHeight="1" s="237">
      <c r="A942" s="120" t="n">
        <v>4266</v>
      </c>
      <c r="B942" s="120" t="inlineStr">
        <is>
          <t>SK4266</t>
        </is>
      </c>
      <c r="C942" s="124" t="inlineStr">
        <is>
          <t>SK블루하와이저칼340C X24</t>
        </is>
      </c>
      <c r="D942" s="256" t="n">
        <v>365</v>
      </c>
      <c r="E942" s="256" t="n">
        <v>365</v>
      </c>
      <c r="F942" s="155" t="n">
        <v>730</v>
      </c>
      <c r="G942" s="257" t="n">
        <v>365</v>
      </c>
    </row>
    <row r="943" ht="14.25" customHeight="1" s="237">
      <c r="A943" s="120" t="n">
        <v>4267</v>
      </c>
      <c r="B943" s="120" t="inlineStr">
        <is>
          <t>SK4267</t>
        </is>
      </c>
      <c r="C943" s="124" t="inlineStr">
        <is>
          <t>SK샤인더비치저칼340C X24</t>
        </is>
      </c>
      <c r="D943" s="256" t="n">
        <v>365</v>
      </c>
      <c r="E943" s="256" t="n">
        <v>365</v>
      </c>
      <c r="F943" s="155" t="n">
        <v>730</v>
      </c>
      <c r="G943" s="257" t="n">
        <v>365</v>
      </c>
    </row>
    <row r="944" ht="14.25" customHeight="1" s="237">
      <c r="A944" s="120" t="n">
        <v>4293</v>
      </c>
      <c r="B944" s="120" t="inlineStr">
        <is>
          <t>SK4293</t>
        </is>
      </c>
      <c r="C944" s="124" t="inlineStr">
        <is>
          <t>신SK자몽소다350P 4X6</t>
        </is>
      </c>
      <c r="D944" s="256" t="n">
        <v>182.5</v>
      </c>
      <c r="E944" s="256" t="n">
        <v>182.5</v>
      </c>
      <c r="F944" s="155" t="n">
        <v>365</v>
      </c>
      <c r="G944" s="257" t="n">
        <v>182.5</v>
      </c>
      <c r="I944" s="131" t="inlineStr">
        <is>
          <t>연장18개월</t>
        </is>
      </c>
    </row>
    <row r="945" ht="14.25" customHeight="1" s="237">
      <c r="A945" s="120" t="n">
        <v>4606</v>
      </c>
      <c r="B945" s="120" t="inlineStr">
        <is>
          <t>SK4606</t>
        </is>
      </c>
      <c r="C945" s="124" t="inlineStr">
        <is>
          <t>썬키스트 망고 180C X30</t>
        </is>
      </c>
      <c r="D945" s="256" t="n">
        <v>225</v>
      </c>
      <c r="E945" s="256" t="n">
        <v>225</v>
      </c>
      <c r="F945" s="155" t="n">
        <v>450</v>
      </c>
      <c r="G945" s="257" t="n">
        <v>225</v>
      </c>
      <c r="I945" s="131" t="inlineStr">
        <is>
          <t>연장18개월</t>
        </is>
      </c>
    </row>
    <row r="946" ht="14.25" customHeight="1" s="237">
      <c r="A946" s="120" t="n">
        <v>4640</v>
      </c>
      <c r="B946" s="120" t="inlineStr">
        <is>
          <t>SK4640</t>
        </is>
      </c>
      <c r="C946" s="124" t="inlineStr">
        <is>
          <t>SK레몬에이드350PET X24</t>
        </is>
      </c>
      <c r="D946" s="256" t="n">
        <v>182.5</v>
      </c>
      <c r="E946" s="256" t="n">
        <v>182.5</v>
      </c>
      <c r="F946" s="155" t="n">
        <v>365</v>
      </c>
      <c r="G946" s="257" t="n">
        <v>182.5</v>
      </c>
    </row>
    <row r="947" ht="14.25" customHeight="1" s="237">
      <c r="A947" s="120" t="n">
        <v>4641</v>
      </c>
      <c r="B947" s="120" t="inlineStr">
        <is>
          <t>SK4641</t>
        </is>
      </c>
      <c r="C947" s="124" t="inlineStr">
        <is>
          <t>SK레몬에이드240CAN X30</t>
        </is>
      </c>
      <c r="D947" s="256" t="n">
        <v>365</v>
      </c>
      <c r="E947" s="256" t="n">
        <v>365</v>
      </c>
      <c r="F947" s="155" t="n">
        <v>730</v>
      </c>
      <c r="G947" s="257" t="n">
        <v>365</v>
      </c>
    </row>
    <row r="948" ht="14.25" customHeight="1" s="237">
      <c r="A948" s="126" t="n">
        <v>4645</v>
      </c>
      <c r="B948" s="127" t="inlineStr">
        <is>
          <t>SK4645</t>
        </is>
      </c>
      <c r="C948" s="128" t="inlineStr">
        <is>
          <t>SK 레몬에이드 240CAN 5X6</t>
        </is>
      </c>
      <c r="D948" s="256" t="n">
        <v>365</v>
      </c>
      <c r="E948" s="256" t="n">
        <v>365</v>
      </c>
      <c r="F948" s="155" t="n">
        <v>730</v>
      </c>
      <c r="G948" s="257" t="n">
        <v>365</v>
      </c>
    </row>
    <row r="949" ht="14.25" customHeight="1" s="237">
      <c r="A949" s="120" t="n">
        <v>4673</v>
      </c>
      <c r="B949" s="120" t="inlineStr">
        <is>
          <t>SK4673</t>
        </is>
      </c>
      <c r="C949" s="124" t="inlineStr">
        <is>
          <t>SK오렌지드링크240CAN X30</t>
        </is>
      </c>
      <c r="D949" s="256" t="n">
        <v>182.5</v>
      </c>
      <c r="E949" s="256" t="n">
        <v>182.5</v>
      </c>
      <c r="F949" s="155" t="n">
        <v>365</v>
      </c>
      <c r="G949" s="257" t="n">
        <v>182.5</v>
      </c>
    </row>
    <row r="950" ht="14.25" customHeight="1" s="237">
      <c r="A950" s="120" t="n">
        <v>4674</v>
      </c>
      <c r="B950" s="120" t="inlineStr">
        <is>
          <t>SK4674</t>
        </is>
      </c>
      <c r="C950" s="124" t="inlineStr">
        <is>
          <t>SK포도드링크240CAN X30</t>
        </is>
      </c>
      <c r="D950" s="256" t="n">
        <v>182.5</v>
      </c>
      <c r="E950" s="256" t="n">
        <v>182.5</v>
      </c>
      <c r="F950" s="155" t="n">
        <v>365</v>
      </c>
      <c r="G950" s="257" t="n">
        <v>182.5</v>
      </c>
    </row>
    <row r="951" ht="14.25" customHeight="1" s="237">
      <c r="A951" s="120" t="n">
        <v>4683</v>
      </c>
      <c r="B951" s="120" t="inlineStr">
        <is>
          <t>SK4683</t>
        </is>
      </c>
      <c r="C951" s="124" t="inlineStr">
        <is>
          <t>SK머스켓 240CAN X30</t>
        </is>
      </c>
      <c r="D951" s="256" t="n">
        <v>182.5</v>
      </c>
      <c r="E951" s="256" t="n">
        <v>182.5</v>
      </c>
      <c r="F951" s="155" t="n">
        <v>365</v>
      </c>
      <c r="G951" s="257" t="n">
        <v>182.5</v>
      </c>
    </row>
    <row r="952" ht="14.25" customHeight="1" s="237">
      <c r="A952" s="120" t="n">
        <v>4687</v>
      </c>
      <c r="B952" s="120" t="inlineStr">
        <is>
          <t>SK4687</t>
        </is>
      </c>
      <c r="C952" s="124" t="inlineStr">
        <is>
          <t>SK사과드링크240CAN X30</t>
        </is>
      </c>
      <c r="D952" s="256" t="n">
        <v>182.5</v>
      </c>
      <c r="E952" s="256" t="n">
        <v>182.5</v>
      </c>
      <c r="F952" s="155" t="n">
        <v>365</v>
      </c>
      <c r="G952" s="257" t="n">
        <v>182.5</v>
      </c>
    </row>
    <row r="953" ht="14.25" customHeight="1" s="237">
      <c r="A953" s="120" t="n">
        <v>4763</v>
      </c>
      <c r="B953" s="120" t="inlineStr">
        <is>
          <t>SK4763</t>
        </is>
      </c>
      <c r="C953" s="124" t="inlineStr">
        <is>
          <t>SK허니유자 280NRB X20</t>
        </is>
      </c>
      <c r="D953" s="256" t="n">
        <v>225</v>
      </c>
      <c r="E953" s="256" t="n">
        <v>225</v>
      </c>
      <c r="F953" s="155" t="n">
        <v>450</v>
      </c>
      <c r="G953" s="257" t="n">
        <v>225</v>
      </c>
    </row>
    <row r="954" ht="14.25" customHeight="1" s="237">
      <c r="A954" s="120" t="n">
        <v>4954</v>
      </c>
      <c r="B954" s="120" t="inlineStr">
        <is>
          <t>SK4954</t>
        </is>
      </c>
      <c r="C954" s="124" t="inlineStr">
        <is>
          <t>SK훼미리MV AP100 180N 3X12</t>
        </is>
      </c>
      <c r="D954" s="256" t="n">
        <v>136.5</v>
      </c>
      <c r="E954" s="256" t="n">
        <v>136.5</v>
      </c>
      <c r="F954" s="155" t="n">
        <v>273</v>
      </c>
      <c r="G954" s="257" t="n">
        <v>136.5</v>
      </c>
    </row>
    <row r="955" ht="14.25" customHeight="1" s="237">
      <c r="A955" s="120" t="n">
        <v>4964</v>
      </c>
      <c r="B955" s="120" t="inlineStr">
        <is>
          <t>SK4964</t>
        </is>
      </c>
      <c r="C955" s="124" t="inlineStr">
        <is>
          <t>S)SK볼트에너지블루250C 5X6</t>
        </is>
      </c>
      <c r="D955" s="256" t="n">
        <v>365</v>
      </c>
      <c r="E955" s="256" t="n">
        <v>365</v>
      </c>
      <c r="F955" s="155" t="n">
        <v>730</v>
      </c>
      <c r="G955" s="257" t="n">
        <v>365</v>
      </c>
    </row>
    <row r="956" ht="14.25" customHeight="1" s="237">
      <c r="A956" s="126" t="n">
        <v>4974</v>
      </c>
      <c r="B956" s="127" t="inlineStr">
        <is>
          <t>SK4974</t>
        </is>
      </c>
      <c r="C956" s="128" t="inlineStr">
        <is>
          <t>SK 허니유자 240CAN X30</t>
        </is>
      </c>
      <c r="D956" s="256" t="n">
        <v>182.5</v>
      </c>
      <c r="E956" s="256" t="n">
        <v>182.5</v>
      </c>
      <c r="F956" s="155" t="n">
        <v>365</v>
      </c>
      <c r="G956" s="257" t="n">
        <v>182.5</v>
      </c>
    </row>
    <row r="957" ht="14.25" customHeight="1" s="237">
      <c r="A957" s="120" t="n">
        <v>7854</v>
      </c>
      <c r="B957" s="120" t="inlineStr">
        <is>
          <t>SK7854</t>
        </is>
      </c>
      <c r="C957" s="124" t="inlineStr">
        <is>
          <t>SK석류드링크240CAN X30</t>
        </is>
      </c>
      <c r="D957" s="256" t="n">
        <v>182.5</v>
      </c>
      <c r="E957" s="256" t="n">
        <v>182.5</v>
      </c>
      <c r="F957" s="155" t="n">
        <v>365</v>
      </c>
      <c r="G957" s="257" t="n">
        <v>182.5</v>
      </c>
    </row>
    <row r="958" ht="14.25" customHeight="1" s="237">
      <c r="A958" s="120" t="n">
        <v>7864</v>
      </c>
      <c r="B958" s="120" t="inlineStr">
        <is>
          <t>SK7864</t>
        </is>
      </c>
      <c r="C958" s="124" t="inlineStr">
        <is>
          <t>SK아메리카노200CAN X30</t>
        </is>
      </c>
      <c r="D958" s="256" t="n">
        <v>182.5</v>
      </c>
      <c r="E958" s="256" t="n">
        <v>182.5</v>
      </c>
      <c r="F958" s="155" t="n">
        <v>365</v>
      </c>
      <c r="G958" s="257" t="n">
        <v>182.5</v>
      </c>
    </row>
    <row r="959" ht="14.25" customHeight="1" s="237">
      <c r="A959" s="120" t="n">
        <v>7865</v>
      </c>
      <c r="B959" s="120" t="inlineStr">
        <is>
          <t>SK7865</t>
        </is>
      </c>
      <c r="C959" s="124" t="inlineStr">
        <is>
          <t>SK카푸치노 200CAN X30</t>
        </is>
      </c>
      <c r="D959" s="256" t="n">
        <v>182.5</v>
      </c>
      <c r="E959" s="256" t="n">
        <v>182.5</v>
      </c>
      <c r="F959" s="155" t="n">
        <v>365</v>
      </c>
      <c r="G959" s="257" t="n">
        <v>182.5</v>
      </c>
    </row>
    <row r="960" ht="14.25" customHeight="1" s="237">
      <c r="A960" s="120" t="n">
        <v>9100</v>
      </c>
      <c r="B960" s="120" t="inlineStr">
        <is>
          <t>SK9100</t>
        </is>
      </c>
      <c r="C960" s="124" t="inlineStr">
        <is>
          <t>SK훼미리MV오포사180N 3X12</t>
        </is>
      </c>
      <c r="D960" s="256" t="n">
        <v>136.5</v>
      </c>
      <c r="E960" s="256" t="n">
        <v>136.5</v>
      </c>
      <c r="F960" s="155" t="n">
        <v>273</v>
      </c>
      <c r="G960" s="257" t="n">
        <v>136.5</v>
      </c>
    </row>
    <row r="961" ht="14.25" customHeight="1" s="237">
      <c r="A961" s="126" t="n">
        <v>9200</v>
      </c>
      <c r="B961" s="127" t="inlineStr">
        <is>
          <t>SK9200</t>
        </is>
      </c>
      <c r="C961" s="128" t="inlineStr">
        <is>
          <t>SK 키즈포도(로보카폴리)210</t>
        </is>
      </c>
      <c r="D961" s="256" t="n">
        <v>182.5</v>
      </c>
      <c r="E961" s="256" t="n">
        <v>182.5</v>
      </c>
      <c r="F961" s="155" t="n">
        <v>365</v>
      </c>
      <c r="G961" s="257" t="n">
        <v>182.5</v>
      </c>
    </row>
    <row r="962" ht="14.25" customHeight="1" s="237">
      <c r="A962" s="126" t="n">
        <v>2284</v>
      </c>
      <c r="B962" s="120" t="inlineStr">
        <is>
          <t>SP2284</t>
        </is>
      </c>
      <c r="C962" s="128" t="inlineStr">
        <is>
          <t>스프라이트SSP 355C X24</t>
        </is>
      </c>
      <c r="D962" s="256" t="n">
        <v>365</v>
      </c>
      <c r="E962" s="256" t="n">
        <v>365</v>
      </c>
      <c r="F962" s="155" t="n">
        <v>730</v>
      </c>
      <c r="G962" s="257" t="n">
        <v>365</v>
      </c>
    </row>
    <row r="963" ht="14.25" customHeight="1" s="237">
      <c r="A963" s="120" t="n">
        <v>2437</v>
      </c>
      <c r="B963" s="120" t="inlineStr">
        <is>
          <t>SP2437</t>
        </is>
      </c>
      <c r="C963" s="124" t="inlineStr">
        <is>
          <t>스프라이트(신185C X30</t>
        </is>
      </c>
      <c r="D963" s="256" t="n">
        <v>365</v>
      </c>
      <c r="E963" s="256" t="n">
        <v>365</v>
      </c>
      <c r="F963" s="155" t="n">
        <v>730</v>
      </c>
      <c r="G963" s="257" t="n">
        <v>365</v>
      </c>
      <c r="H963" s="0" t="n"/>
    </row>
    <row r="964" ht="14.25" customHeight="1" s="237">
      <c r="A964" s="120" t="n">
        <v>2443</v>
      </c>
      <c r="B964" s="120" t="inlineStr">
        <is>
          <t>SP2443</t>
        </is>
      </c>
      <c r="C964" s="124" t="inlineStr">
        <is>
          <t>스프라이트(신185C 5X6</t>
        </is>
      </c>
      <c r="D964" s="256" t="n">
        <v>365</v>
      </c>
      <c r="E964" s="256" t="n">
        <v>365</v>
      </c>
      <c r="F964" s="155" t="n">
        <v>730</v>
      </c>
      <c r="G964" s="257" t="n">
        <v>365</v>
      </c>
    </row>
    <row r="965" ht="14.25" customHeight="1" s="237">
      <c r="A965" s="120" t="n">
        <v>2446</v>
      </c>
      <c r="B965" s="120" t="inlineStr">
        <is>
          <t>SP2446</t>
        </is>
      </c>
      <c r="C965" s="124" t="inlineStr">
        <is>
          <t>스프라이트185C 5X6(4+2)</t>
        </is>
      </c>
      <c r="D965" s="256" t="n">
        <v>365</v>
      </c>
      <c r="E965" s="256" t="n">
        <v>365</v>
      </c>
      <c r="F965" s="155" t="n">
        <v>730</v>
      </c>
      <c r="G965" s="257" t="n">
        <v>365</v>
      </c>
    </row>
    <row r="966" ht="14.25" customHeight="1" s="237">
      <c r="A966" s="120" t="n">
        <v>2449</v>
      </c>
      <c r="B966" s="120" t="inlineStr">
        <is>
          <t>SP2449</t>
        </is>
      </c>
      <c r="C966" s="124" t="inlineStr">
        <is>
          <t>홈플)스프라이트185C X30</t>
        </is>
      </c>
      <c r="D966" s="256" t="n">
        <v>365</v>
      </c>
      <c r="E966" s="256" t="n">
        <v>365</v>
      </c>
      <c r="F966" s="155" t="n">
        <v>730</v>
      </c>
      <c r="G966" s="257" t="n">
        <v>365</v>
      </c>
    </row>
    <row r="967" ht="14.25" customHeight="1" s="237">
      <c r="A967" s="120" t="n">
        <v>4174</v>
      </c>
      <c r="B967" s="120" t="inlineStr">
        <is>
          <t>SP4174</t>
        </is>
      </c>
      <c r="C967" s="124" t="inlineStr">
        <is>
          <t>스프라이트 245CAN X24</t>
        </is>
      </c>
      <c r="D967" s="256" t="n">
        <v>365</v>
      </c>
      <c r="E967" s="256" t="n">
        <v>365</v>
      </c>
      <c r="F967" s="155" t="n">
        <v>730</v>
      </c>
      <c r="G967" s="257" t="n">
        <v>365</v>
      </c>
    </row>
    <row r="968" ht="14.25" customHeight="1" s="237">
      <c r="A968" s="120" t="n">
        <v>4176</v>
      </c>
      <c r="B968" s="120" t="inlineStr">
        <is>
          <t>SP4176</t>
        </is>
      </c>
      <c r="C968" s="124" t="inlineStr">
        <is>
          <t>스프라이트 245CAN 3X8</t>
        </is>
      </c>
      <c r="D968" s="256" t="n">
        <v>365</v>
      </c>
      <c r="E968" s="256" t="n">
        <v>365</v>
      </c>
      <c r="F968" s="155" t="n">
        <v>730</v>
      </c>
      <c r="G968" s="257" t="n">
        <v>365</v>
      </c>
    </row>
    <row r="969" ht="14.25" customHeight="1" s="237">
      <c r="A969" s="126" t="n">
        <v>4177</v>
      </c>
      <c r="B969" s="127" t="inlineStr">
        <is>
          <t>SP4177</t>
        </is>
      </c>
      <c r="C969" s="128" t="inlineStr">
        <is>
          <t>스프라이트 245CAN X24 (QSR)</t>
        </is>
      </c>
      <c r="D969" s="256" t="n">
        <v>365</v>
      </c>
      <c r="E969" s="256" t="n">
        <v>365</v>
      </c>
      <c r="F969" s="155" t="n">
        <v>730</v>
      </c>
      <c r="G969" s="257" t="n">
        <v>365</v>
      </c>
    </row>
    <row r="970" ht="14.25" customHeight="1" s="237">
      <c r="A970" s="120" t="n">
        <v>4832</v>
      </c>
      <c r="B970" s="120" t="inlineStr">
        <is>
          <t>SP4832</t>
        </is>
      </c>
      <c r="C970" s="124" t="inlineStr">
        <is>
          <t>M&amp;P)스프라이트210CAN 5X6</t>
        </is>
      </c>
      <c r="D970" s="256" t="n">
        <v>365</v>
      </c>
      <c r="E970" s="256" t="n">
        <v>365</v>
      </c>
      <c r="F970" s="155" t="n">
        <v>730</v>
      </c>
      <c r="G970" s="257" t="n">
        <v>365</v>
      </c>
    </row>
    <row r="971" ht="14.25" customHeight="1" s="237">
      <c r="A971" s="120" t="n">
        <v>4856</v>
      </c>
      <c r="B971" s="120" t="inlineStr">
        <is>
          <t>SP4856</t>
        </is>
      </c>
      <c r="C971" s="124" t="inlineStr">
        <is>
          <t>스프라이트SSP 210C X30</t>
        </is>
      </c>
      <c r="D971" s="256" t="n">
        <v>365</v>
      </c>
      <c r="E971" s="256" t="n">
        <v>365</v>
      </c>
      <c r="F971" s="155" t="n">
        <v>730</v>
      </c>
      <c r="G971" s="257" t="n">
        <v>365</v>
      </c>
    </row>
    <row r="972" ht="14.25" customHeight="1" s="237">
      <c r="A972" s="120" t="n">
        <v>4863</v>
      </c>
      <c r="B972" s="120" t="inlineStr">
        <is>
          <t>SP4863</t>
        </is>
      </c>
      <c r="C972" s="124" t="inlineStr">
        <is>
          <t>스프라이트 210CAN 5X6</t>
        </is>
      </c>
      <c r="D972" s="256" t="n">
        <v>365</v>
      </c>
      <c r="E972" s="256" t="n">
        <v>365</v>
      </c>
      <c r="F972" s="155" t="n">
        <v>730</v>
      </c>
      <c r="G972" s="257" t="n">
        <v>365</v>
      </c>
    </row>
    <row r="973" ht="14.25" customHeight="1" s="237">
      <c r="A973" s="126" t="n">
        <v>5050</v>
      </c>
      <c r="B973" s="127" t="inlineStr">
        <is>
          <t>SP5050</t>
        </is>
      </c>
      <c r="C973" s="128" t="inlineStr">
        <is>
          <t>보100)스프라이트 355RGB X24</t>
        </is>
      </c>
      <c r="D973" s="256" t="n">
        <v>365</v>
      </c>
      <c r="E973" s="256" t="n">
        <v>365</v>
      </c>
      <c r="F973" s="155" t="n">
        <v>730</v>
      </c>
      <c r="G973" s="257" t="n">
        <v>365</v>
      </c>
    </row>
    <row r="974" ht="14.25" customHeight="1" s="237">
      <c r="A974" s="120" t="n">
        <v>5051</v>
      </c>
      <c r="B974" s="120" t="inlineStr">
        <is>
          <t>SP5051</t>
        </is>
      </c>
      <c r="C974" s="124" t="inlineStr">
        <is>
          <t>스프라이트 355RGB X24</t>
        </is>
      </c>
      <c r="D974" s="256" t="n">
        <v>365</v>
      </c>
      <c r="E974" s="256" t="n">
        <v>365</v>
      </c>
      <c r="F974" s="155" t="n">
        <v>730</v>
      </c>
      <c r="G974" s="257" t="n">
        <v>365</v>
      </c>
    </row>
    <row r="975" ht="14.25" customHeight="1" s="237">
      <c r="A975" s="126" t="n">
        <v>5105</v>
      </c>
      <c r="B975" s="120" t="inlineStr">
        <is>
          <t>SP5105</t>
        </is>
      </c>
      <c r="C975" s="128" t="inlineStr">
        <is>
          <t>스프라이트  1.8PET X12</t>
        </is>
      </c>
      <c r="D975" s="256" t="n">
        <v>84</v>
      </c>
      <c r="E975" s="256" t="n">
        <v>182.5</v>
      </c>
      <c r="F975" s="155" t="n">
        <v>365</v>
      </c>
      <c r="G975" s="257" t="n">
        <v>281</v>
      </c>
    </row>
    <row r="976" ht="14.25" customHeight="1" s="237">
      <c r="A976" s="126" t="n">
        <v>5176</v>
      </c>
      <c r="B976" s="120" t="inlineStr">
        <is>
          <t>SP5176</t>
        </is>
      </c>
      <c r="C976" s="128" t="inlineStr">
        <is>
          <t>스프라이트  390PET X24</t>
        </is>
      </c>
      <c r="D976" s="256" t="n">
        <v>84</v>
      </c>
      <c r="E976" s="256" t="n">
        <v>182.5</v>
      </c>
      <c r="F976" s="155" t="n">
        <v>365</v>
      </c>
      <c r="G976" s="257" t="n">
        <v>281</v>
      </c>
    </row>
    <row r="977" ht="14.25" customHeight="1" s="237">
      <c r="A977" s="120" t="n">
        <v>5662</v>
      </c>
      <c r="B977" s="120" t="inlineStr">
        <is>
          <t>SP5662</t>
        </is>
      </c>
      <c r="C977" s="124" t="inlineStr">
        <is>
          <t>E-T)스프라이트500P X12</t>
        </is>
      </c>
      <c r="D977" s="256" t="n">
        <v>84</v>
      </c>
      <c r="E977" s="256" t="n">
        <v>182.5</v>
      </c>
      <c r="F977" s="155" t="n">
        <v>365</v>
      </c>
      <c r="G977" s="257" t="n">
        <v>281</v>
      </c>
    </row>
    <row r="978" ht="14.25" customHeight="1" s="237">
      <c r="A978" s="120" t="n">
        <v>5701</v>
      </c>
      <c r="B978" s="120" t="inlineStr">
        <is>
          <t>SP5701</t>
        </is>
      </c>
      <c r="C978" s="124" t="inlineStr">
        <is>
          <t>스프라이트 250BTC X24</t>
        </is>
      </c>
      <c r="D978" s="256" t="n">
        <v>365</v>
      </c>
      <c r="E978" s="256" t="n">
        <v>365</v>
      </c>
      <c r="F978" s="155" t="n">
        <v>730</v>
      </c>
      <c r="G978" s="257" t="n">
        <v>365</v>
      </c>
    </row>
    <row r="979" ht="14.25" customHeight="1" s="237">
      <c r="A979" s="120" t="n">
        <v>5703</v>
      </c>
      <c r="B979" s="120" t="inlineStr">
        <is>
          <t>SP5703</t>
        </is>
      </c>
      <c r="C979" s="124" t="inlineStr">
        <is>
          <t>스프라이트 250BTC X16</t>
        </is>
      </c>
      <c r="D979" s="256" t="n">
        <v>365</v>
      </c>
      <c r="E979" s="256" t="n">
        <v>365</v>
      </c>
      <c r="F979" s="155" t="n">
        <v>730</v>
      </c>
      <c r="G979" s="257" t="n">
        <v>365</v>
      </c>
    </row>
    <row r="980" ht="14.25" customHeight="1" s="237">
      <c r="A980" s="120" t="n">
        <v>5739</v>
      </c>
      <c r="B980" s="120" t="inlineStr">
        <is>
          <t>SP5739</t>
        </is>
      </c>
      <c r="C980" s="124" t="inlineStr">
        <is>
          <t>S)스프라이트500P X12(C-C</t>
        </is>
      </c>
      <c r="D980" s="256" t="n">
        <v>84</v>
      </c>
      <c r="E980" s="256" t="n">
        <v>182.5</v>
      </c>
      <c r="F980" s="155" t="n">
        <v>365</v>
      </c>
      <c r="G980" s="257" t="n">
        <v>281</v>
      </c>
    </row>
    <row r="981" ht="14.25" customHeight="1" s="237">
      <c r="A981" s="126" t="n">
        <v>5743</v>
      </c>
      <c r="B981" s="127" t="inlineStr">
        <is>
          <t>SP5743</t>
        </is>
      </c>
      <c r="C981" s="128" t="inlineStr">
        <is>
          <t>스프라이트 300PET 2X12</t>
        </is>
      </c>
      <c r="D981" s="256" t="n">
        <v>70</v>
      </c>
      <c r="E981" s="256" t="n">
        <v>182.5</v>
      </c>
      <c r="F981" s="155" t="n">
        <v>365</v>
      </c>
      <c r="G981" s="257" t="n">
        <v>295</v>
      </c>
    </row>
    <row r="982" ht="14.25" customHeight="1" s="237">
      <c r="A982" s="126" t="n">
        <v>5745</v>
      </c>
      <c r="B982" s="127" t="inlineStr">
        <is>
          <t>SP5745</t>
        </is>
      </c>
      <c r="C982" s="128" t="inlineStr">
        <is>
          <t>스프라이트 300PET X12</t>
        </is>
      </c>
      <c r="D982" s="256" t="n">
        <v>70</v>
      </c>
      <c r="E982" s="256" t="n">
        <v>182.5</v>
      </c>
      <c r="F982" s="155" t="n">
        <v>365</v>
      </c>
      <c r="G982" s="257" t="n">
        <v>295</v>
      </c>
    </row>
    <row r="983" ht="14.25" customHeight="1" s="237">
      <c r="A983" s="126" t="n">
        <v>5759</v>
      </c>
      <c r="B983" s="127" t="inlineStr">
        <is>
          <t>SP5759</t>
        </is>
      </c>
      <c r="C983" s="128" t="inlineStr">
        <is>
          <t>스프라이트 215CAN 5X6</t>
        </is>
      </c>
      <c r="D983" s="256" t="n">
        <v>365</v>
      </c>
      <c r="E983" s="256" t="n">
        <v>365</v>
      </c>
      <c r="F983" s="155" t="n">
        <v>730</v>
      </c>
      <c r="G983" s="257" t="n">
        <v>365</v>
      </c>
    </row>
    <row r="984" ht="14.25" customHeight="1" s="237">
      <c r="A984" s="120" t="n">
        <v>4432</v>
      </c>
      <c r="B984" s="120" t="inlineStr">
        <is>
          <t>CC4432</t>
        </is>
      </c>
      <c r="C984" s="124" t="inlineStr">
        <is>
          <t>S)코크제로 500PET 4X6</t>
        </is>
      </c>
      <c r="D984" s="256" t="n">
        <v>122</v>
      </c>
      <c r="E984" s="256" t="n">
        <v>136.5</v>
      </c>
      <c r="F984" s="155" t="n">
        <v>273</v>
      </c>
      <c r="G984" s="257" t="n">
        <v>151</v>
      </c>
    </row>
    <row r="985" ht="14.25" customHeight="1" s="237">
      <c r="A985" s="126" t="n">
        <v>6103</v>
      </c>
      <c r="B985" s="127" t="inlineStr">
        <is>
          <t>SP6103</t>
        </is>
      </c>
      <c r="C985" s="128" t="inlineStr">
        <is>
          <t>S)스프라이트 제로 500PET 4X6</t>
        </is>
      </c>
      <c r="D985" s="256" t="n">
        <v>122</v>
      </c>
      <c r="E985" s="256" t="n">
        <v>136.5</v>
      </c>
      <c r="F985" s="155" t="n">
        <v>273</v>
      </c>
      <c r="G985" s="257" t="n">
        <v>151</v>
      </c>
    </row>
    <row r="986" ht="14.25" customHeight="1" s="237">
      <c r="A986" s="126" t="n">
        <v>8429</v>
      </c>
      <c r="B986" s="127" t="inlineStr">
        <is>
          <t>CC8429</t>
        </is>
      </c>
      <c r="C986" s="128" t="inlineStr">
        <is>
          <t>코크제로 1.5PET 2X6</t>
        </is>
      </c>
      <c r="D986" s="256" t="n">
        <v>122</v>
      </c>
      <c r="E986" s="256" t="n">
        <v>136.5</v>
      </c>
      <c r="F986" s="155" t="n">
        <v>273</v>
      </c>
      <c r="G986" s="257" t="n">
        <v>151</v>
      </c>
    </row>
    <row r="987" ht="14.25" customHeight="1" s="237">
      <c r="A987" s="126" t="n">
        <v>6104</v>
      </c>
      <c r="B987" s="120" t="inlineStr">
        <is>
          <t>SP6104</t>
        </is>
      </c>
      <c r="C987" s="128" t="inlineStr">
        <is>
          <t>스프라이트아이스250C X30</t>
        </is>
      </c>
      <c r="D987" s="256" t="n">
        <v>365</v>
      </c>
      <c r="E987" s="256" t="n">
        <v>365</v>
      </c>
      <c r="F987" s="155" t="n">
        <v>730</v>
      </c>
      <c r="G987" s="257" t="n">
        <v>365</v>
      </c>
    </row>
    <row r="988" ht="14.25" customHeight="1" s="237">
      <c r="A988" s="126" t="n">
        <v>6105</v>
      </c>
      <c r="B988" s="120" t="inlineStr">
        <is>
          <t>SP6105</t>
        </is>
      </c>
      <c r="C988" s="128" t="inlineStr">
        <is>
          <t>스프라이트아이스500P X24</t>
        </is>
      </c>
      <c r="D988" s="256" t="n">
        <v>84</v>
      </c>
      <c r="E988" s="256" t="n">
        <v>182.5</v>
      </c>
      <c r="F988" s="155" t="n">
        <v>365</v>
      </c>
      <c r="G988" s="257" t="n">
        <v>281</v>
      </c>
    </row>
    <row r="989" ht="14.25" customHeight="1" s="237">
      <c r="A989" s="126" t="n">
        <v>6106</v>
      </c>
      <c r="B989" s="127" t="inlineStr">
        <is>
          <t>SP6106</t>
        </is>
      </c>
      <c r="C989" s="128" t="inlineStr">
        <is>
          <t>스프라이트 배 500PET X24</t>
        </is>
      </c>
      <c r="D989" s="256" t="n">
        <v>84</v>
      </c>
      <c r="E989" s="256" t="n">
        <v>182.5</v>
      </c>
      <c r="F989" s="155" t="n">
        <v>365</v>
      </c>
      <c r="G989" s="257" t="n">
        <v>281</v>
      </c>
    </row>
    <row r="990" ht="14.25" customHeight="1" s="237">
      <c r="A990" s="126" t="n">
        <v>6107</v>
      </c>
      <c r="B990" s="127" t="inlineStr">
        <is>
          <t>SP6107</t>
        </is>
      </c>
      <c r="C990" s="128" t="inlineStr">
        <is>
          <t>S)스프라이트 배 500PET 4X6</t>
        </is>
      </c>
      <c r="D990" s="256" t="n">
        <v>84</v>
      </c>
      <c r="E990" s="256" t="n">
        <v>182.5</v>
      </c>
      <c r="F990" s="155" t="n">
        <v>365</v>
      </c>
      <c r="G990" s="257" t="n">
        <v>281</v>
      </c>
    </row>
    <row r="991" ht="14.25" customHeight="1" s="237">
      <c r="A991" s="126" t="n">
        <v>6108</v>
      </c>
      <c r="B991" s="127" t="inlineStr">
        <is>
          <t>SP6108</t>
        </is>
      </c>
      <c r="C991" s="128" t="inlineStr">
        <is>
          <t>스프라이트 제로 355CAN 4X6</t>
        </is>
      </c>
      <c r="D991" s="256" t="n">
        <v>84</v>
      </c>
      <c r="E991" s="256" t="n">
        <v>182.5</v>
      </c>
      <c r="F991" s="155" t="n">
        <v>365</v>
      </c>
      <c r="G991" s="257" t="n">
        <v>281</v>
      </c>
    </row>
    <row r="992" ht="14.25" customHeight="1" s="237">
      <c r="A992" s="126" t="inlineStr">
        <is>
          <t>SP4181</t>
        </is>
      </c>
      <c r="B992" s="127" t="inlineStr">
        <is>
          <t>SP4181</t>
        </is>
      </c>
      <c r="C992" s="128" t="inlineStr">
        <is>
          <t>스프라이트 제로 350CAN 4X6</t>
        </is>
      </c>
      <c r="D992" s="256" t="n">
        <v>84</v>
      </c>
      <c r="E992" s="256" t="n">
        <v>182.5</v>
      </c>
      <c r="F992" s="155" t="n">
        <v>365</v>
      </c>
      <c r="G992" s="257" t="n">
        <v>281</v>
      </c>
    </row>
    <row r="993" ht="14.25" customHeight="1" s="237">
      <c r="A993" s="126" t="n">
        <v>4184</v>
      </c>
      <c r="B993" s="127" t="inlineStr">
        <is>
          <t>SP4184</t>
        </is>
      </c>
      <c r="C993" s="128" t="inlineStr">
        <is>
          <t>S)스프제로 칠 아이스블라스트 350CAN 4X6</t>
        </is>
      </c>
      <c r="D993" s="256" t="n">
        <v>84</v>
      </c>
      <c r="E993" s="256" t="n">
        <v>182.5</v>
      </c>
      <c r="F993" s="155" t="n">
        <v>365</v>
      </c>
      <c r="G993" s="257" t="n">
        <v>281</v>
      </c>
    </row>
    <row r="994" ht="14.25" customHeight="1" s="237">
      <c r="A994" s="120" t="n">
        <v>6110</v>
      </c>
      <c r="B994" s="120" t="inlineStr">
        <is>
          <t>SP6110</t>
        </is>
      </c>
      <c r="C994" s="124" t="inlineStr">
        <is>
          <t>스프라이트(신250C X30</t>
        </is>
      </c>
      <c r="D994" s="256" t="n">
        <v>365</v>
      </c>
      <c r="E994" s="256" t="n">
        <v>365</v>
      </c>
      <c r="F994" s="155" t="n">
        <v>730</v>
      </c>
      <c r="G994" s="257" t="n">
        <v>365</v>
      </c>
    </row>
    <row r="995" ht="14.25" customHeight="1" s="237">
      <c r="A995" s="120" t="n">
        <v>6111</v>
      </c>
      <c r="B995" s="120" t="inlineStr">
        <is>
          <t>SP6111</t>
        </is>
      </c>
      <c r="C995" s="124" t="inlineStr">
        <is>
          <t>스프라이트(신250C 5X6</t>
        </is>
      </c>
      <c r="D995" s="256" t="n">
        <v>365</v>
      </c>
      <c r="E995" s="256" t="n">
        <v>365</v>
      </c>
      <c r="F995" s="155" t="n">
        <v>730</v>
      </c>
      <c r="G995" s="257" t="n">
        <v>365</v>
      </c>
    </row>
    <row r="996" ht="14.25" customHeight="1" s="237">
      <c r="A996" s="120" t="n">
        <v>6113</v>
      </c>
      <c r="B996" s="120" t="inlineStr">
        <is>
          <t>SP6113</t>
        </is>
      </c>
      <c r="C996" s="124" t="inlineStr">
        <is>
          <t>스프라이트(신355C X24</t>
        </is>
      </c>
      <c r="D996" s="256" t="n">
        <v>365</v>
      </c>
      <c r="E996" s="256" t="n">
        <v>365</v>
      </c>
      <c r="F996" s="155" t="n">
        <v>730</v>
      </c>
      <c r="G996" s="257" t="n">
        <v>365</v>
      </c>
    </row>
    <row r="997" ht="14.25" customHeight="1" s="237">
      <c r="A997" s="120" t="n">
        <v>6114</v>
      </c>
      <c r="B997" s="120" t="inlineStr">
        <is>
          <t>SP6114</t>
        </is>
      </c>
      <c r="C997" s="124" t="inlineStr">
        <is>
          <t>스프라이트(신355C 4X6</t>
        </is>
      </c>
      <c r="D997" s="256" t="n">
        <v>365</v>
      </c>
      <c r="E997" s="256" t="n">
        <v>365</v>
      </c>
      <c r="F997" s="155" t="n">
        <v>730</v>
      </c>
      <c r="G997" s="257" t="n">
        <v>365</v>
      </c>
    </row>
    <row r="998" ht="14.25" customHeight="1" s="237">
      <c r="A998" s="120" t="n">
        <v>4179</v>
      </c>
      <c r="B998" s="120" t="inlineStr">
        <is>
          <t>SP4179</t>
        </is>
      </c>
      <c r="C998" s="124" t="inlineStr">
        <is>
          <t>스프라이트(신350C 4X6</t>
        </is>
      </c>
      <c r="D998" s="256" t="n">
        <v>365</v>
      </c>
      <c r="E998" s="256" t="n">
        <v>365</v>
      </c>
      <c r="F998" s="155" t="n">
        <v>730</v>
      </c>
      <c r="G998" s="257" t="n">
        <v>365</v>
      </c>
    </row>
    <row r="999" ht="14.25" customHeight="1" s="237">
      <c r="A999" s="120" t="n">
        <v>6115</v>
      </c>
      <c r="B999" s="120" t="inlineStr">
        <is>
          <t>SP6115</t>
        </is>
      </c>
      <c r="C999" s="124" t="inlineStr">
        <is>
          <t>스프라이트업소용355C X24</t>
        </is>
      </c>
      <c r="D999" s="256" t="n">
        <v>365</v>
      </c>
      <c r="E999" s="256" t="n">
        <v>365</v>
      </c>
      <c r="F999" s="155" t="n">
        <v>730</v>
      </c>
      <c r="G999" s="257" t="n">
        <v>365</v>
      </c>
    </row>
    <row r="1000" ht="14.25" customHeight="1" s="237">
      <c r="A1000" s="120" t="n">
        <v>6116</v>
      </c>
      <c r="B1000" s="120" t="inlineStr">
        <is>
          <t>SP6116</t>
        </is>
      </c>
      <c r="C1000" s="124" t="inlineStr">
        <is>
          <t>스프라이트(신500P X24</t>
        </is>
      </c>
      <c r="D1000" s="256" t="n">
        <v>84</v>
      </c>
      <c r="E1000" s="256" t="n">
        <v>182.5</v>
      </c>
      <c r="F1000" s="155" t="n">
        <v>365</v>
      </c>
      <c r="G1000" s="257" t="n">
        <v>281</v>
      </c>
    </row>
    <row r="1001" ht="14.25" customHeight="1" s="237">
      <c r="A1001" s="120" t="n">
        <v>6117</v>
      </c>
      <c r="B1001" s="120" t="inlineStr">
        <is>
          <t>SP6117</t>
        </is>
      </c>
      <c r="C1001" s="124" t="inlineStr">
        <is>
          <t>스프라이트(신500P 4X6</t>
        </is>
      </c>
      <c r="D1001" s="256" t="n">
        <v>84</v>
      </c>
      <c r="E1001" s="256" t="n">
        <v>182.5</v>
      </c>
      <c r="F1001" s="155" t="n">
        <v>365</v>
      </c>
      <c r="G1001" s="257" t="n">
        <v>281</v>
      </c>
    </row>
    <row r="1002" ht="14.25" customHeight="1" s="237">
      <c r="A1002" s="120" t="n">
        <v>6118</v>
      </c>
      <c r="B1002" s="120" t="inlineStr">
        <is>
          <t>SP6118</t>
        </is>
      </c>
      <c r="C1002" s="124" t="inlineStr">
        <is>
          <t>스프라이트QSR 500P X24</t>
        </is>
      </c>
      <c r="D1002" s="256" t="n">
        <v>84</v>
      </c>
      <c r="E1002" s="256" t="n">
        <v>182.5</v>
      </c>
      <c r="F1002" s="155" t="n">
        <v>365</v>
      </c>
      <c r="G1002" s="257" t="n">
        <v>281</v>
      </c>
    </row>
    <row r="1003" ht="14.25" customHeight="1" s="237">
      <c r="A1003" s="120" t="n">
        <v>6119</v>
      </c>
      <c r="B1003" s="120" t="inlineStr">
        <is>
          <t>SP6119</t>
        </is>
      </c>
      <c r="C1003" s="124" t="inlineStr">
        <is>
          <t>스프라이트(신1.5P X12</t>
        </is>
      </c>
      <c r="D1003" s="256" t="n">
        <v>98</v>
      </c>
      <c r="E1003" s="256" t="n">
        <v>182.5</v>
      </c>
      <c r="F1003" s="155" t="n">
        <v>365</v>
      </c>
      <c r="G1003" s="257" t="n">
        <v>267</v>
      </c>
    </row>
    <row r="1004" ht="14.25" customHeight="1" s="237">
      <c r="A1004" s="120" t="n">
        <v>6120</v>
      </c>
      <c r="B1004" s="120" t="inlineStr">
        <is>
          <t>SP6120</t>
        </is>
      </c>
      <c r="C1004" s="124" t="inlineStr">
        <is>
          <t>S스프라이트(신1.5P 2X6</t>
        </is>
      </c>
      <c r="D1004" s="256" t="n">
        <v>98</v>
      </c>
      <c r="E1004" s="256" t="n">
        <v>182.5</v>
      </c>
      <c r="F1004" s="155" t="n">
        <v>365</v>
      </c>
      <c r="G1004" s="257" t="n">
        <v>267</v>
      </c>
    </row>
    <row r="1005" ht="14.25" customHeight="1" s="237">
      <c r="A1005" s="120" t="n">
        <v>6121</v>
      </c>
      <c r="B1005" s="120" t="inlineStr">
        <is>
          <t>SP6121</t>
        </is>
      </c>
      <c r="C1005" s="124" t="inlineStr">
        <is>
          <t>스프라이트QSR 1.5P X12</t>
        </is>
      </c>
      <c r="D1005" s="256" t="n">
        <v>98</v>
      </c>
      <c r="E1005" s="256" t="n">
        <v>182.5</v>
      </c>
      <c r="F1005" s="155" t="n">
        <v>365</v>
      </c>
      <c r="G1005" s="257" t="n">
        <v>267</v>
      </c>
    </row>
    <row r="1006" ht="14.25" customHeight="1" s="237">
      <c r="A1006" s="120" t="n">
        <v>6122</v>
      </c>
      <c r="B1006" s="120" t="inlineStr">
        <is>
          <t>SP6122</t>
        </is>
      </c>
      <c r="C1006" s="124" t="inlineStr">
        <is>
          <t>스프라이트(신300P X24</t>
        </is>
      </c>
      <c r="D1006" s="256" t="n">
        <v>70</v>
      </c>
      <c r="E1006" s="256" t="n">
        <v>182.5</v>
      </c>
      <c r="F1006" s="155" t="n">
        <v>365</v>
      </c>
      <c r="G1006" s="257" t="n">
        <v>295</v>
      </c>
    </row>
    <row r="1007" ht="14.25" customHeight="1" s="237">
      <c r="A1007" s="120" t="n">
        <v>6126</v>
      </c>
      <c r="B1007" s="120" t="inlineStr">
        <is>
          <t>SP6126</t>
        </is>
      </c>
      <c r="C1007" s="124" t="inlineStr">
        <is>
          <t>스프라이트 500CAN X24</t>
        </is>
      </c>
      <c r="D1007" s="256" t="n">
        <v>365</v>
      </c>
      <c r="E1007" s="256" t="n">
        <v>365</v>
      </c>
      <c r="F1007" s="155" t="n">
        <v>730</v>
      </c>
      <c r="G1007" s="257" t="n">
        <v>365</v>
      </c>
    </row>
    <row r="1008" ht="14.25" customHeight="1" s="237">
      <c r="A1008" s="120" t="n">
        <v>6128</v>
      </c>
      <c r="B1008" s="120" t="inlineStr">
        <is>
          <t>SP6128</t>
        </is>
      </c>
      <c r="C1008" s="124" t="inlineStr">
        <is>
          <t>스프라이트(신1.25P X12</t>
        </is>
      </c>
      <c r="D1008" s="256" t="n">
        <v>98</v>
      </c>
      <c r="E1008" s="256" t="n">
        <v>182.5</v>
      </c>
      <c r="F1008" s="155" t="n">
        <v>365</v>
      </c>
      <c r="G1008" s="257" t="n">
        <v>267</v>
      </c>
    </row>
    <row r="1009" ht="14.25" customHeight="1" s="237">
      <c r="A1009" s="126" t="n">
        <v>6134</v>
      </c>
      <c r="B1009" s="127" t="inlineStr">
        <is>
          <t>SP6134</t>
        </is>
      </c>
      <c r="C1009" s="128" t="inlineStr">
        <is>
          <t>S)스프라이트 1.25PET 2X6</t>
        </is>
      </c>
      <c r="D1009" s="256" t="n">
        <v>98</v>
      </c>
      <c r="E1009" s="256" t="n">
        <v>182.5</v>
      </c>
      <c r="F1009" s="155" t="n">
        <v>365</v>
      </c>
      <c r="G1009" s="257" t="n">
        <v>267</v>
      </c>
    </row>
    <row r="1010" ht="14.25" customHeight="1" s="237">
      <c r="A1010" s="120" t="n">
        <v>6138</v>
      </c>
      <c r="B1010" s="120" t="inlineStr">
        <is>
          <t>SP6138</t>
        </is>
      </c>
      <c r="C1010" s="124" t="inlineStr">
        <is>
          <t>스프라이트 익스트림 350PET 4X6</t>
        </is>
      </c>
      <c r="D1010" s="256" t="n">
        <v>84</v>
      </c>
      <c r="E1010" s="256" t="n">
        <v>151.5</v>
      </c>
      <c r="F1010" s="155" t="n">
        <v>303</v>
      </c>
      <c r="G1010" s="257" t="n">
        <v>219</v>
      </c>
    </row>
    <row r="1011" ht="14.25" customHeight="1" s="237">
      <c r="A1011" s="120" t="n">
        <v>6337</v>
      </c>
      <c r="B1011" s="120" t="inlineStr">
        <is>
          <t>SP6337</t>
        </is>
      </c>
      <c r="C1011" s="124" t="inlineStr">
        <is>
          <t>스프라이트 10LBIB PMX</t>
        </is>
      </c>
      <c r="D1011" s="256" t="n">
        <v>75</v>
      </c>
      <c r="E1011" s="256" t="n">
        <v>91.5</v>
      </c>
      <c r="F1011" s="155" t="n">
        <v>183</v>
      </c>
      <c r="G1011" s="257" t="n">
        <v>108</v>
      </c>
    </row>
    <row r="1012" ht="14.25" customHeight="1" s="237">
      <c r="A1012" s="120" t="n">
        <v>4823</v>
      </c>
      <c r="B1012" s="120" t="inlineStr">
        <is>
          <t>ST4823</t>
        </is>
      </c>
      <c r="C1012" s="124" t="inlineStr">
        <is>
          <t>써니텐BL오렌250C X30</t>
        </is>
      </c>
      <c r="D1012" s="256" t="n">
        <v>365</v>
      </c>
      <c r="E1012" s="256" t="n">
        <v>365</v>
      </c>
      <c r="F1012" s="155" t="n">
        <v>730</v>
      </c>
      <c r="G1012" s="257" t="n">
        <v>365</v>
      </c>
    </row>
    <row r="1013" ht="14.25" customHeight="1" s="237">
      <c r="A1013" s="120" t="n">
        <v>4824</v>
      </c>
      <c r="B1013" s="120" t="inlineStr">
        <is>
          <t>ST4824</t>
        </is>
      </c>
      <c r="C1013" s="124" t="inlineStr">
        <is>
          <t>써니텐BL파인250C X30</t>
        </is>
      </c>
      <c r="D1013" s="256" t="n">
        <v>365</v>
      </c>
      <c r="E1013" s="256" t="n">
        <v>365</v>
      </c>
      <c r="F1013" s="155" t="n">
        <v>730</v>
      </c>
      <c r="G1013" s="257" t="n">
        <v>365</v>
      </c>
    </row>
    <row r="1014" ht="14.25" customHeight="1" s="237">
      <c r="A1014" s="120" t="n">
        <v>4825</v>
      </c>
      <c r="B1014" s="120" t="inlineStr">
        <is>
          <t>ST4825</t>
        </is>
      </c>
      <c r="C1014" s="124" t="inlineStr">
        <is>
          <t>써니텐BL포도250C X30</t>
        </is>
      </c>
      <c r="D1014" s="256" t="n">
        <v>365</v>
      </c>
      <c r="E1014" s="256" t="n">
        <v>365</v>
      </c>
      <c r="F1014" s="155" t="n">
        <v>730</v>
      </c>
      <c r="G1014" s="257" t="n">
        <v>365</v>
      </c>
    </row>
    <row r="1015" ht="14.25" customHeight="1" s="237">
      <c r="A1015" s="120" t="n">
        <v>4858</v>
      </c>
      <c r="B1015" s="120" t="inlineStr">
        <is>
          <t>ST4858</t>
        </is>
      </c>
      <c r="C1015" s="124" t="inlineStr">
        <is>
          <t>써니텐스파클레몬ADE 250CX30</t>
        </is>
      </c>
      <c r="D1015" s="256" t="n">
        <v>182.5</v>
      </c>
      <c r="E1015" s="256" t="n">
        <v>182.5</v>
      </c>
      <c r="F1015" s="155" t="n">
        <v>365</v>
      </c>
      <c r="G1015" s="257" t="n">
        <v>182.5</v>
      </c>
    </row>
    <row r="1016" ht="14.25" customHeight="1" s="237">
      <c r="A1016" s="120" t="n">
        <v>4859</v>
      </c>
      <c r="B1016" s="120" t="inlineStr">
        <is>
          <t>ST4859</t>
        </is>
      </c>
      <c r="C1016" s="124" t="inlineStr">
        <is>
          <t>써니텐스파클체리ADE 250CX30</t>
        </is>
      </c>
      <c r="D1016" s="256" t="n">
        <v>182.5</v>
      </c>
      <c r="E1016" s="256" t="n">
        <v>182.5</v>
      </c>
      <c r="F1016" s="155" t="n">
        <v>365</v>
      </c>
      <c r="G1016" s="257" t="n">
        <v>182.5</v>
      </c>
    </row>
    <row r="1017" ht="14.25" customHeight="1" s="237">
      <c r="A1017" s="120" t="n">
        <v>4882</v>
      </c>
      <c r="B1017" s="120" t="inlineStr">
        <is>
          <t>ST4882</t>
        </is>
      </c>
      <c r="C1017" s="124" t="inlineStr">
        <is>
          <t>써니텐BL오렌1.2P X12</t>
        </is>
      </c>
      <c r="D1017" s="256" t="n">
        <v>182.5</v>
      </c>
      <c r="E1017" s="256" t="n">
        <v>182.5</v>
      </c>
      <c r="F1017" s="155" t="n">
        <v>365</v>
      </c>
      <c r="G1017" s="257" t="n">
        <v>182.5</v>
      </c>
    </row>
    <row r="1018" ht="14.25" customHeight="1" s="237">
      <c r="A1018" s="120" t="n">
        <v>7609</v>
      </c>
      <c r="B1018" s="120" t="inlineStr">
        <is>
          <t>ST7609</t>
        </is>
      </c>
      <c r="C1018" s="124" t="inlineStr">
        <is>
          <t>써니텐BL오렌1.5P X12</t>
        </is>
      </c>
      <c r="D1018" s="256" t="n">
        <v>182.5</v>
      </c>
      <c r="E1018" s="256" t="n">
        <v>182.5</v>
      </c>
      <c r="F1018" s="155" t="n">
        <v>365</v>
      </c>
      <c r="G1018" s="257" t="n">
        <v>182.5</v>
      </c>
    </row>
    <row r="1019" ht="14.25" customHeight="1" s="237">
      <c r="A1019" s="120" t="n">
        <v>7646</v>
      </c>
      <c r="B1019" s="120" t="inlineStr">
        <is>
          <t>ST7646</t>
        </is>
      </c>
      <c r="C1019" s="124" t="inlineStr">
        <is>
          <t>써니텐스파클레몬ADE 350PX24</t>
        </is>
      </c>
      <c r="D1019" s="256" t="n">
        <v>136.5</v>
      </c>
      <c r="E1019" s="256" t="n">
        <v>136.5</v>
      </c>
      <c r="F1019" s="155" t="n">
        <v>273</v>
      </c>
      <c r="G1019" s="257" t="n">
        <v>136.5</v>
      </c>
    </row>
    <row r="1020" ht="14.25" customHeight="1" s="237">
      <c r="A1020" s="120" t="n">
        <v>4160</v>
      </c>
      <c r="B1020" s="120" t="inlineStr">
        <is>
          <t>SW4160</t>
        </is>
      </c>
      <c r="C1020" s="124" t="inlineStr">
        <is>
          <t>슈웹스 레몬토닉270N X24</t>
        </is>
      </c>
      <c r="D1020" s="256" t="n">
        <v>122</v>
      </c>
      <c r="E1020" s="256" t="n">
        <v>136.5</v>
      </c>
      <c r="F1020" s="155" t="n">
        <v>273</v>
      </c>
      <c r="G1020" s="257" t="n">
        <v>151</v>
      </c>
    </row>
    <row r="1021" ht="14.25" customHeight="1" s="237">
      <c r="A1021" s="120" t="n">
        <v>4161</v>
      </c>
      <c r="B1021" s="120" t="inlineStr">
        <is>
          <t>SW4161</t>
        </is>
      </c>
      <c r="C1021" s="124" t="inlineStr">
        <is>
          <t>슈웹스 레몬토닉350P X24</t>
        </is>
      </c>
      <c r="D1021" s="256" t="n">
        <v>122</v>
      </c>
      <c r="E1021" s="256" t="n">
        <v>136.5</v>
      </c>
      <c r="F1021" s="155" t="n">
        <v>273</v>
      </c>
      <c r="G1021" s="257" t="n">
        <v>151</v>
      </c>
    </row>
    <row r="1022" ht="14.25" customHeight="1" s="237">
      <c r="A1022" s="120" t="n">
        <v>4162</v>
      </c>
      <c r="B1022" s="120" t="inlineStr">
        <is>
          <t>SW4162</t>
        </is>
      </c>
      <c r="C1022" s="124" t="inlineStr">
        <is>
          <t>슈웹스그레이프토닉270N X24</t>
        </is>
      </c>
      <c r="D1022" s="256" t="n">
        <v>122</v>
      </c>
      <c r="E1022" s="256" t="n">
        <v>136.5</v>
      </c>
      <c r="F1022" s="155" t="n">
        <v>273</v>
      </c>
      <c r="G1022" s="257" t="n">
        <v>151</v>
      </c>
    </row>
    <row r="1023" ht="14.25" customHeight="1" s="237">
      <c r="A1023" s="120" t="n">
        <v>4163</v>
      </c>
      <c r="B1023" s="120" t="inlineStr">
        <is>
          <t>SW4163</t>
        </is>
      </c>
      <c r="C1023" s="124" t="inlineStr">
        <is>
          <t>슈웹스그레이프토닉350P X24</t>
        </is>
      </c>
      <c r="D1023" s="256" t="n">
        <v>122</v>
      </c>
      <c r="E1023" s="256" t="n">
        <v>136.5</v>
      </c>
      <c r="F1023" s="155" t="n">
        <v>273</v>
      </c>
      <c r="G1023" s="257" t="n">
        <v>151</v>
      </c>
    </row>
    <row r="1024" ht="14.25" customHeight="1" s="237">
      <c r="A1024" s="120" t="n">
        <v>4165</v>
      </c>
      <c r="B1024" s="120" t="inlineStr">
        <is>
          <t>SW4165</t>
        </is>
      </c>
      <c r="C1024" s="124" t="inlineStr">
        <is>
          <t>슈웹스 진저에일350P X24</t>
        </is>
      </c>
      <c r="D1024" s="256" t="n">
        <v>183</v>
      </c>
      <c r="E1024" s="256" t="n">
        <v>182.5</v>
      </c>
      <c r="F1024" s="155" t="n">
        <v>365</v>
      </c>
      <c r="G1024" s="257" t="n">
        <v>182</v>
      </c>
    </row>
    <row r="1025" ht="14.25" customHeight="1" s="237">
      <c r="A1025" s="120" t="n">
        <v>4166</v>
      </c>
      <c r="B1025" s="120" t="inlineStr">
        <is>
          <t>SW4166</t>
        </is>
      </c>
      <c r="C1025" s="124" t="inlineStr">
        <is>
          <t>S슈웹스 레몬토닉350P 4X6</t>
        </is>
      </c>
      <c r="D1025" s="256" t="n">
        <v>122</v>
      </c>
      <c r="E1025" s="256" t="n">
        <v>136.5</v>
      </c>
      <c r="F1025" s="155" t="n">
        <v>273</v>
      </c>
      <c r="G1025" s="257" t="n">
        <v>151</v>
      </c>
    </row>
    <row r="1026" ht="14.25" customHeight="1" s="237">
      <c r="A1026" s="120" t="n">
        <v>4167</v>
      </c>
      <c r="B1026" s="120" t="inlineStr">
        <is>
          <t>SW4167</t>
        </is>
      </c>
      <c r="C1026" s="124" t="inlineStr">
        <is>
          <t>S슈웹스그레이프토닉350P 4X6</t>
        </is>
      </c>
      <c r="D1026" s="256" t="n">
        <v>122</v>
      </c>
      <c r="E1026" s="256" t="n">
        <v>136.5</v>
      </c>
      <c r="F1026" s="155" t="n">
        <v>273</v>
      </c>
      <c r="G1026" s="257" t="n">
        <v>151</v>
      </c>
    </row>
    <row r="1027" ht="14.25" customHeight="1" s="237">
      <c r="A1027" s="120" t="n">
        <v>4169</v>
      </c>
      <c r="B1027" s="120" t="inlineStr">
        <is>
          <t>SW4169</t>
        </is>
      </c>
      <c r="C1027" s="124" t="inlineStr">
        <is>
          <t>슈웹스코스모폴리탄350PX24</t>
        </is>
      </c>
      <c r="D1027" s="256" t="n">
        <v>122</v>
      </c>
      <c r="E1027" s="256" t="n">
        <v>136.5</v>
      </c>
      <c r="F1027" s="155" t="n">
        <v>273</v>
      </c>
      <c r="G1027" s="257" t="n">
        <v>151</v>
      </c>
    </row>
    <row r="1028" ht="14.25" customHeight="1" s="237">
      <c r="A1028" s="120" t="n">
        <v>4170</v>
      </c>
      <c r="B1028" s="120" t="inlineStr">
        <is>
          <t>SW4170</t>
        </is>
      </c>
      <c r="C1028" s="124" t="inlineStr">
        <is>
          <t>슈웹스레몬토닉777P X15</t>
        </is>
      </c>
      <c r="D1028" s="256" t="n">
        <v>122</v>
      </c>
      <c r="E1028" s="256" t="n">
        <v>136.5</v>
      </c>
      <c r="F1028" s="155" t="n">
        <v>273</v>
      </c>
      <c r="G1028" s="257" t="n">
        <v>151</v>
      </c>
    </row>
    <row r="1029" ht="14.25" customHeight="1" s="237">
      <c r="A1029" s="120" t="n">
        <v>4171</v>
      </c>
      <c r="B1029" s="120" t="inlineStr">
        <is>
          <t>SW4171</t>
        </is>
      </c>
      <c r="C1029" s="124" t="inlineStr">
        <is>
          <t>슈웹스레몬토닉210C X30</t>
        </is>
      </c>
      <c r="D1029" s="256" t="n">
        <v>183</v>
      </c>
      <c r="E1029" s="256" t="n">
        <v>182.5</v>
      </c>
      <c r="F1029" s="155" t="n">
        <v>365</v>
      </c>
      <c r="G1029" s="257" t="n">
        <v>182</v>
      </c>
    </row>
    <row r="1030" ht="14.25" customHeight="1" s="237">
      <c r="A1030" s="120" t="n">
        <v>4181</v>
      </c>
      <c r="B1030" s="120" t="inlineStr">
        <is>
          <t>SW4181</t>
        </is>
      </c>
      <c r="C1030" s="124" t="inlineStr">
        <is>
          <t>C-C슈웹스레몬토닉350P X12</t>
        </is>
      </c>
      <c r="D1030" s="256" t="n">
        <v>122</v>
      </c>
      <c r="E1030" s="256" t="n">
        <v>136.5</v>
      </c>
      <c r="F1030" s="155" t="n">
        <v>273</v>
      </c>
      <c r="G1030" s="257" t="n">
        <v>151</v>
      </c>
    </row>
    <row r="1031" ht="14.25" customHeight="1" s="237">
      <c r="A1031" s="126" t="n">
        <v>4185</v>
      </c>
      <c r="B1031" s="120" t="inlineStr">
        <is>
          <t>SW4185</t>
        </is>
      </c>
      <c r="C1031" s="128" t="inlineStr">
        <is>
          <t>슈웹스　레몬토닉250C X30</t>
        </is>
      </c>
      <c r="D1031" s="256" t="n">
        <v>183</v>
      </c>
      <c r="E1031" s="256" t="n">
        <v>182.5</v>
      </c>
      <c r="F1031" s="155" t="n">
        <v>365</v>
      </c>
      <c r="G1031" s="257" t="n">
        <v>182</v>
      </c>
    </row>
    <row r="1032" ht="14.25" customHeight="1" s="237">
      <c r="A1032" s="120" t="n">
        <v>4186</v>
      </c>
      <c r="B1032" s="120" t="inlineStr">
        <is>
          <t>SW4186</t>
        </is>
      </c>
      <c r="C1032" s="124" t="inlineStr">
        <is>
          <t>슈웹스　레몬토닉355C X24</t>
        </is>
      </c>
      <c r="D1032" s="256" t="n">
        <v>84</v>
      </c>
      <c r="E1032" s="256" t="n">
        <v>182.5</v>
      </c>
      <c r="F1032" s="155" t="n">
        <v>365</v>
      </c>
      <c r="G1032" s="257" t="n">
        <v>281</v>
      </c>
    </row>
    <row r="1033" ht="14.25" customHeight="1" s="237">
      <c r="A1033" s="126" t="n">
        <v>4187</v>
      </c>
      <c r="B1033" s="127" t="inlineStr">
        <is>
          <t>SW4187</t>
        </is>
      </c>
      <c r="C1033" s="128" t="inlineStr">
        <is>
          <t>슈웹스　레몬토닉1.25P X12</t>
        </is>
      </c>
      <c r="D1033" s="256" t="n">
        <v>122</v>
      </c>
      <c r="E1033" s="256" t="n">
        <v>136.5</v>
      </c>
      <c r="F1033" s="155" t="n">
        <v>273</v>
      </c>
      <c r="G1033" s="257" t="n">
        <v>151</v>
      </c>
    </row>
    <row r="1034" ht="14.25" customHeight="1" s="237">
      <c r="A1034" s="126" t="n">
        <v>8556</v>
      </c>
      <c r="B1034" s="127" t="inlineStr">
        <is>
          <t>TR8556</t>
        </is>
      </c>
      <c r="C1034" s="128" t="inlineStr">
        <is>
          <t>토레타 C-C 500PET X16</t>
        </is>
      </c>
      <c r="D1034" s="256" t="n">
        <v>183</v>
      </c>
      <c r="E1034" s="256" t="n">
        <v>182.5</v>
      </c>
      <c r="F1034" s="155" t="n">
        <v>365</v>
      </c>
      <c r="G1034" s="257" t="n">
        <v>182</v>
      </c>
    </row>
    <row r="1035" ht="14.25" customHeight="1" s="237">
      <c r="A1035" s="126" t="n">
        <v>8557</v>
      </c>
      <c r="B1035" s="127" t="inlineStr">
        <is>
          <t>TR8557</t>
        </is>
      </c>
      <c r="C1035" s="128" t="inlineStr">
        <is>
          <t>토레타 VIC 500PET X6</t>
        </is>
      </c>
      <c r="D1035" s="256" t="n">
        <v>183</v>
      </c>
      <c r="E1035" s="256" t="n">
        <v>182.5</v>
      </c>
      <c r="F1035" s="155" t="n">
        <v>365</v>
      </c>
      <c r="G1035" s="257" t="n">
        <v>182</v>
      </c>
    </row>
    <row r="1036" ht="14.25" customHeight="1" s="237">
      <c r="A1036" s="126" t="n">
        <v>8559</v>
      </c>
      <c r="B1036" s="127" t="inlineStr">
        <is>
          <t>TR8559</t>
        </is>
      </c>
      <c r="C1036" s="128" t="inlineStr">
        <is>
          <t>토레타 900PET X12</t>
        </is>
      </c>
      <c r="D1036" s="256" t="n">
        <v>183</v>
      </c>
      <c r="E1036" s="256" t="n">
        <v>182.5</v>
      </c>
      <c r="F1036" s="155" t="n">
        <v>365</v>
      </c>
      <c r="G1036" s="257" t="n">
        <v>182</v>
      </c>
    </row>
    <row r="1037" ht="14.25" customHeight="1" s="237">
      <c r="A1037" s="126" t="n">
        <v>8560</v>
      </c>
      <c r="B1037" s="127" t="inlineStr">
        <is>
          <t>TR8560</t>
        </is>
      </c>
      <c r="C1037" s="128" t="inlineStr">
        <is>
          <t>토레타 240CAN 5X6</t>
        </is>
      </c>
      <c r="D1037" s="256" t="n">
        <v>183</v>
      </c>
      <c r="E1037" s="256" t="n">
        <v>182.5</v>
      </c>
      <c r="F1037" s="155" t="n">
        <v>365</v>
      </c>
      <c r="G1037" s="257" t="n">
        <v>182</v>
      </c>
    </row>
    <row r="1038" ht="14.25" customHeight="1" s="237">
      <c r="A1038" s="120" t="n">
        <v>8561</v>
      </c>
      <c r="B1038" s="135" t="inlineStr">
        <is>
          <t>TR8561</t>
        </is>
      </c>
      <c r="C1038" s="124" t="inlineStr">
        <is>
          <t>토레타 500ml (소분)</t>
        </is>
      </c>
      <c r="D1038" s="256" t="n">
        <v>183</v>
      </c>
      <c r="E1038" s="256" t="n">
        <v>182.5</v>
      </c>
      <c r="F1038" s="155" t="n">
        <v>365</v>
      </c>
      <c r="G1038" s="257" t="n">
        <v>182</v>
      </c>
    </row>
    <row r="1039" ht="14.25" customHeight="1" s="237">
      <c r="A1039" s="120" t="n">
        <v>8562</v>
      </c>
      <c r="B1039" s="135" t="inlineStr">
        <is>
          <t>TR8562</t>
        </is>
      </c>
      <c r="C1039" s="124" t="inlineStr">
        <is>
          <t>토레타 500PET X24</t>
        </is>
      </c>
      <c r="D1039" s="256" t="n">
        <v>183</v>
      </c>
      <c r="E1039" s="256" t="n">
        <v>182.5</v>
      </c>
      <c r="F1039" s="155" t="n">
        <v>365</v>
      </c>
      <c r="G1039" s="257" t="n">
        <v>182</v>
      </c>
    </row>
    <row r="1040" ht="14.25" customHeight="1" s="237">
      <c r="A1040" s="126" t="n">
        <v>8563</v>
      </c>
      <c r="B1040" s="127" t="inlineStr">
        <is>
          <t>TR8563</t>
        </is>
      </c>
      <c r="C1040" s="128" t="inlineStr">
        <is>
          <t>토레타 1.5PET X12</t>
        </is>
      </c>
      <c r="D1040" s="256" t="n">
        <v>183</v>
      </c>
      <c r="E1040" s="256" t="n">
        <v>182.5</v>
      </c>
      <c r="F1040" s="155" t="n">
        <v>365</v>
      </c>
      <c r="G1040" s="257" t="n">
        <v>182</v>
      </c>
    </row>
    <row r="1041" ht="14.25" customHeight="1" s="237">
      <c r="A1041" s="126" t="n">
        <v>8564</v>
      </c>
      <c r="B1041" s="127" t="inlineStr">
        <is>
          <t>TR8564</t>
        </is>
      </c>
      <c r="C1041" s="128" t="inlineStr">
        <is>
          <t>토레타 1.5PET 6X2</t>
        </is>
      </c>
      <c r="D1041" s="256" t="n">
        <v>183</v>
      </c>
      <c r="E1041" s="256" t="n">
        <v>182.5</v>
      </c>
      <c r="F1041" s="155" t="n">
        <v>365</v>
      </c>
      <c r="G1041" s="257" t="n">
        <v>182</v>
      </c>
    </row>
    <row r="1042" ht="14.25" customHeight="1" s="237">
      <c r="A1042" s="126" t="n">
        <v>8568</v>
      </c>
      <c r="B1042" s="127" t="inlineStr">
        <is>
          <t>TR8568</t>
        </is>
      </c>
      <c r="C1042" s="128" t="inlineStr">
        <is>
          <t>토레타 340CAN X24</t>
        </is>
      </c>
      <c r="D1042" s="256" t="n">
        <v>183</v>
      </c>
      <c r="E1042" s="256" t="n">
        <v>182.5</v>
      </c>
      <c r="F1042" s="155" t="n">
        <v>365</v>
      </c>
      <c r="G1042" s="257" t="n">
        <v>182</v>
      </c>
    </row>
    <row r="1043" ht="14.25" customHeight="1" s="237">
      <c r="A1043" s="126" t="n">
        <v>8569</v>
      </c>
      <c r="B1043" s="127" t="inlineStr">
        <is>
          <t>TR8569</t>
        </is>
      </c>
      <c r="C1043" s="128" t="inlineStr">
        <is>
          <t>토레타 240CAN X30</t>
        </is>
      </c>
      <c r="D1043" s="256" t="n">
        <v>183</v>
      </c>
      <c r="E1043" s="256" t="n">
        <v>182.5</v>
      </c>
      <c r="F1043" s="155" t="n">
        <v>365</v>
      </c>
      <c r="G1043" s="257" t="n">
        <v>182</v>
      </c>
    </row>
    <row r="1044" ht="14.25" customHeight="1" s="237">
      <c r="A1044" s="126" t="n">
        <v>8569</v>
      </c>
      <c r="B1044" s="127" t="inlineStr">
        <is>
          <t>TR8569</t>
        </is>
      </c>
      <c r="C1044" s="128" t="inlineStr">
        <is>
          <t>토레타 240CAN X30</t>
        </is>
      </c>
      <c r="D1044" s="256" t="n">
        <v>183</v>
      </c>
      <c r="E1044" s="256" t="n">
        <v>182.5</v>
      </c>
      <c r="F1044" s="155" t="n">
        <v>365</v>
      </c>
      <c r="G1044" s="257" t="n">
        <v>182</v>
      </c>
    </row>
    <row r="1045" ht="14.25" customHeight="1" s="237">
      <c r="A1045" s="126" t="n">
        <v>8571</v>
      </c>
      <c r="B1045" s="127" t="inlineStr">
        <is>
          <t>TR8571</t>
        </is>
      </c>
      <c r="C1045" s="128" t="inlineStr">
        <is>
          <t>토레타 900PET 2X6</t>
        </is>
      </c>
      <c r="D1045" s="128" t="n">
        <v>183</v>
      </c>
      <c r="E1045" s="128" t="n">
        <v>182.5</v>
      </c>
      <c r="F1045" s="158" t="n">
        <v>365</v>
      </c>
      <c r="G1045" s="254" t="n">
        <v>182</v>
      </c>
    </row>
    <row r="1046" ht="14.25" customHeight="1" s="237">
      <c r="A1046" s="126" t="n">
        <v>8575</v>
      </c>
      <c r="B1046" s="127" t="inlineStr">
        <is>
          <t>TR8575</t>
        </is>
      </c>
      <c r="C1046" s="128" t="inlineStr">
        <is>
          <t>토레타 990PET 2X6</t>
        </is>
      </c>
      <c r="D1046" s="128" t="n">
        <v>183</v>
      </c>
      <c r="E1046" s="128" t="n">
        <v>182.5</v>
      </c>
      <c r="F1046" s="158" t="n">
        <v>365</v>
      </c>
      <c r="G1046" s="254" t="n">
        <v>182</v>
      </c>
    </row>
    <row r="1047" ht="14.25" customHeight="1" s="237">
      <c r="A1047" s="126" t="n">
        <v>8576</v>
      </c>
      <c r="B1047" s="127" t="inlineStr">
        <is>
          <t>TR8576</t>
        </is>
      </c>
      <c r="C1047" s="128" t="inlineStr">
        <is>
          <t>토레타 1.5PET 2X6</t>
        </is>
      </c>
      <c r="D1047" s="256" t="n">
        <v>183</v>
      </c>
      <c r="E1047" s="256" t="n">
        <v>182.5</v>
      </c>
      <c r="F1047" s="155" t="n">
        <v>365</v>
      </c>
      <c r="G1047" s="257" t="n">
        <v>182</v>
      </c>
    </row>
    <row r="1048" ht="14.25" customHeight="1" s="237">
      <c r="A1048" s="126" t="n">
        <v>8578</v>
      </c>
      <c r="B1048" s="127" t="inlineStr">
        <is>
          <t>TR8578</t>
        </is>
      </c>
      <c r="C1048" s="128" t="inlineStr">
        <is>
          <t>토레타(컬러필름) 900PET 2X6</t>
        </is>
      </c>
      <c r="D1048" s="128" t="n">
        <v>183</v>
      </c>
      <c r="E1048" s="128" t="n">
        <v>182.5</v>
      </c>
      <c r="F1048" s="158" t="n">
        <v>365</v>
      </c>
      <c r="G1048" s="254" t="n">
        <v>182</v>
      </c>
    </row>
    <row r="1049" ht="14.25" customHeight="1" s="237">
      <c r="A1049" s="126" t="n">
        <v>8581</v>
      </c>
      <c r="B1049" s="127" t="inlineStr">
        <is>
          <t>TR8581</t>
        </is>
      </c>
      <c r="C1049" s="128" t="inlineStr">
        <is>
          <t>토레타 C-C 500PET X20</t>
        </is>
      </c>
      <c r="D1049" s="256" t="n">
        <v>183</v>
      </c>
      <c r="E1049" s="256" t="n">
        <v>182.5</v>
      </c>
      <c r="F1049" s="155" t="n">
        <v>365</v>
      </c>
      <c r="G1049" s="257" t="n">
        <v>182</v>
      </c>
    </row>
    <row r="1050" ht="14.25" customHeight="1" s="237">
      <c r="A1050" s="126" t="n">
        <v>8583</v>
      </c>
      <c r="B1050" s="127" t="inlineStr">
        <is>
          <t>TR8583</t>
        </is>
      </c>
      <c r="C1050" s="128" t="inlineStr">
        <is>
          <t>토레타 로즈힙워터 500PET X24</t>
        </is>
      </c>
      <c r="D1050" s="256" t="n">
        <v>183</v>
      </c>
      <c r="E1050" s="256" t="n">
        <v>182.5</v>
      </c>
      <c r="F1050" s="155" t="n">
        <v>365</v>
      </c>
      <c r="G1050" s="257" t="n">
        <v>182</v>
      </c>
    </row>
    <row r="1051" ht="14.25" customHeight="1" s="237">
      <c r="A1051" s="126" t="n">
        <v>8584</v>
      </c>
      <c r="B1051" s="127" t="inlineStr">
        <is>
          <t>TR8584</t>
        </is>
      </c>
      <c r="C1051" s="128" t="inlineStr">
        <is>
          <t>토레타 로즈힙워터 500PET 4X6</t>
        </is>
      </c>
      <c r="D1051" s="256" t="n">
        <v>183</v>
      </c>
      <c r="E1051" s="256" t="n">
        <v>182.5</v>
      </c>
      <c r="F1051" s="155" t="n">
        <v>365</v>
      </c>
      <c r="G1051" s="257" t="n">
        <v>182</v>
      </c>
    </row>
    <row r="1052" ht="14.25" customHeight="1" s="237">
      <c r="A1052" s="126" t="n">
        <v>8588</v>
      </c>
      <c r="B1052" s="127" t="inlineStr">
        <is>
          <t>TR8588</t>
        </is>
      </c>
      <c r="C1052" s="128" t="inlineStr">
        <is>
          <t>토레타 THE락토 500PET 4X6</t>
        </is>
      </c>
      <c r="D1052" s="256" t="n">
        <v>84</v>
      </c>
      <c r="E1052" s="256" t="n">
        <v>182.5</v>
      </c>
      <c r="F1052" s="155" t="n">
        <v>365</v>
      </c>
      <c r="G1052" s="257" t="n">
        <v>281</v>
      </c>
    </row>
    <row r="1053" ht="14.25" customHeight="1" s="237">
      <c r="A1053" s="140" t="inlineStr">
        <is>
          <t>TY0002</t>
        </is>
      </c>
      <c r="B1053" s="140" t="inlineStr">
        <is>
          <t>TY0002</t>
        </is>
      </c>
      <c r="C1053" s="3" t="inlineStr">
        <is>
          <t>태양의마테차 350PET</t>
        </is>
      </c>
      <c r="D1053" s="256" t="n">
        <v>183</v>
      </c>
      <c r="E1053" s="256" t="n">
        <v>182.5</v>
      </c>
      <c r="F1053" s="155" t="n">
        <v>365</v>
      </c>
      <c r="G1053" s="257" t="n">
        <v>182</v>
      </c>
    </row>
    <row r="1054" ht="14.25" customHeight="1" s="237">
      <c r="A1054" s="120" t="n">
        <v>8186</v>
      </c>
      <c r="B1054" s="120" t="inlineStr">
        <is>
          <t>TY8186</t>
        </is>
      </c>
      <c r="C1054" s="124" t="inlineStr">
        <is>
          <t>태양의 마테차175C X30</t>
        </is>
      </c>
      <c r="D1054" s="256" t="n">
        <v>183</v>
      </c>
      <c r="E1054" s="256" t="n">
        <v>182.5</v>
      </c>
      <c r="F1054" s="155" t="n">
        <v>365</v>
      </c>
      <c r="G1054" s="257" t="n">
        <v>182</v>
      </c>
    </row>
    <row r="1055" ht="14.25" customHeight="1" s="237">
      <c r="A1055" s="120" t="n">
        <v>8187</v>
      </c>
      <c r="B1055" s="120" t="inlineStr">
        <is>
          <t>TY8187</t>
        </is>
      </c>
      <c r="C1055" s="124" t="inlineStr">
        <is>
          <t>태양의 마테차500P X24</t>
        </is>
      </c>
      <c r="D1055" s="256" t="n">
        <v>183</v>
      </c>
      <c r="E1055" s="256" t="n">
        <v>182.5</v>
      </c>
      <c r="F1055" s="155" t="n">
        <v>365</v>
      </c>
      <c r="G1055" s="257" t="n">
        <v>182</v>
      </c>
    </row>
    <row r="1056" ht="14.25" customHeight="1" s="237">
      <c r="A1056" s="120" t="n">
        <v>8188</v>
      </c>
      <c r="B1056" s="120" t="inlineStr">
        <is>
          <t>TY8188</t>
        </is>
      </c>
      <c r="C1056" s="124" t="inlineStr">
        <is>
          <t>태양의 마테차500P 4X6</t>
        </is>
      </c>
      <c r="D1056" s="256" t="n">
        <v>183</v>
      </c>
      <c r="E1056" s="256" t="n">
        <v>182.5</v>
      </c>
      <c r="F1056" s="155" t="n">
        <v>365</v>
      </c>
      <c r="G1056" s="257" t="n">
        <v>182</v>
      </c>
    </row>
    <row r="1057" ht="14.25" customHeight="1" s="237">
      <c r="A1057" s="120" t="n">
        <v>8189</v>
      </c>
      <c r="B1057" s="120" t="inlineStr">
        <is>
          <t>TY8189</t>
        </is>
      </c>
      <c r="C1057" s="124" t="inlineStr">
        <is>
          <t>태양의 마테차1.5P X12</t>
        </is>
      </c>
      <c r="D1057" s="256" t="n">
        <v>183</v>
      </c>
      <c r="E1057" s="256" t="n">
        <v>182.5</v>
      </c>
      <c r="F1057" s="155" t="n">
        <v>365</v>
      </c>
      <c r="G1057" s="257" t="n">
        <v>182</v>
      </c>
    </row>
    <row r="1058" ht="14.25" customHeight="1" s="237">
      <c r="A1058" s="120" t="n">
        <v>8193</v>
      </c>
      <c r="B1058" s="120" t="inlineStr">
        <is>
          <t>TY8193</t>
        </is>
      </c>
      <c r="C1058" s="124" t="inlineStr">
        <is>
          <t>태양의마테차박스500PX12</t>
        </is>
      </c>
      <c r="D1058" s="256" t="n">
        <v>183</v>
      </c>
      <c r="E1058" s="256" t="n">
        <v>182.5</v>
      </c>
      <c r="F1058" s="155" t="n">
        <v>365</v>
      </c>
      <c r="G1058" s="257" t="n">
        <v>182</v>
      </c>
    </row>
    <row r="1059" ht="14.25" customHeight="1" s="237">
      <c r="A1059" s="120" t="n">
        <v>8197</v>
      </c>
      <c r="B1059" s="120" t="inlineStr">
        <is>
          <t>TY8197</t>
        </is>
      </c>
      <c r="C1059" s="124" t="inlineStr">
        <is>
          <t>태양의맑게우린차500P X24</t>
        </is>
      </c>
      <c r="D1059" s="256" t="n">
        <v>183</v>
      </c>
      <c r="E1059" s="256" t="n">
        <v>182.5</v>
      </c>
      <c r="F1059" s="155" t="n">
        <v>365</v>
      </c>
      <c r="G1059" s="257" t="n">
        <v>182</v>
      </c>
    </row>
    <row r="1060" ht="14.25" customHeight="1" s="237">
      <c r="A1060" s="120" t="n">
        <v>8198</v>
      </c>
      <c r="B1060" s="120" t="inlineStr">
        <is>
          <t>TY8198</t>
        </is>
      </c>
      <c r="C1060" s="124" t="inlineStr">
        <is>
          <t>마테차류혼합팩500P 5X4</t>
        </is>
      </c>
      <c r="D1060" s="256" t="n">
        <v>183</v>
      </c>
      <c r="E1060" s="256" t="n">
        <v>182.5</v>
      </c>
      <c r="F1060" s="155" t="n">
        <v>365</v>
      </c>
      <c r="G1060" s="257" t="n">
        <v>182</v>
      </c>
    </row>
    <row r="1061" ht="14.25" customHeight="1" s="237">
      <c r="A1061" s="126" t="n">
        <v>8199</v>
      </c>
      <c r="B1061" s="120" t="inlineStr">
        <is>
          <t>TY8199</t>
        </is>
      </c>
      <c r="C1061" s="128" t="inlineStr">
        <is>
          <t>마테차류기획팩500P 8X3</t>
        </is>
      </c>
      <c r="D1061" s="256" t="n">
        <v>183</v>
      </c>
      <c r="E1061" s="256" t="n">
        <v>182.5</v>
      </c>
      <c r="F1061" s="155" t="n">
        <v>365</v>
      </c>
      <c r="G1061" s="257" t="n">
        <v>182</v>
      </c>
    </row>
    <row r="1062" ht="14.25" customHeight="1" s="237">
      <c r="A1062" s="120" t="n">
        <v>8201</v>
      </c>
      <c r="B1062" s="120" t="inlineStr">
        <is>
          <t>TY8201</t>
        </is>
      </c>
      <c r="C1062" s="124" t="inlineStr">
        <is>
          <t>태양의 마테차340P X20</t>
        </is>
      </c>
      <c r="D1062" s="256" t="n">
        <v>183</v>
      </c>
      <c r="E1062" s="256" t="n">
        <v>182.5</v>
      </c>
      <c r="F1062" s="155" t="n">
        <v>365</v>
      </c>
      <c r="G1062" s="257" t="n">
        <v>182</v>
      </c>
    </row>
    <row r="1063" ht="14.25" customHeight="1" s="237">
      <c r="A1063" s="126" t="n">
        <v>8202</v>
      </c>
      <c r="B1063" s="127" t="inlineStr">
        <is>
          <t>TY8202</t>
        </is>
      </c>
      <c r="C1063" s="128" t="inlineStr">
        <is>
          <t>태양의 원차 주전자차 보리 500PET 4X6</t>
        </is>
      </c>
      <c r="D1063" s="256" t="n">
        <v>183</v>
      </c>
      <c r="E1063" s="256" t="n">
        <v>182.5</v>
      </c>
      <c r="F1063" s="155" t="n">
        <v>365</v>
      </c>
      <c r="G1063" s="257" t="n">
        <v>182</v>
      </c>
    </row>
    <row r="1064" ht="14.25" customHeight="1" s="237">
      <c r="A1064" s="126" t="n">
        <v>8204</v>
      </c>
      <c r="B1064" s="127" t="inlineStr">
        <is>
          <t>TY8204</t>
        </is>
      </c>
      <c r="C1064" s="128" t="inlineStr">
        <is>
          <t>태양의 원차 주전자차 옥수수 500PET 4X6</t>
        </is>
      </c>
      <c r="D1064" s="256" t="n">
        <v>183</v>
      </c>
      <c r="E1064" s="256" t="n">
        <v>182.5</v>
      </c>
      <c r="F1064" s="155" t="n">
        <v>365</v>
      </c>
      <c r="G1064" s="257" t="n">
        <v>182</v>
      </c>
    </row>
    <row r="1065" ht="14.25" customHeight="1" s="237">
      <c r="A1065" s="126" t="n">
        <v>1000</v>
      </c>
      <c r="B1065" s="127" t="inlineStr">
        <is>
          <t>MM1000</t>
        </is>
      </c>
      <c r="C1065" s="128" t="inlineStr">
        <is>
          <t>미닛 허니&amp;유자 280PET 4X6</t>
        </is>
      </c>
      <c r="D1065" s="256" t="n">
        <v>183</v>
      </c>
      <c r="E1065" s="256" t="n">
        <v>182.5</v>
      </c>
      <c r="F1065" s="155" t="n">
        <v>365</v>
      </c>
      <c r="G1065" s="257" t="n">
        <v>182</v>
      </c>
    </row>
    <row r="1066" ht="14.25" customHeight="1" s="237">
      <c r="A1066" s="126" t="n">
        <v>1001</v>
      </c>
      <c r="B1066" s="127" t="inlineStr">
        <is>
          <t>MM1001</t>
        </is>
      </c>
      <c r="C1066" s="128" t="inlineStr">
        <is>
          <t>미닛 모과&amp;생강 280PET 4X6</t>
        </is>
      </c>
      <c r="D1066" s="256" t="n">
        <v>229</v>
      </c>
      <c r="E1066" s="256" t="n">
        <v>229</v>
      </c>
      <c r="F1066" s="155" t="n">
        <v>457</v>
      </c>
      <c r="G1066" s="257" t="n">
        <v>228</v>
      </c>
    </row>
    <row r="1067" ht="14.25" customHeight="1" s="237">
      <c r="A1067" s="126" t="n">
        <v>1002</v>
      </c>
      <c r="B1067" s="127" t="inlineStr">
        <is>
          <t>MM1002</t>
        </is>
      </c>
      <c r="C1067" s="128" t="inlineStr">
        <is>
          <t>미닛 레몬에이드 350PET 4X6</t>
        </is>
      </c>
      <c r="D1067" s="256" t="n">
        <v>136</v>
      </c>
      <c r="E1067" s="256" t="n">
        <v>136</v>
      </c>
      <c r="F1067" s="155" t="n">
        <v>270</v>
      </c>
      <c r="G1067" s="257" t="n">
        <v>135</v>
      </c>
    </row>
    <row r="1068" ht="14.25" customHeight="1" s="237">
      <c r="A1068" s="126" t="n">
        <v>1003</v>
      </c>
      <c r="B1068" s="127" t="inlineStr">
        <is>
          <t>MM1003</t>
        </is>
      </c>
      <c r="C1068" s="128" t="inlineStr">
        <is>
          <t>미닛 레몬에이드 제로 350PET 4X6</t>
        </is>
      </c>
      <c r="D1068" s="256" t="n">
        <v>136</v>
      </c>
      <c r="E1068" s="256" t="n">
        <v>136</v>
      </c>
      <c r="F1068" s="155" t="n">
        <v>270</v>
      </c>
      <c r="G1068" s="257" t="n">
        <v>135</v>
      </c>
    </row>
    <row r="1069" ht="14.25" customHeight="1" s="237">
      <c r="A1069" s="126" t="inlineStr">
        <is>
          <t>MM8428</t>
        </is>
      </c>
      <c r="B1069" s="127" t="inlineStr">
        <is>
          <t>MM8428</t>
        </is>
      </c>
      <c r="C1069" s="128" t="inlineStr">
        <is>
          <t>S)미닛 피치에이드 제로 350PET 4X6</t>
        </is>
      </c>
      <c r="D1069" s="256" t="n">
        <v>136</v>
      </c>
      <c r="E1069" s="256" t="n">
        <v>136</v>
      </c>
      <c r="F1069" s="155" t="n">
        <v>273</v>
      </c>
      <c r="G1069" s="257" t="n">
        <v>135</v>
      </c>
    </row>
    <row r="1070" ht="14.25" customHeight="1" s="237">
      <c r="A1070" s="126" t="n">
        <v>1005</v>
      </c>
      <c r="B1070" s="127" t="inlineStr">
        <is>
          <t>MM1005</t>
        </is>
      </c>
      <c r="C1070" s="128" t="inlineStr">
        <is>
          <t>미닛 레몬에이드 탄산 500PET 4X6</t>
        </is>
      </c>
      <c r="D1070" s="256" t="n">
        <v>183</v>
      </c>
      <c r="E1070" s="256" t="n">
        <v>182.5</v>
      </c>
      <c r="F1070" s="155" t="n">
        <v>365</v>
      </c>
      <c r="G1070" s="257" t="n">
        <v>182</v>
      </c>
    </row>
    <row r="1071" ht="14.25" customHeight="1" s="237">
      <c r="A1071" s="126" t="n">
        <v>8701</v>
      </c>
      <c r="B1071" s="127" t="inlineStr">
        <is>
          <t>VD8701</t>
        </is>
      </c>
      <c r="C1071" s="128" t="inlineStr">
        <is>
          <t>휘오다이아스파클링350P X20</t>
        </is>
      </c>
      <c r="D1071" s="256" t="n">
        <v>183</v>
      </c>
      <c r="E1071" s="256" t="n">
        <v>182.5</v>
      </c>
      <c r="F1071" s="155" t="n">
        <v>365</v>
      </c>
      <c r="G1071" s="257" t="n">
        <v>182</v>
      </c>
    </row>
    <row r="1072" ht="14.25" customHeight="1" s="237">
      <c r="A1072" s="126" t="n">
        <v>8702</v>
      </c>
      <c r="B1072" s="127" t="inlineStr">
        <is>
          <t>VD8702</t>
        </is>
      </c>
      <c r="C1072" s="128" t="inlineStr">
        <is>
          <t>S휘오다이아스파클링350P 4X6</t>
        </is>
      </c>
      <c r="D1072" s="256" t="n">
        <v>183</v>
      </c>
      <c r="E1072" s="256" t="n">
        <v>182.5</v>
      </c>
      <c r="F1072" s="155" t="n">
        <v>365</v>
      </c>
      <c r="G1072" s="257" t="n">
        <v>182</v>
      </c>
    </row>
    <row r="1073" ht="14.25" customHeight="1" s="237">
      <c r="A1073" s="126" t="n">
        <v>8778</v>
      </c>
      <c r="B1073" s="127" t="inlineStr">
        <is>
          <t>VD8778</t>
        </is>
      </c>
      <c r="C1073" s="128" t="inlineStr">
        <is>
          <t>군납휘오다이아EC 500P X20</t>
        </is>
      </c>
      <c r="D1073" s="256" t="n">
        <v>183</v>
      </c>
      <c r="E1073" s="256" t="n">
        <v>182.5</v>
      </c>
      <c r="F1073" s="155" t="n">
        <v>365</v>
      </c>
      <c r="G1073" s="257" t="n">
        <v>182</v>
      </c>
    </row>
    <row r="1074" ht="14.25" customHeight="1" s="237">
      <c r="A1074" s="126" t="n">
        <v>8779</v>
      </c>
      <c r="B1074" s="127" t="inlineStr">
        <is>
          <t>VD8779</t>
        </is>
      </c>
      <c r="C1074" s="128" t="inlineStr">
        <is>
          <t>군납휘오다이아EC 2.0P X6</t>
        </is>
      </c>
      <c r="D1074" s="256" t="n">
        <v>183</v>
      </c>
      <c r="E1074" s="256" t="n">
        <v>182.5</v>
      </c>
      <c r="F1074" s="155" t="n">
        <v>365</v>
      </c>
      <c r="G1074" s="257" t="n">
        <v>182</v>
      </c>
    </row>
    <row r="1075" ht="14.25" customHeight="1" s="237">
      <c r="A1075" s="120" t="n">
        <v>8791</v>
      </c>
      <c r="B1075" s="120" t="inlineStr">
        <is>
          <t>VD8791</t>
        </is>
      </c>
      <c r="C1075" s="124" t="inlineStr">
        <is>
          <t>휘오다이아몬드EC 300P X20</t>
        </is>
      </c>
      <c r="D1075" s="256" t="n">
        <v>183</v>
      </c>
      <c r="E1075" s="256" t="n">
        <v>182.5</v>
      </c>
      <c r="F1075" s="155" t="n">
        <v>365</v>
      </c>
      <c r="G1075" s="257" t="n">
        <v>182</v>
      </c>
    </row>
    <row r="1076" ht="14.25" customHeight="1" s="237">
      <c r="A1076" s="120" t="n">
        <v>8792</v>
      </c>
      <c r="B1076" s="120" t="inlineStr">
        <is>
          <t>VD8792</t>
        </is>
      </c>
      <c r="C1076" s="124" t="inlineStr">
        <is>
          <t>휘오다이아몬드S 300P X20</t>
        </is>
      </c>
      <c r="D1076" s="256" t="n">
        <v>183</v>
      </c>
      <c r="E1076" s="256" t="n">
        <v>182.5</v>
      </c>
      <c r="F1076" s="155" t="n">
        <v>365</v>
      </c>
      <c r="G1076" s="257" t="n">
        <v>182</v>
      </c>
    </row>
    <row r="1077" ht="14.25" customHeight="1" s="237">
      <c r="A1077" s="120" t="n">
        <v>8793</v>
      </c>
      <c r="B1077" s="120" t="inlineStr">
        <is>
          <t>VD8793</t>
        </is>
      </c>
      <c r="C1077" s="124" t="inlineStr">
        <is>
          <t>ET휘오다이아몬드S 300PX30</t>
        </is>
      </c>
      <c r="D1077" s="256" t="n">
        <v>183</v>
      </c>
      <c r="E1077" s="256" t="n">
        <v>182.5</v>
      </c>
      <c r="F1077" s="155" t="n">
        <v>365</v>
      </c>
      <c r="G1077" s="257" t="n">
        <v>182</v>
      </c>
    </row>
    <row r="1078" ht="14.25" customHeight="1" s="237">
      <c r="A1078" s="120" t="n">
        <v>8794</v>
      </c>
      <c r="B1078" s="120" t="inlineStr">
        <is>
          <t>VD8794</t>
        </is>
      </c>
      <c r="C1078" s="124" t="inlineStr">
        <is>
          <t>휘오다이아몬드SE 400P X20</t>
        </is>
      </c>
      <c r="D1078" s="256" t="n">
        <v>183</v>
      </c>
      <c r="E1078" s="256" t="n">
        <v>182.5</v>
      </c>
      <c r="F1078" s="155" t="n">
        <v>365</v>
      </c>
      <c r="G1078" s="257" t="n">
        <v>182</v>
      </c>
    </row>
    <row r="1079" ht="14.25" customHeight="1" s="237">
      <c r="A1079" s="120" t="n">
        <v>8796</v>
      </c>
      <c r="B1079" s="120" t="inlineStr">
        <is>
          <t>VD8796</t>
        </is>
      </c>
      <c r="C1079" s="124" t="inlineStr">
        <is>
          <t>휘오다이아몬드EC 300P 2X20</t>
        </is>
      </c>
      <c r="D1079" s="256" t="n">
        <v>183</v>
      </c>
      <c r="E1079" s="256" t="n">
        <v>182.5</v>
      </c>
      <c r="F1079" s="155" t="n">
        <v>365</v>
      </c>
      <c r="G1079" s="257" t="n">
        <v>182</v>
      </c>
    </row>
    <row r="1080" ht="14.25" customHeight="1" s="237">
      <c r="A1080" s="120" t="n">
        <v>8797</v>
      </c>
      <c r="B1080" s="120" t="inlineStr">
        <is>
          <t>VD8797</t>
        </is>
      </c>
      <c r="C1080" s="124" t="inlineStr">
        <is>
          <t>휘오다이아몬드EC 500P 2X20</t>
        </is>
      </c>
      <c r="D1080" s="256" t="n">
        <v>183</v>
      </c>
      <c r="E1080" s="256" t="n">
        <v>182.5</v>
      </c>
      <c r="F1080" s="155" t="n">
        <v>365</v>
      </c>
      <c r="G1080" s="257" t="n">
        <v>182</v>
      </c>
    </row>
    <row r="1081" ht="14.25" customHeight="1" s="237">
      <c r="A1081" s="120" t="n">
        <v>8798</v>
      </c>
      <c r="B1081" s="120" t="inlineStr">
        <is>
          <t>VD8798</t>
        </is>
      </c>
      <c r="C1081" s="124" t="inlineStr">
        <is>
          <t>휘오다이아몬드EC 2.0P X9</t>
        </is>
      </c>
      <c r="D1081" s="256" t="n">
        <v>183</v>
      </c>
      <c r="E1081" s="256" t="n">
        <v>182.5</v>
      </c>
      <c r="F1081" s="155" t="n">
        <v>365</v>
      </c>
      <c r="G1081" s="257" t="n">
        <v>182</v>
      </c>
    </row>
    <row r="1082" ht="14.25" customHeight="1" s="237">
      <c r="A1082" s="120" t="n">
        <v>8802</v>
      </c>
      <c r="B1082" s="120" t="inlineStr">
        <is>
          <t>VD8802</t>
        </is>
      </c>
      <c r="C1082" s="124" t="inlineStr">
        <is>
          <t>휘오다이아몬드EC 2.0P X6</t>
        </is>
      </c>
      <c r="D1082" s="256" t="n">
        <v>183</v>
      </c>
      <c r="E1082" s="256" t="n">
        <v>182.5</v>
      </c>
      <c r="F1082" s="155" t="n">
        <v>365</v>
      </c>
      <c r="G1082" s="257" t="n">
        <v>182</v>
      </c>
      <c r="K1082" s="129" t="n"/>
    </row>
    <row r="1083" ht="14.25" customHeight="1" s="237">
      <c r="A1083" s="120" t="n">
        <v>8807</v>
      </c>
      <c r="B1083" s="120" t="inlineStr">
        <is>
          <t>VD8807</t>
        </is>
      </c>
      <c r="C1083" s="124" t="inlineStr">
        <is>
          <t>N휘오다이아몬드EC 500P X20</t>
        </is>
      </c>
      <c r="D1083" s="256" t="n">
        <v>183</v>
      </c>
      <c r="E1083" s="256" t="n">
        <v>182.5</v>
      </c>
      <c r="F1083" s="155" t="n">
        <v>365</v>
      </c>
      <c r="G1083" s="257" t="n">
        <v>182</v>
      </c>
    </row>
    <row r="1084" ht="14.25" customHeight="1" s="237">
      <c r="A1084" s="120" t="n">
        <v>8808</v>
      </c>
      <c r="B1084" s="120" t="inlineStr">
        <is>
          <t>VD8808</t>
        </is>
      </c>
      <c r="C1084" s="124" t="inlineStr">
        <is>
          <t>H휘오다이아몬드EC 500P X20</t>
        </is>
      </c>
      <c r="D1084" s="256" t="n">
        <v>183</v>
      </c>
      <c r="E1084" s="256" t="n">
        <v>182.5</v>
      </c>
      <c r="F1084" s="155" t="n">
        <v>365</v>
      </c>
      <c r="G1084" s="257" t="n">
        <v>182</v>
      </c>
    </row>
    <row r="1085" ht="14.25" customHeight="1" s="237">
      <c r="A1085" s="120" t="n">
        <v>8809</v>
      </c>
      <c r="B1085" s="120" t="inlineStr">
        <is>
          <t>VD8809</t>
        </is>
      </c>
      <c r="C1085" s="124" t="inlineStr">
        <is>
          <t>휘오다이아몬드EC 2.0P 2X6</t>
        </is>
      </c>
      <c r="D1085" s="256" t="n">
        <v>183</v>
      </c>
      <c r="E1085" s="256" t="n">
        <v>182.5</v>
      </c>
      <c r="F1085" s="155" t="n">
        <v>365</v>
      </c>
      <c r="G1085" s="257" t="n">
        <v>182</v>
      </c>
    </row>
    <row r="1086" ht="14.25" customHeight="1" s="237">
      <c r="A1086" s="120" t="n">
        <v>8840</v>
      </c>
      <c r="B1086" s="120" t="inlineStr">
        <is>
          <t>VD8840</t>
        </is>
      </c>
      <c r="C1086" s="124" t="inlineStr">
        <is>
          <t>휘오다이아몬드500P X20</t>
        </is>
      </c>
      <c r="D1086" s="256" t="n">
        <v>183</v>
      </c>
      <c r="E1086" s="256" t="n">
        <v>182.5</v>
      </c>
      <c r="F1086" s="155" t="n">
        <v>365</v>
      </c>
      <c r="G1086" s="257" t="n">
        <v>182</v>
      </c>
    </row>
    <row r="1087" ht="14.25" customHeight="1" s="237">
      <c r="A1087" s="120" t="n">
        <v>8842</v>
      </c>
      <c r="B1087" s="120" t="inlineStr">
        <is>
          <t>VD8842</t>
        </is>
      </c>
      <c r="C1087" s="124" t="inlineStr">
        <is>
          <t>휘오다이아몬드1.8P X12</t>
        </is>
      </c>
      <c r="D1087" s="256" t="n">
        <v>183</v>
      </c>
      <c r="E1087" s="256" t="n">
        <v>182.5</v>
      </c>
      <c r="F1087" s="155" t="n">
        <v>365</v>
      </c>
      <c r="G1087" s="257" t="n">
        <v>182</v>
      </c>
    </row>
    <row r="1088" ht="14.25" customHeight="1" s="237">
      <c r="A1088" s="120" t="n">
        <v>8844</v>
      </c>
      <c r="B1088" s="120" t="inlineStr">
        <is>
          <t>VD8844</t>
        </is>
      </c>
      <c r="C1088" s="124" t="inlineStr">
        <is>
          <t>휘오다이아몬드18.9P X1</t>
        </is>
      </c>
      <c r="D1088" s="256" t="n">
        <v>92</v>
      </c>
      <c r="E1088" s="256" t="n">
        <v>91.5</v>
      </c>
      <c r="F1088" s="155" t="n">
        <v>183</v>
      </c>
      <c r="G1088" s="257" t="n">
        <v>91</v>
      </c>
    </row>
    <row r="1089" ht="14.25" customHeight="1" s="237">
      <c r="A1089" s="120" t="n">
        <v>8879</v>
      </c>
      <c r="B1089" s="120" t="inlineStr">
        <is>
          <t>VD8879</t>
        </is>
      </c>
      <c r="C1089" s="124" t="inlineStr">
        <is>
          <t>휘오다이아군납용18.9P X1</t>
        </is>
      </c>
      <c r="D1089" s="256" t="n">
        <v>92</v>
      </c>
      <c r="E1089" s="256" t="n">
        <v>91.5</v>
      </c>
      <c r="F1089" s="155" t="n">
        <v>183</v>
      </c>
      <c r="G1089" s="257" t="n">
        <v>91</v>
      </c>
    </row>
    <row r="1090" ht="14.25" customHeight="1" s="237">
      <c r="A1090" s="120" t="n">
        <v>8880</v>
      </c>
      <c r="B1090" s="120" t="inlineStr">
        <is>
          <t>VD8880</t>
        </is>
      </c>
      <c r="C1090" s="124" t="inlineStr">
        <is>
          <t>휘오다이아군납용500P X20</t>
        </is>
      </c>
      <c r="D1090" s="256" t="n">
        <v>183</v>
      </c>
      <c r="E1090" s="256" t="n">
        <v>182.5</v>
      </c>
      <c r="F1090" s="155" t="n">
        <v>365</v>
      </c>
      <c r="G1090" s="257" t="n">
        <v>182</v>
      </c>
    </row>
    <row r="1091" ht="14.25" customHeight="1" s="237">
      <c r="A1091" s="120" t="n">
        <v>8882</v>
      </c>
      <c r="B1091" s="120" t="inlineStr">
        <is>
          <t>VD8882</t>
        </is>
      </c>
      <c r="C1091" s="124" t="inlineStr">
        <is>
          <t>휘오다이아군납용1.8P X12</t>
        </is>
      </c>
      <c r="D1091" s="256" t="n">
        <v>183</v>
      </c>
      <c r="E1091" s="256" t="n">
        <v>182.5</v>
      </c>
      <c r="F1091" s="155" t="n">
        <v>365</v>
      </c>
      <c r="G1091" s="257" t="n">
        <v>182</v>
      </c>
    </row>
    <row r="1092" ht="14.25" customHeight="1" s="237">
      <c r="A1092" s="120" t="n">
        <v>8883</v>
      </c>
      <c r="B1092" s="120" t="inlineStr">
        <is>
          <t>VD8883</t>
        </is>
      </c>
      <c r="C1092" s="124" t="inlineStr">
        <is>
          <t>휘오다이아군납용900P X20</t>
        </is>
      </c>
      <c r="D1092" s="256" t="n">
        <v>183</v>
      </c>
      <c r="E1092" s="256" t="n">
        <v>182.5</v>
      </c>
      <c r="F1092" s="155" t="n">
        <v>365</v>
      </c>
      <c r="G1092" s="257" t="n">
        <v>182</v>
      </c>
    </row>
    <row r="1093" ht="14.25" customHeight="1" s="237">
      <c r="A1093" s="120" t="n">
        <v>8815</v>
      </c>
      <c r="B1093" s="120" t="inlineStr">
        <is>
          <t>VJ8815</t>
        </is>
      </c>
      <c r="C1093" s="124" t="inlineStr">
        <is>
          <t>휘오 제주 500P X20</t>
        </is>
      </c>
      <c r="D1093" s="256" t="n">
        <v>183</v>
      </c>
      <c r="E1093" s="256" t="n">
        <v>182.5</v>
      </c>
      <c r="F1093" s="155" t="n">
        <v>365</v>
      </c>
      <c r="G1093" s="257" t="n">
        <v>182</v>
      </c>
    </row>
    <row r="1094" ht="14.25" customHeight="1" s="237">
      <c r="A1094" s="120" t="n">
        <v>8816</v>
      </c>
      <c r="B1094" s="120" t="inlineStr">
        <is>
          <t>VJ8816</t>
        </is>
      </c>
      <c r="C1094" s="124" t="inlineStr">
        <is>
          <t>휘오 제주 2.0P X6</t>
        </is>
      </c>
      <c r="D1094" s="256" t="n">
        <v>183</v>
      </c>
      <c r="E1094" s="256" t="n">
        <v>182.5</v>
      </c>
      <c r="F1094" s="155" t="n">
        <v>365</v>
      </c>
      <c r="G1094" s="257" t="n">
        <v>182</v>
      </c>
    </row>
    <row r="1095" ht="14.25" customHeight="1" s="237">
      <c r="A1095" s="120" t="n">
        <v>8819</v>
      </c>
      <c r="B1095" s="120" t="inlineStr">
        <is>
          <t>VJ8819</t>
        </is>
      </c>
      <c r="C1095" s="124" t="inlineStr">
        <is>
          <t>휘오 제주 2.0P 2X6</t>
        </is>
      </c>
      <c r="D1095" s="256" t="n">
        <v>183</v>
      </c>
      <c r="E1095" s="256" t="n">
        <v>182.5</v>
      </c>
      <c r="F1095" s="155" t="n">
        <v>365</v>
      </c>
      <c r="G1095" s="257" t="n">
        <v>182</v>
      </c>
    </row>
    <row r="1096" ht="14.25" customHeight="1" s="237">
      <c r="A1096" s="120" t="n">
        <v>8822</v>
      </c>
      <c r="B1096" s="120" t="inlineStr">
        <is>
          <t>VJ8822</t>
        </is>
      </c>
      <c r="C1096" s="124" t="inlineStr">
        <is>
          <t>N휘오 제주 2.0P 2X6</t>
        </is>
      </c>
      <c r="D1096" s="256" t="n">
        <v>183</v>
      </c>
      <c r="E1096" s="256" t="n">
        <v>182.5</v>
      </c>
      <c r="F1096" s="155" t="n">
        <v>365</v>
      </c>
      <c r="G1096" s="257" t="n">
        <v>182</v>
      </c>
    </row>
    <row r="1097" ht="14.25" customHeight="1" s="237">
      <c r="A1097" s="120" t="n">
        <v>8830</v>
      </c>
      <c r="B1097" s="120" t="inlineStr">
        <is>
          <t>VJ8830</t>
        </is>
      </c>
      <c r="C1097" s="124" t="inlineStr">
        <is>
          <t>E휘오 제주 2.0P 5+1</t>
        </is>
      </c>
      <c r="D1097" s="256" t="n">
        <v>183</v>
      </c>
      <c r="E1097" s="256" t="n">
        <v>182.5</v>
      </c>
      <c r="F1097" s="155" t="n">
        <v>365</v>
      </c>
      <c r="G1097" s="257" t="n">
        <v>182</v>
      </c>
    </row>
    <row r="1098" ht="14.25" customHeight="1" s="237">
      <c r="A1098" s="120" t="n">
        <v>8886</v>
      </c>
      <c r="B1098" s="120" t="inlineStr">
        <is>
          <t>VJ8886</t>
        </is>
      </c>
      <c r="C1098" s="124" t="inlineStr">
        <is>
          <t>휘오 제주 500P 2X20</t>
        </is>
      </c>
      <c r="D1098" s="256" t="n">
        <v>183</v>
      </c>
      <c r="E1098" s="256" t="n">
        <v>182.5</v>
      </c>
      <c r="F1098" s="155" t="n">
        <v>365</v>
      </c>
      <c r="G1098" s="257" t="n">
        <v>182</v>
      </c>
    </row>
    <row r="1099" ht="14.25" customHeight="1" s="237">
      <c r="A1099" s="126" t="n">
        <v>8711</v>
      </c>
      <c r="B1099" s="120" t="inlineStr">
        <is>
          <t>VS8711</t>
        </is>
      </c>
      <c r="C1099" s="128" t="inlineStr">
        <is>
          <t>휘오순수소백산500P X20</t>
        </is>
      </c>
      <c r="D1099" s="256" t="n">
        <v>183</v>
      </c>
      <c r="E1099" s="256" t="n">
        <v>182.5</v>
      </c>
      <c r="F1099" s="155" t="n">
        <v>365</v>
      </c>
      <c r="G1099" s="257" t="n">
        <v>182</v>
      </c>
    </row>
    <row r="1100" ht="14.25" customHeight="1" s="237">
      <c r="A1100" s="126" t="n">
        <v>8712</v>
      </c>
      <c r="B1100" s="120" t="inlineStr">
        <is>
          <t>VS8712</t>
        </is>
      </c>
      <c r="C1100" s="128" t="inlineStr">
        <is>
          <t>휘오순수소백산2.0P X6</t>
        </is>
      </c>
      <c r="D1100" s="256" t="n">
        <v>183</v>
      </c>
      <c r="E1100" s="256" t="n">
        <v>182.5</v>
      </c>
      <c r="F1100" s="155" t="n">
        <v>365</v>
      </c>
      <c r="G1100" s="257" t="n">
        <v>182</v>
      </c>
    </row>
    <row r="1101" ht="14.25" customHeight="1" s="237">
      <c r="A1101" s="126" t="n">
        <v>8713</v>
      </c>
      <c r="B1101" s="127" t="inlineStr">
        <is>
          <t>VS8713</t>
        </is>
      </c>
      <c r="C1101" s="128" t="inlineStr">
        <is>
          <t>휘오 철원순수(6M) 500PET X20</t>
        </is>
      </c>
      <c r="D1101" s="256" t="n">
        <v>183</v>
      </c>
      <c r="E1101" s="256" t="n">
        <v>182.5</v>
      </c>
      <c r="F1101" s="155" t="n">
        <v>365</v>
      </c>
      <c r="G1101" s="257" t="n">
        <v>182</v>
      </c>
    </row>
    <row r="1102" ht="14.25" customHeight="1" s="237">
      <c r="A1102" s="126" t="n">
        <v>8714</v>
      </c>
      <c r="B1102" s="127" t="inlineStr">
        <is>
          <t>VS8714</t>
        </is>
      </c>
      <c r="C1102" s="128" t="inlineStr">
        <is>
          <t>휘오 철원순수(6M) 2.0PET X6</t>
        </is>
      </c>
      <c r="D1102" s="256" t="n">
        <v>183</v>
      </c>
      <c r="E1102" s="256" t="n">
        <v>182.5</v>
      </c>
      <c r="F1102" s="155" t="n">
        <v>365</v>
      </c>
      <c r="G1102" s="257" t="n">
        <v>182</v>
      </c>
    </row>
    <row r="1103" ht="14.25" customHeight="1" s="237">
      <c r="A1103" s="120" t="n">
        <v>8803</v>
      </c>
      <c r="B1103" s="120" t="inlineStr">
        <is>
          <t>VS8803</t>
        </is>
      </c>
      <c r="C1103" s="124" t="inlineStr">
        <is>
          <t>휘오순수아침사과워터450PX20</t>
        </is>
      </c>
      <c r="D1103" s="256" t="n">
        <v>183</v>
      </c>
      <c r="E1103" s="256" t="n">
        <v>182.5</v>
      </c>
      <c r="F1103" s="155" t="n">
        <v>365</v>
      </c>
      <c r="G1103" s="257" t="n">
        <v>182</v>
      </c>
    </row>
    <row r="1104" ht="14.25" customHeight="1" s="237">
      <c r="A1104" s="120" t="n">
        <v>8804</v>
      </c>
      <c r="B1104" s="120" t="inlineStr">
        <is>
          <t>VS8804</t>
        </is>
      </c>
      <c r="C1104" s="124" t="inlineStr">
        <is>
          <t>휘오순수제주감귤워터450PX20</t>
        </is>
      </c>
      <c r="D1104" s="256" t="n">
        <v>183</v>
      </c>
      <c r="E1104" s="256" t="n">
        <v>182.5</v>
      </c>
      <c r="F1104" s="155" t="n">
        <v>365</v>
      </c>
      <c r="G1104" s="257" t="n">
        <v>182</v>
      </c>
    </row>
    <row r="1105" ht="14.25" customHeight="1" s="237">
      <c r="A1105" s="120" t="n">
        <v>8811</v>
      </c>
      <c r="B1105" s="120" t="inlineStr">
        <is>
          <t>VS8811</t>
        </is>
      </c>
      <c r="C1105" s="124" t="inlineStr">
        <is>
          <t>휘오철원순수500P X20</t>
        </is>
      </c>
      <c r="D1105" s="256" t="n">
        <v>183</v>
      </c>
      <c r="E1105" s="256" t="n">
        <v>182.5</v>
      </c>
      <c r="F1105" s="155" t="n">
        <v>365</v>
      </c>
      <c r="G1105" s="257" t="n">
        <v>182</v>
      </c>
    </row>
    <row r="1106" ht="14.25" customHeight="1" s="237">
      <c r="A1106" s="120" t="n">
        <v>8812</v>
      </c>
      <c r="B1106" s="120" t="inlineStr">
        <is>
          <t>VS8812</t>
        </is>
      </c>
      <c r="C1106" s="124" t="inlineStr">
        <is>
          <t>휘오철원순수2.0P X6</t>
        </is>
      </c>
      <c r="D1106" s="256" t="n">
        <v>183</v>
      </c>
      <c r="E1106" s="256" t="n">
        <v>182.5</v>
      </c>
      <c r="F1106" s="155" t="n">
        <v>365</v>
      </c>
      <c r="G1106" s="257" t="n">
        <v>182</v>
      </c>
    </row>
    <row r="1107" ht="14.25" customHeight="1" s="237">
      <c r="A1107" s="120" t="n">
        <v>8813</v>
      </c>
      <c r="B1107" s="120" t="inlineStr">
        <is>
          <t>VS8813</t>
        </is>
      </c>
      <c r="C1107" s="124" t="inlineStr">
        <is>
          <t>휘오철원순수SSP 500P X20</t>
        </is>
      </c>
      <c r="D1107" s="256" t="n">
        <v>183</v>
      </c>
      <c r="E1107" s="256" t="n">
        <v>182.5</v>
      </c>
      <c r="F1107" s="155" t="n">
        <v>365</v>
      </c>
      <c r="G1107" s="257" t="n">
        <v>182</v>
      </c>
    </row>
    <row r="1108" ht="14.25" customHeight="1" s="237">
      <c r="A1108" s="120" t="n">
        <v>8887</v>
      </c>
      <c r="B1108" s="120" t="inlineStr">
        <is>
          <t>VS8887</t>
        </is>
      </c>
      <c r="C1108" s="124" t="inlineStr">
        <is>
          <t>휘오철원순수500PET 2X20</t>
        </is>
      </c>
      <c r="D1108" s="256" t="n">
        <v>183</v>
      </c>
      <c r="E1108" s="256" t="n">
        <v>182.5</v>
      </c>
      <c r="F1108" s="155" t="n">
        <v>365</v>
      </c>
      <c r="G1108" s="257" t="n">
        <v>182</v>
      </c>
    </row>
    <row r="1109" ht="14.25" customHeight="1" s="237">
      <c r="A1109" s="120" t="n">
        <v>8888</v>
      </c>
      <c r="B1109" s="120" t="inlineStr">
        <is>
          <t>VS8888</t>
        </is>
      </c>
      <c r="C1109" s="124" t="inlineStr">
        <is>
          <t>휘오철원순수2.0PET 2X6</t>
        </is>
      </c>
      <c r="D1109" s="256" t="n">
        <v>183</v>
      </c>
      <c r="E1109" s="256" t="n">
        <v>182.5</v>
      </c>
      <c r="F1109" s="155" t="n">
        <v>365</v>
      </c>
      <c r="G1109" s="257" t="n">
        <v>182</v>
      </c>
    </row>
    <row r="1110" ht="14.25" customHeight="1" s="237">
      <c r="A1110" s="126" t="n">
        <v>3180</v>
      </c>
      <c r="B1110" s="127" t="inlineStr">
        <is>
          <t>WT3180</t>
        </is>
      </c>
      <c r="C1110" s="128" t="inlineStr">
        <is>
          <t>W차 식후비법 500PET X24</t>
        </is>
      </c>
      <c r="D1110" s="256" t="n">
        <v>183</v>
      </c>
      <c r="E1110" s="256" t="n">
        <v>182.5</v>
      </c>
      <c r="F1110" s="155" t="n">
        <v>365</v>
      </c>
      <c r="G1110" s="257" t="n">
        <v>182</v>
      </c>
    </row>
    <row r="1111" ht="14.25" customHeight="1" s="237">
      <c r="A1111" s="126" t="n">
        <v>3181</v>
      </c>
      <c r="B1111" s="127" t="inlineStr">
        <is>
          <t>WT3181</t>
        </is>
      </c>
      <c r="C1111" s="128" t="inlineStr">
        <is>
          <t>W차 식후비법 500PET 4X6</t>
        </is>
      </c>
      <c r="D1111" s="256" t="n">
        <v>183</v>
      </c>
      <c r="E1111" s="256" t="n">
        <v>182.5</v>
      </c>
      <c r="F1111" s="155" t="n">
        <v>365</v>
      </c>
      <c r="G1111" s="257" t="n">
        <v>182</v>
      </c>
    </row>
    <row r="1112" ht="14.25" customHeight="1" s="237">
      <c r="A1112" s="126" t="n">
        <v>3182</v>
      </c>
      <c r="B1112" s="127" t="inlineStr">
        <is>
          <t>WT3182</t>
        </is>
      </c>
      <c r="C1112" s="128" t="inlineStr">
        <is>
          <t>W차 신체건강 500PET 4X6</t>
        </is>
      </c>
      <c r="D1112" s="256" t="n">
        <v>183</v>
      </c>
      <c r="E1112" s="256" t="n">
        <v>182.5</v>
      </c>
      <c r="F1112" s="155" t="n">
        <v>365</v>
      </c>
      <c r="G1112" s="257" t="n">
        <v>182</v>
      </c>
    </row>
    <row r="1113" ht="14.25" customHeight="1" s="237">
      <c r="A1113" s="120" t="n">
        <v>5324</v>
      </c>
      <c r="B1113" s="120" t="inlineStr">
        <is>
          <t>YJ5324</t>
        </is>
      </c>
      <c r="C1113" s="124" t="inlineStr">
        <is>
          <t>영진구론산D100N 10X10</t>
        </is>
      </c>
      <c r="D1113" s="256" t="n">
        <v>183</v>
      </c>
      <c r="E1113" s="256" t="n">
        <v>182.5</v>
      </c>
      <c r="F1113" s="155" t="n">
        <v>365</v>
      </c>
      <c r="G1113" s="257" t="n">
        <v>182</v>
      </c>
    </row>
    <row r="1114" ht="14.25" customHeight="1" s="237">
      <c r="A1114" s="120" t="n">
        <v>5360</v>
      </c>
      <c r="B1114" s="120" t="inlineStr">
        <is>
          <t>YJ5360</t>
        </is>
      </c>
      <c r="C1114" s="124" t="inlineStr">
        <is>
          <t>비타민팩토리콜라겐</t>
        </is>
      </c>
      <c r="D1114" s="256" t="n">
        <v>365</v>
      </c>
      <c r="E1114" s="256" t="n">
        <v>365</v>
      </c>
      <c r="F1114" s="155" t="n">
        <v>730</v>
      </c>
      <c r="G1114" s="257" t="n">
        <v>365</v>
      </c>
    </row>
    <row r="1115" ht="14.25" customHeight="1" s="237">
      <c r="A1115" s="120" t="n">
        <v>5361</v>
      </c>
      <c r="B1115" s="120" t="inlineStr">
        <is>
          <t>YJ5361</t>
        </is>
      </c>
      <c r="C1115" s="124" t="inlineStr">
        <is>
          <t>비타민팩토리타우린</t>
        </is>
      </c>
      <c r="D1115" s="256" t="n">
        <v>365</v>
      </c>
      <c r="E1115" s="256" t="n">
        <v>365</v>
      </c>
      <c r="F1115" s="155" t="n">
        <v>730</v>
      </c>
      <c r="G1115" s="257" t="n">
        <v>365</v>
      </c>
    </row>
    <row r="1116" ht="14.25" customHeight="1" s="237">
      <c r="A1116" s="120" t="n">
        <v>5362</v>
      </c>
      <c r="B1116" s="120" t="inlineStr">
        <is>
          <t>YJ5362</t>
        </is>
      </c>
      <c r="C1116" s="124" t="inlineStr">
        <is>
          <t>비타민팩토리멀티</t>
        </is>
      </c>
      <c r="D1116" s="256" t="n">
        <v>365</v>
      </c>
      <c r="E1116" s="256" t="n">
        <v>365</v>
      </c>
      <c r="F1116" s="155" t="n">
        <v>730</v>
      </c>
      <c r="G1116" s="257" t="n">
        <v>365</v>
      </c>
    </row>
    <row r="1117" ht="14.25" customHeight="1" s="237">
      <c r="A1117" s="120" t="n">
        <v>5363</v>
      </c>
      <c r="B1117" s="120" t="inlineStr">
        <is>
          <t>YJ5363</t>
        </is>
      </c>
      <c r="C1117" s="124" t="inlineStr">
        <is>
          <t>비타민팩토리화이버</t>
        </is>
      </c>
      <c r="D1117" s="256" t="n">
        <v>365</v>
      </c>
      <c r="E1117" s="256" t="n">
        <v>365</v>
      </c>
      <c r="F1117" s="155" t="n">
        <v>730</v>
      </c>
      <c r="G1117" s="257" t="n">
        <v>365</v>
      </c>
    </row>
    <row r="1118" ht="14.25" customHeight="1" s="237">
      <c r="A1118" s="120" t="n">
        <v>5377</v>
      </c>
      <c r="B1118" s="120" t="inlineStr">
        <is>
          <t>YJ5377</t>
        </is>
      </c>
      <c r="C1118" s="124" t="inlineStr">
        <is>
          <t>영진 홍삼연탄 150NRB 3X10</t>
        </is>
      </c>
      <c r="D1118" s="256" t="n">
        <v>183</v>
      </c>
      <c r="E1118" s="256" t="n">
        <v>182.5</v>
      </c>
      <c r="F1118" s="155" t="n">
        <v>365</v>
      </c>
      <c r="G1118" s="257" t="n">
        <v>182</v>
      </c>
    </row>
    <row r="1119" ht="14.25" customHeight="1" s="237">
      <c r="A1119" s="120" t="n">
        <v>5630</v>
      </c>
      <c r="B1119" s="120" t="inlineStr">
        <is>
          <t>ZC5630</t>
        </is>
      </c>
      <c r="C1119" s="124" t="inlineStr">
        <is>
          <t>지코 플레인330T X12</t>
        </is>
      </c>
      <c r="D1119" s="256" t="n">
        <v>167</v>
      </c>
      <c r="E1119" s="256" t="n">
        <v>167</v>
      </c>
      <c r="F1119" s="155" t="n">
        <v>334</v>
      </c>
      <c r="G1119" s="257" t="n">
        <v>167</v>
      </c>
    </row>
    <row r="1120" ht="14.25" customHeight="1" s="237">
      <c r="A1120" s="126" t="n">
        <v>5631</v>
      </c>
      <c r="B1120" s="120" t="inlineStr">
        <is>
          <t>ZC5631</t>
        </is>
      </c>
      <c r="C1120" s="128" t="inlineStr">
        <is>
          <t>지코　플레인330T 3X4</t>
        </is>
      </c>
      <c r="D1120" s="256" t="n">
        <v>167</v>
      </c>
      <c r="E1120" s="256" t="n">
        <v>167</v>
      </c>
      <c r="F1120" s="155" t="n">
        <v>334</v>
      </c>
      <c r="G1120" s="257" t="n">
        <v>167</v>
      </c>
    </row>
    <row r="1121" ht="14.25" customHeight="1" s="237">
      <c r="A1121" s="126" t="n">
        <v>5633</v>
      </c>
      <c r="B1121" s="127" t="inlineStr">
        <is>
          <t>ZC5633</t>
        </is>
      </c>
      <c r="C1121" s="128" t="inlineStr">
        <is>
          <t>지코 플레인 VIC 330TTR X12</t>
        </is>
      </c>
      <c r="D1121" s="256" t="n">
        <v>165</v>
      </c>
      <c r="E1121" s="256" t="n">
        <v>167</v>
      </c>
      <c r="F1121" s="155" t="n">
        <v>334</v>
      </c>
      <c r="G1121" s="257" t="n">
        <v>169</v>
      </c>
    </row>
    <row r="1122" ht="14.25" customHeight="1" s="237">
      <c r="A1122" s="126" t="n">
        <v>8452</v>
      </c>
      <c r="B1122" s="127" t="inlineStr">
        <is>
          <t>CC8452</t>
        </is>
      </c>
      <c r="C1122" s="128" t="inlineStr">
        <is>
          <t>코크제로 마시멜로 355CAN 4X6</t>
        </is>
      </c>
      <c r="D1122" s="256" t="n">
        <v>183</v>
      </c>
      <c r="E1122" s="256" t="n">
        <v>182.5</v>
      </c>
      <c r="F1122" s="155" t="n">
        <v>365</v>
      </c>
      <c r="G1122" s="257" t="n">
        <v>182</v>
      </c>
    </row>
    <row r="1123" ht="14.25" customHeight="1" s="237">
      <c r="A1123" s="126" t="n">
        <v>6098</v>
      </c>
      <c r="B1123" s="127" t="inlineStr">
        <is>
          <t>SP6098</t>
        </is>
      </c>
      <c r="C1123" s="128" t="inlineStr">
        <is>
          <t>스프라이트 제로 1L PET X12</t>
        </is>
      </c>
      <c r="D1123" s="256" t="n">
        <v>122</v>
      </c>
      <c r="E1123" s="256" t="n">
        <v>136.5</v>
      </c>
      <c r="F1123" s="155" t="n">
        <v>273</v>
      </c>
      <c r="G1123" s="257" t="n">
        <v>151</v>
      </c>
    </row>
    <row r="1124" ht="14.25" customHeight="1" s="237">
      <c r="A1124" s="126" t="n">
        <v>7994</v>
      </c>
      <c r="B1124" s="127" t="inlineStr">
        <is>
          <t>DP7994</t>
        </is>
      </c>
      <c r="C1124" s="128" t="inlineStr">
        <is>
          <t>닥터페퍼 제로 350CAN 4X6</t>
        </is>
      </c>
      <c r="D1124" s="256" t="n">
        <v>84</v>
      </c>
      <c r="E1124" s="256" t="n">
        <v>182.5</v>
      </c>
      <c r="F1124" s="155" t="n">
        <v>365</v>
      </c>
      <c r="G1124" s="257" t="n">
        <v>281</v>
      </c>
    </row>
    <row r="1125" ht="14.25" customHeight="1" s="237">
      <c r="A1125" s="126" t="inlineStr">
        <is>
          <t>DP0439</t>
        </is>
      </c>
      <c r="B1125" s="127" t="inlineStr">
        <is>
          <t>DP0439</t>
        </is>
      </c>
      <c r="C1125" s="128" t="inlineStr">
        <is>
          <t>S)닥터페퍼제로 스트로베리&amp;크림 350CAN4X6</t>
        </is>
      </c>
      <c r="D1125" s="256" t="n">
        <v>84</v>
      </c>
      <c r="E1125" s="256" t="n">
        <v>182.5</v>
      </c>
      <c r="F1125" s="155" t="n">
        <v>365</v>
      </c>
      <c r="G1125" s="257" t="n">
        <v>281</v>
      </c>
    </row>
    <row r="1126" ht="14.25" customHeight="1" s="237">
      <c r="A1126" s="126" t="n">
        <v>8590</v>
      </c>
      <c r="B1126" s="127" t="inlineStr">
        <is>
          <t>TR8590</t>
        </is>
      </c>
      <c r="C1126" s="128" t="inlineStr">
        <is>
          <t>토레타 제로500PET 4x6</t>
        </is>
      </c>
      <c r="D1126" s="256" t="n">
        <v>183</v>
      </c>
      <c r="E1126" s="256" t="n">
        <v>182.5</v>
      </c>
      <c r="F1126" s="155" t="n">
        <v>365</v>
      </c>
      <c r="G1126" s="257" t="n">
        <v>182</v>
      </c>
    </row>
    <row r="1127" ht="14.25" customHeight="1" s="237">
      <c r="A1127" s="126" t="n">
        <v>1213</v>
      </c>
      <c r="B1127" s="127" t="inlineStr">
        <is>
          <t>CA1213</t>
        </is>
      </c>
      <c r="C1127" s="128" t="inlineStr">
        <is>
          <t>캐나다 토닉워터 300PET 4X6</t>
        </is>
      </c>
      <c r="D1127" s="256" t="n">
        <v>183</v>
      </c>
      <c r="E1127" s="256" t="n">
        <v>182.5</v>
      </c>
      <c r="F1127" s="158" t="n">
        <v>365</v>
      </c>
      <c r="G1127" s="257" t="n">
        <v>182</v>
      </c>
    </row>
    <row r="1128" ht="14.25" customHeight="1" s="237">
      <c r="A1128" s="126" t="n">
        <v>1215</v>
      </c>
      <c r="B1128" s="127" t="inlineStr">
        <is>
          <t>CA1215</t>
        </is>
      </c>
      <c r="C1128" s="128" t="inlineStr">
        <is>
          <t>캐나다 진저에일 토닉 제로 300PET 4X6</t>
        </is>
      </c>
      <c r="D1128" s="256" t="n">
        <v>183</v>
      </c>
      <c r="E1128" s="256" t="n">
        <v>182.5</v>
      </c>
      <c r="F1128" s="158" t="n">
        <v>365</v>
      </c>
      <c r="G1128" s="257" t="n">
        <v>182</v>
      </c>
    </row>
    <row r="1129" ht="14.25" customHeight="1" s="237">
      <c r="A1129" s="126" t="n">
        <v>5778</v>
      </c>
      <c r="B1129" s="127" t="inlineStr">
        <is>
          <t>CC5778</t>
        </is>
      </c>
      <c r="C1129" s="128" t="inlineStr">
        <is>
          <t>코크제로 한류 355CAN 4X6</t>
        </is>
      </c>
      <c r="D1129" s="256" t="n">
        <v>183</v>
      </c>
      <c r="E1129" s="256" t="n">
        <v>182.5</v>
      </c>
      <c r="F1129" s="158" t="n">
        <v>365</v>
      </c>
      <c r="G1129" s="257" t="n">
        <v>182</v>
      </c>
    </row>
    <row r="1130" ht="14.25" customHeight="1" s="237">
      <c r="A1130" s="126" t="n">
        <v>5651</v>
      </c>
      <c r="B1130" s="127" t="inlineStr">
        <is>
          <t>PC5651</t>
        </is>
      </c>
      <c r="C1130" s="128" t="inlineStr">
        <is>
          <t>강원평창수(올림픽) 500PET X20</t>
        </is>
      </c>
      <c r="D1130" s="256" t="n">
        <v>183</v>
      </c>
      <c r="E1130" s="256" t="n">
        <v>182.5</v>
      </c>
      <c r="F1130" s="158" t="n">
        <v>365</v>
      </c>
      <c r="G1130" s="257" t="n">
        <v>182</v>
      </c>
    </row>
    <row r="1131" ht="14.25" customHeight="1" s="237">
      <c r="A1131" s="126" t="n">
        <v>4969</v>
      </c>
      <c r="B1131" s="127" t="inlineStr">
        <is>
          <t>KC4969</t>
        </is>
      </c>
      <c r="C1131" s="128" t="inlineStr">
        <is>
          <t>S)과일촌 아침에사과 500PET 4X6</t>
        </is>
      </c>
      <c r="D1131" s="256" t="n">
        <v>183</v>
      </c>
      <c r="E1131" s="256" t="n">
        <v>182.5</v>
      </c>
      <c r="F1131" s="158" t="n">
        <v>365</v>
      </c>
      <c r="G1131" s="257" t="n">
        <v>182</v>
      </c>
    </row>
    <row r="1132" ht="14.25" customHeight="1" s="237">
      <c r="A1132" s="127" t="inlineStr">
        <is>
          <t>GS0012</t>
        </is>
      </c>
      <c r="B1132" s="127" t="inlineStr">
        <is>
          <t>GS0012</t>
        </is>
      </c>
      <c r="C1132" s="128" t="inlineStr">
        <is>
          <t>영진 구론산 오리지날액 150NRB 3X10</t>
        </is>
      </c>
      <c r="D1132" s="256" t="n">
        <v>183</v>
      </c>
      <c r="E1132" s="256" t="n">
        <v>182.5</v>
      </c>
      <c r="F1132" s="158" t="n">
        <v>365</v>
      </c>
      <c r="G1132" s="257" t="n">
        <v>182</v>
      </c>
    </row>
    <row r="1133" ht="14.25" customHeight="1" s="237">
      <c r="A1133" s="126" t="n">
        <v>2825</v>
      </c>
      <c r="B1133" s="127" t="inlineStr">
        <is>
          <t>KM2825</t>
        </is>
      </c>
      <c r="C1133" s="128" t="inlineStr">
        <is>
          <t>S)갈아만든 배 500PET 4X6</t>
        </is>
      </c>
      <c r="D1133" s="254" t="n">
        <v>152</v>
      </c>
      <c r="E1133" s="254" t="n">
        <v>152</v>
      </c>
      <c r="F1133" s="158" t="n">
        <v>304</v>
      </c>
      <c r="G1133" s="254" t="n">
        <v>152</v>
      </c>
    </row>
    <row r="1134" ht="14.25" customHeight="1" s="237">
      <c r="A1134" s="126" t="n">
        <v>2826</v>
      </c>
      <c r="B1134" s="127" t="inlineStr">
        <is>
          <t>KM2826</t>
        </is>
      </c>
      <c r="C1134" s="128" t="inlineStr">
        <is>
          <t>갈아만든 배 1.5PET X6</t>
        </is>
      </c>
      <c r="D1134" s="254" t="n">
        <v>152</v>
      </c>
      <c r="E1134" s="254" t="n">
        <v>152</v>
      </c>
      <c r="F1134" s="158" t="n">
        <v>304</v>
      </c>
      <c r="G1134" s="254" t="n">
        <v>152</v>
      </c>
    </row>
    <row r="1135" ht="14.25" customHeight="1" s="237">
      <c r="A1135" s="126" t="n">
        <v>4929</v>
      </c>
      <c r="B1135" s="127" t="inlineStr">
        <is>
          <t>KM4929</t>
        </is>
      </c>
      <c r="C1135" s="128" t="inlineStr">
        <is>
          <t>S)갈아만든 배 340CAN 4X6</t>
        </is>
      </c>
      <c r="D1135" s="256" t="n">
        <v>365</v>
      </c>
      <c r="E1135" s="256" t="n">
        <v>365</v>
      </c>
      <c r="F1135" s="155" t="n">
        <v>730</v>
      </c>
      <c r="G1135" s="257" t="n">
        <v>365</v>
      </c>
    </row>
    <row r="1136" ht="14.25" customHeight="1" s="237">
      <c r="A1136" s="126" t="n">
        <v>4935</v>
      </c>
      <c r="B1136" s="127" t="inlineStr">
        <is>
          <t>KM4935</t>
        </is>
      </c>
      <c r="C1136" s="128" t="inlineStr">
        <is>
          <t>S)갈배 사이다 제로 500PET 4X6</t>
        </is>
      </c>
      <c r="D1136" s="256" t="n">
        <v>183</v>
      </c>
      <c r="E1136" s="256" t="n">
        <v>182.5</v>
      </c>
      <c r="F1136" s="158" t="n">
        <v>365</v>
      </c>
      <c r="G1136" s="257" t="n">
        <v>182</v>
      </c>
    </row>
    <row r="1137" ht="14.25" customHeight="1" s="237">
      <c r="A1137" s="126" t="n">
        <v>4290</v>
      </c>
      <c r="B1137" s="127" t="inlineStr">
        <is>
          <t>KM4290</t>
        </is>
      </c>
      <c r="C1137" s="128" t="inlineStr">
        <is>
          <t>S)갈배 사이다 500PET 4X6</t>
        </is>
      </c>
      <c r="D1137" s="256" t="n">
        <v>183</v>
      </c>
      <c r="E1137" s="256" t="n">
        <v>182.5</v>
      </c>
      <c r="F1137" s="158" t="n">
        <v>365</v>
      </c>
      <c r="G1137" s="257" t="n">
        <v>182</v>
      </c>
    </row>
    <row r="1138" ht="14.25" customHeight="1" s="237">
      <c r="A1138" s="126" t="n">
        <v>4125</v>
      </c>
      <c r="B1138" s="127" t="inlineStr">
        <is>
          <t>CP4125</t>
        </is>
      </c>
      <c r="C1138" s="128" t="inlineStr">
        <is>
          <t>S)코코팜 포도 340CAN 4X6</t>
        </is>
      </c>
      <c r="D1138" s="256" t="n">
        <v>365</v>
      </c>
      <c r="E1138" s="256" t="n">
        <v>365</v>
      </c>
      <c r="F1138" s="155" t="n">
        <v>730</v>
      </c>
      <c r="G1138" s="257" t="n">
        <v>365</v>
      </c>
    </row>
    <row r="1139" ht="14.25" customHeight="1" s="237">
      <c r="A1139" s="126" t="n">
        <v>4112</v>
      </c>
      <c r="B1139" s="127" t="inlineStr">
        <is>
          <t>CP4112</t>
        </is>
      </c>
      <c r="C1139" s="128" t="inlineStr">
        <is>
          <t>S)코코팜 피치핑크 240CAN 5X6</t>
        </is>
      </c>
      <c r="D1139" s="256" t="n">
        <v>183</v>
      </c>
      <c r="E1139" s="256" t="n">
        <v>182.5</v>
      </c>
      <c r="F1139" s="158" t="n">
        <v>365</v>
      </c>
      <c r="G1139" s="257" t="n">
        <v>182</v>
      </c>
    </row>
    <row r="1140" ht="14.25" customHeight="1" s="237">
      <c r="A1140" s="126" t="n">
        <v>4281</v>
      </c>
      <c r="B1140" s="127" t="inlineStr">
        <is>
          <t>CP4281</t>
        </is>
      </c>
      <c r="C1140" s="128" t="inlineStr">
        <is>
          <t>S)코코팜 화이트 240CAN 5X6</t>
        </is>
      </c>
      <c r="D1140" s="256" t="n">
        <v>183</v>
      </c>
      <c r="E1140" s="256" t="n">
        <v>182.5</v>
      </c>
      <c r="F1140" s="158" t="n">
        <v>365</v>
      </c>
      <c r="G1140" s="257" t="n">
        <v>182</v>
      </c>
    </row>
    <row r="1141" ht="14.25" customHeight="1" s="237">
      <c r="A1141" s="126" t="n">
        <v>9120</v>
      </c>
      <c r="B1141" s="126" t="inlineStr">
        <is>
          <t>MJ9120</t>
        </is>
      </c>
      <c r="C1141" s="128" t="inlineStr">
        <is>
          <t>몸에좋은 Set 음양오행 180NRB 3X10</t>
        </is>
      </c>
      <c r="D1141" s="256" t="n">
        <v>183</v>
      </c>
      <c r="E1141" s="256" t="n">
        <v>182.5</v>
      </c>
      <c r="F1141" s="158" t="n">
        <v>365</v>
      </c>
      <c r="G1141" s="257" t="n">
        <v>182</v>
      </c>
    </row>
    <row r="1142" ht="14.25" customHeight="1" s="237">
      <c r="A1142" s="126" t="inlineStr">
        <is>
          <t>KC1005</t>
        </is>
      </c>
      <c r="B1142" s="127" t="inlineStr">
        <is>
          <t>KC1005</t>
        </is>
      </c>
      <c r="C1142" s="128" t="inlineStr">
        <is>
          <t>과일촌 아침에 오+포+사 180NRB 3X12</t>
        </is>
      </c>
      <c r="D1142" s="254" t="n">
        <v>152</v>
      </c>
      <c r="E1142" s="254" t="n">
        <v>152</v>
      </c>
      <c r="F1142" s="158" t="n">
        <v>273</v>
      </c>
      <c r="G1142" s="254" t="n">
        <v>152</v>
      </c>
    </row>
    <row r="1143" ht="14.25" customHeight="1" s="237">
      <c r="A1143" s="126" t="n">
        <v>4259</v>
      </c>
      <c r="B1143" s="127" t="inlineStr">
        <is>
          <t>BB4259</t>
        </is>
      </c>
      <c r="C1143" s="128" t="inlineStr">
        <is>
          <t>S)봉봉 포도 340CAN 4X6</t>
        </is>
      </c>
      <c r="D1143" s="256" t="n">
        <v>365</v>
      </c>
      <c r="E1143" s="256" t="n">
        <v>365</v>
      </c>
      <c r="F1143" s="155" t="n">
        <v>730</v>
      </c>
      <c r="G1143" s="257" t="n">
        <v>365</v>
      </c>
    </row>
    <row r="1144" ht="14.25" customHeight="1" s="237">
      <c r="A1144" s="126" t="n">
        <v>7719</v>
      </c>
      <c r="B1144" s="127" t="inlineStr">
        <is>
          <t>BB7719</t>
        </is>
      </c>
      <c r="C1144" s="128" t="inlineStr">
        <is>
          <t>S)봉봉 복숭아 340CAN 4X6</t>
        </is>
      </c>
      <c r="D1144" s="256" t="n">
        <v>365</v>
      </c>
      <c r="E1144" s="256" t="n">
        <v>365</v>
      </c>
      <c r="F1144" s="155" t="n">
        <v>730</v>
      </c>
      <c r="G1144" s="257" t="n">
        <v>365</v>
      </c>
    </row>
    <row r="1145" ht="14.25" customHeight="1" s="237">
      <c r="A1145" s="126" t="n">
        <v>7724</v>
      </c>
      <c r="B1145" s="127" t="inlineStr">
        <is>
          <t>BB7724</t>
        </is>
      </c>
      <c r="C1145" s="128" t="inlineStr">
        <is>
          <t>S)봉봉 아이스티제로 복숭아 500PET 4X6</t>
        </is>
      </c>
      <c r="D1145" s="256" t="n">
        <v>183</v>
      </c>
      <c r="E1145" s="256" t="n">
        <v>182.5</v>
      </c>
      <c r="F1145" s="158" t="n">
        <v>365</v>
      </c>
      <c r="G1145" s="257" t="n">
        <v>182</v>
      </c>
    </row>
    <row r="1146" ht="14.25" customHeight="1" s="237">
      <c r="A1146" s="126" t="n">
        <v>7721</v>
      </c>
      <c r="B1146" s="127" t="inlineStr">
        <is>
          <t>BB7721</t>
        </is>
      </c>
      <c r="C1146" s="128" t="inlineStr">
        <is>
          <t>S)봉봉 알로에큐브 복숭아 500PET 4X6</t>
        </is>
      </c>
      <c r="D1146" s="256" t="n">
        <v>183</v>
      </c>
      <c r="E1146" s="256" t="n">
        <v>182.5</v>
      </c>
      <c r="F1146" s="158" t="n">
        <v>365</v>
      </c>
      <c r="G1146" s="257" t="n">
        <v>182</v>
      </c>
    </row>
    <row r="1147" ht="14.25" customHeight="1" s="237">
      <c r="A1147" s="126" t="n">
        <v>1007</v>
      </c>
      <c r="B1147" s="127" t="inlineStr">
        <is>
          <t>pa1007</t>
        </is>
      </c>
      <c r="C1147" s="128" t="inlineStr">
        <is>
          <t>S)파워 제로 라임향 600PET 4X6</t>
        </is>
      </c>
      <c r="D1147" s="128" t="n">
        <v>183</v>
      </c>
      <c r="E1147" s="128" t="n">
        <v>183</v>
      </c>
      <c r="F1147" s="158" t="n">
        <v>365</v>
      </c>
      <c r="G1147" s="254" t="n">
        <v>182</v>
      </c>
    </row>
    <row r="1148" ht="14.25" customHeight="1" s="237">
      <c r="A1148" s="127" t="inlineStr">
        <is>
          <t>IH0001</t>
        </is>
      </c>
      <c r="B1148" s="127" t="inlineStr">
        <is>
          <t>IH0001</t>
        </is>
      </c>
      <c r="C1148" s="128" t="inlineStr">
        <is>
          <t>S)일로하스 피치 540PET 4X6</t>
        </is>
      </c>
      <c r="D1148" s="128" t="n">
        <v>183</v>
      </c>
      <c r="E1148" s="128" t="n">
        <v>183</v>
      </c>
      <c r="F1148" s="158" t="n">
        <v>365</v>
      </c>
      <c r="G1148" s="254" t="n">
        <v>182</v>
      </c>
    </row>
  </sheetData>
  <autoFilter ref="A1:G1125"/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R215"/>
  <sheetViews>
    <sheetView showGridLines="0" showZeros="0" zoomScale="85" zoomScaleNormal="85" workbookViewId="0">
      <pane xSplit="5" ySplit="3" topLeftCell="F4" activePane="bottomRight" state="frozen"/>
      <selection activeCell="E22" sqref="E22"/>
      <selection pane="topRight" activeCell="E22" sqref="E22"/>
      <selection pane="bottomLeft" activeCell="E22" sqref="E22"/>
      <selection pane="bottomRight" activeCell="A4" sqref="A4"/>
    </sheetView>
  </sheetViews>
  <sheetFormatPr baseColWidth="8" defaultRowHeight="16.5"/>
  <cols>
    <col width="8.875" customWidth="1" style="237" min="1" max="1"/>
    <col width="10.25" customWidth="1" style="237" min="2" max="2"/>
    <col width="35.625" customWidth="1" style="237" min="3" max="3"/>
    <col width="5.375" customWidth="1" style="237" min="4" max="4"/>
    <col width="9.625" customWidth="1" style="237" min="5" max="5"/>
    <col width="11.25" customWidth="1" style="238" min="6" max="6"/>
    <col width="11.375" customWidth="1" style="238" min="7" max="7"/>
    <col width="11.625" customWidth="1" style="238" min="8" max="8"/>
    <col width="13.5" customWidth="1" style="238" min="9" max="9"/>
    <col width="12.5" customWidth="1" style="238" min="10" max="10"/>
    <col width="11.75" customWidth="1" style="238" min="11" max="11"/>
    <col width="11.5" customWidth="1" style="238" min="12" max="12"/>
    <col width="10.625" customWidth="1" style="238" min="13" max="15"/>
    <col width="64.875" customWidth="1" style="238" min="16" max="16"/>
    <col width="13.5" customWidth="1" style="238" min="17" max="17"/>
    <col width="9" customWidth="1" style="237" min="18" max="18"/>
  </cols>
  <sheetData>
    <row r="1" ht="15" customFormat="1" customHeight="1" s="3">
      <c r="A1" s="7" t="n"/>
      <c r="B1" s="7" t="n"/>
      <c r="C1" s="232" t="inlineStr">
        <is>
          <t>본두리편의점 재고현황</t>
        </is>
      </c>
      <c r="D1" s="7" t="n"/>
      <c r="E1" s="7" t="n"/>
      <c r="F1" s="239" t="n"/>
      <c r="G1" s="239" t="n"/>
      <c r="H1" s="239" t="n"/>
      <c r="I1" s="239" t="n"/>
      <c r="J1" s="239" t="n"/>
      <c r="K1" s="239" t="n"/>
      <c r="L1" s="239" t="n"/>
      <c r="M1" s="25" t="n"/>
      <c r="N1" s="239" t="n"/>
      <c r="O1" s="239" t="n"/>
      <c r="P1" s="239" t="n"/>
      <c r="Q1" s="239" t="n"/>
    </row>
    <row r="2" ht="13.5" customFormat="1" customHeight="1" s="3" thickBot="1">
      <c r="A2" s="7" t="n"/>
      <c r="B2" s="7" t="n"/>
      <c r="D2" s="7" t="n"/>
      <c r="E2" s="7" t="n"/>
      <c r="F2" s="239" t="n"/>
      <c r="G2" s="239" t="n"/>
      <c r="H2" s="239" t="n"/>
      <c r="I2" s="93" t="n"/>
      <c r="J2" s="239" t="n"/>
      <c r="K2" s="239" t="n"/>
      <c r="L2" s="239" t="n"/>
      <c r="M2" s="239" t="n"/>
      <c r="N2" s="239" t="n"/>
      <c r="O2" s="239" t="n"/>
      <c r="P2" s="239" t="n"/>
      <c r="Q2" s="239" t="n"/>
    </row>
    <row r="3" ht="24" customHeight="1" s="237">
      <c r="A3" s="207" t="inlineStr">
        <is>
          <t>기존코드</t>
        </is>
      </c>
      <c r="B3" s="207" t="inlineStr">
        <is>
          <t>SAP코드</t>
        </is>
      </c>
      <c r="C3" s="207" t="inlineStr">
        <is>
          <t>Brand Name</t>
        </is>
      </c>
      <c r="D3" s="207" t="inlineStr">
        <is>
          <t>940P</t>
        </is>
      </c>
      <c r="E3" s="207" t="inlineStr">
        <is>
          <t>아주</t>
        </is>
      </c>
      <c r="F3" s="267" t="inlineStr">
        <is>
          <t>940P</t>
        </is>
      </c>
      <c r="G3" s="267" t="inlineStr">
        <is>
          <t>아주</t>
        </is>
      </c>
      <c r="H3" s="267" t="inlineStr">
        <is>
          <t>잔량</t>
        </is>
      </c>
      <c r="I3" s="267" t="inlineStr">
        <is>
          <t>보류재고</t>
        </is>
      </c>
      <c r="J3" s="267" t="inlineStr">
        <is>
          <t>총합계</t>
        </is>
      </c>
      <c r="K3" s="268" t="inlineStr">
        <is>
          <t>전산</t>
        </is>
      </c>
      <c r="L3" s="267" t="inlineStr">
        <is>
          <t>주간상차</t>
        </is>
      </c>
      <c r="M3" s="269" t="inlineStr">
        <is>
          <t>차이</t>
        </is>
      </c>
      <c r="N3" s="270" t="inlineStr">
        <is>
          <t>+</t>
        </is>
      </c>
      <c r="O3" s="271" t="inlineStr">
        <is>
          <t>-</t>
        </is>
      </c>
      <c r="P3" s="272" t="inlineStr">
        <is>
          <t>차이내역</t>
        </is>
      </c>
      <c r="Q3" s="273" t="inlineStr">
        <is>
          <t>거래처파손교환/불량정리</t>
        </is>
      </c>
    </row>
    <row r="4" ht="18.75" customHeight="1" s="237">
      <c r="A4" s="9" t="n">
        <v>454</v>
      </c>
      <c r="B4" s="9">
        <f>VLOOKUP(A:A,제품등록!A:B,2,0)</f>
        <v/>
      </c>
      <c r="C4" s="29">
        <f>VLOOKUP(B4,제품등록!B:C,2,0)</f>
        <v/>
      </c>
      <c r="D4" s="9" t="n"/>
      <c r="E4" s="9" t="n">
        <v>100</v>
      </c>
      <c r="F4" s="245">
        <f>SUMIF('창고1(실사표)'!B:B,재고차이!A:A,'창고1(실사표)'!F:F)*D4+SUMIF('창고2(실사표)'!B:B,재고차이!A:A,'창고2(실사표)'!F:F)*D4+SUMIF('믹스(잔량실사표)'!B:B,재고차이!A:A,'믹스(잔량실사표)'!F:F)*D4</f>
        <v/>
      </c>
      <c r="G4" s="245">
        <f>SUMIF('창고1(실사표)'!B:B,재고차이!A:A,'창고1(실사표)'!E:E)*E4+SUMIF('창고2(실사표)'!B:B,재고차이!A:A,'창고2(실사표)'!E:E)*E4+SUMIF('믹스(잔량실사표)'!B:B,재고차이!A:A,'믹스(잔량실사표)'!E:E)*E4+SUMIF('창고3(실사표)'!B:B,재고차이!A:A,'창고3(실사표)'!E:E)*E4</f>
        <v/>
      </c>
      <c r="H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4" s="245">
        <f>SUM(F4:I4)</f>
        <v/>
      </c>
      <c r="K4" s="245">
        <f>SUMIF('SAP(B117)'!B:B,재고차이!B:B,'SAP(B117)'!Q:Q)</f>
        <v/>
      </c>
      <c r="L4" s="245">
        <f>SUMIF(주간상차!A:A,재고차이!A:A,주간상차!E:E)</f>
        <v/>
      </c>
      <c r="M4" s="246">
        <f>J4-K4-L4-N4+O4+Q4</f>
        <v/>
      </c>
      <c r="N4" s="274" t="n"/>
      <c r="O4" s="275" t="n"/>
      <c r="P4" s="276" t="n"/>
      <c r="Q4" s="277">
        <f>SUMIF(파손품!D:D,재고차이!B:B,파손품!I:I)+SUMIF(동파파손!D:D,재고차이!B:B,동파파손!I:I)</f>
        <v/>
      </c>
      <c r="R4" s="0">
        <f>M4/E4</f>
        <v/>
      </c>
    </row>
    <row r="5" ht="18.75" customHeight="1" s="237">
      <c r="A5" s="9" t="n">
        <v>455</v>
      </c>
      <c r="B5" s="9">
        <f>VLOOKUP(A:A,제품등록!A:B,2,0)</f>
        <v/>
      </c>
      <c r="C5" s="29">
        <f>VLOOKUP(B5,제품등록!B:C,2,0)</f>
        <v/>
      </c>
      <c r="D5" s="9" t="n">
        <v>40</v>
      </c>
      <c r="E5" s="9" t="n">
        <v>60</v>
      </c>
      <c r="F5" s="245">
        <f>SUMIF('창고1(실사표)'!B:B,재고차이!A:A,'창고1(실사표)'!F:F)*D5+SUMIF('창고2(실사표)'!B:B,재고차이!A:A,'창고2(실사표)'!F:F)*D5+SUMIF('믹스(잔량실사표)'!B:B,재고차이!A:A,'믹스(잔량실사표)'!F:F)*D5</f>
        <v/>
      </c>
      <c r="G5" s="245">
        <f>SUMIF('창고1(실사표)'!B:B,재고차이!A:A,'창고1(실사표)'!E:E)*E5+SUMIF('창고2(실사표)'!B:B,재고차이!A:A,'창고2(실사표)'!E:E)*E5+SUMIF('믹스(잔량실사표)'!B:B,재고차이!A:A,'믹스(잔량실사표)'!E:E)*E5+SUMIF('창고3(실사표)'!B:B,재고차이!A:A,'창고3(실사표)'!E:E)*E5</f>
        <v/>
      </c>
      <c r="H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5" s="245">
        <f>SUM(F5:I5)</f>
        <v/>
      </c>
      <c r="K5" s="245">
        <f>SUMIF('SAP(B117)'!B:B,재고차이!B:B,'SAP(B117)'!Q:Q)</f>
        <v/>
      </c>
      <c r="L5" s="245">
        <f>SUMIF(주간상차!A:A,재고차이!A:A,주간상차!E:E)</f>
        <v/>
      </c>
      <c r="M5" s="246">
        <f>J5-K5-L5-N5+O5+Q5</f>
        <v/>
      </c>
      <c r="N5" s="274" t="n"/>
      <c r="O5" s="275" t="n"/>
      <c r="P5" s="276" t="n"/>
      <c r="Q5" s="277">
        <f>SUMIF(파손품!D:D,재고차이!B:B,파손품!I:I)+SUMIF(동파파손!D:D,재고차이!B:B,동파파손!I:I)</f>
        <v/>
      </c>
      <c r="R5" s="0">
        <f>M5/E5</f>
        <v/>
      </c>
    </row>
    <row r="6" ht="18" customHeight="1" s="237">
      <c r="A6" s="9" t="n">
        <v>1000</v>
      </c>
      <c r="B6" s="9">
        <f>VLOOKUP(A:A,제품등록!A:B,2,0)</f>
        <v/>
      </c>
      <c r="C6" s="29">
        <f>VLOOKUP(B6,제품등록!B:C,2,0)</f>
        <v/>
      </c>
      <c r="D6" s="9" t="n">
        <v>80</v>
      </c>
      <c r="E6" s="9" t="n">
        <v>100</v>
      </c>
      <c r="F6" s="245">
        <f>SUMIF('창고1(실사표)'!B:B,재고차이!A:A,'창고1(실사표)'!F:F)*D6+SUMIF('창고2(실사표)'!B:B,재고차이!A:A,'창고2(실사표)'!F:F)*D6+SUMIF('믹스(잔량실사표)'!B:B,재고차이!A:A,'믹스(잔량실사표)'!F:F)*D6</f>
        <v/>
      </c>
      <c r="G6" s="245">
        <f>SUMIF('창고1(실사표)'!B:B,재고차이!A:A,'창고1(실사표)'!E:E)*E6+SUMIF('창고2(실사표)'!B:B,재고차이!A:A,'창고2(실사표)'!E:E)*E6+SUMIF('믹스(잔량실사표)'!B:B,재고차이!A:A,'믹스(잔량실사표)'!E:E)*E6+SUMIF('창고3(실사표)'!B:B,재고차이!A:A,'창고3(실사표)'!E:E)*E6</f>
        <v/>
      </c>
      <c r="H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6" s="245">
        <f>SUM(F6:I6)</f>
        <v/>
      </c>
      <c r="K6" s="245">
        <f>SUMIF('SAP(B117)'!B:B,재고차이!B:B,'SAP(B117)'!Q:Q)</f>
        <v/>
      </c>
      <c r="L6" s="245">
        <f>SUMIF(주간상차!A:A,재고차이!A:A,주간상차!E:E)</f>
        <v/>
      </c>
      <c r="M6" s="246">
        <f>J6-K6-L6-N6+O6+Q6</f>
        <v/>
      </c>
      <c r="N6" s="274" t="n"/>
      <c r="O6" s="275" t="n"/>
      <c r="P6" s="276" t="n"/>
      <c r="Q6" s="277">
        <f>SUMIF(파손품!D:D,재고차이!B:B,파손품!I:I)+SUMIF(동파파손!D:D,재고차이!B:B,동파파손!I:I)</f>
        <v/>
      </c>
      <c r="R6" s="0">
        <f>M6/E6</f>
        <v/>
      </c>
    </row>
    <row r="7" ht="18.75" customHeight="1" s="237">
      <c r="A7" s="9" t="n">
        <v>1001</v>
      </c>
      <c r="B7" s="9">
        <f>VLOOKUP(A:A,제품등록!A:B,2,0)</f>
        <v/>
      </c>
      <c r="C7" s="29">
        <f>VLOOKUP(B7,제품등록!B:C,2,0)</f>
        <v/>
      </c>
      <c r="D7" s="9" t="n">
        <v>80</v>
      </c>
      <c r="E7" s="9" t="n">
        <v>100</v>
      </c>
      <c r="F7" s="245">
        <f>SUMIF('창고1(실사표)'!B:B,재고차이!A:A,'창고1(실사표)'!F:F)*D7+SUMIF('창고2(실사표)'!B:B,재고차이!A:A,'창고2(실사표)'!F:F)*D7+SUMIF('믹스(잔량실사표)'!B:B,재고차이!A:A,'믹스(잔량실사표)'!F:F)*D7</f>
        <v/>
      </c>
      <c r="G7" s="245">
        <f>SUMIF('창고1(실사표)'!B:B,재고차이!A:A,'창고1(실사표)'!E:E)*E7+SUMIF('창고2(실사표)'!B:B,재고차이!A:A,'창고2(실사표)'!E:E)*E7+SUMIF('믹스(잔량실사표)'!B:B,재고차이!A:A,'믹스(잔량실사표)'!E:E)*E7+SUMIF('창고3(실사표)'!B:B,재고차이!A:A,'창고3(실사표)'!E:E)*E7</f>
        <v/>
      </c>
      <c r="H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7" s="245">
        <f>SUM(F7:I7)</f>
        <v/>
      </c>
      <c r="K7" s="245">
        <f>SUMIF('SAP(B117)'!B:B,재고차이!B:B,'SAP(B117)'!Q:Q)</f>
        <v/>
      </c>
      <c r="L7" s="245">
        <f>SUMIF(주간상차!A:A,재고차이!A:A,주간상차!E:E)</f>
        <v/>
      </c>
      <c r="M7" s="246">
        <f>J7-K7-L7-N7+O7+Q7</f>
        <v/>
      </c>
      <c r="N7" s="274" t="n"/>
      <c r="O7" s="275" t="n"/>
      <c r="P7" s="276" t="n"/>
      <c r="Q7" s="277">
        <f>SUMIF(파손품!D:D,재고차이!B:B,파손품!I:I)+SUMIF(동파파손!D:D,재고차이!B:B,동파파손!I:I)</f>
        <v/>
      </c>
      <c r="R7" s="0">
        <f>M7/E7</f>
        <v/>
      </c>
    </row>
    <row r="8" ht="18.75" customHeight="1" s="237">
      <c r="A8" s="9" t="n">
        <v>1002</v>
      </c>
      <c r="B8" s="9">
        <f>VLOOKUP(A:A,제품등록!A:B,2,0)</f>
        <v/>
      </c>
      <c r="C8" s="29">
        <f>VLOOKUP(B8,제품등록!B:C,2,0)</f>
        <v/>
      </c>
      <c r="D8" s="9" t="n"/>
      <c r="E8" s="9" t="n">
        <v>91</v>
      </c>
      <c r="F8" s="245">
        <f>SUMIF('창고1(실사표)'!B:B,재고차이!A:A,'창고1(실사표)'!F:F)*D8+SUMIF('창고2(실사표)'!B:B,재고차이!A:A,'창고2(실사표)'!F:F)*D8+SUMIF('믹스(잔량실사표)'!B:B,재고차이!A:A,'믹스(잔량실사표)'!F:F)*D8</f>
        <v/>
      </c>
      <c r="G8" s="245">
        <f>SUMIF('창고1(실사표)'!B:B,재고차이!A:A,'창고1(실사표)'!E:E)*E8+SUMIF('창고2(실사표)'!B:B,재고차이!A:A,'창고2(실사표)'!E:E)*E8+SUMIF('믹스(잔량실사표)'!B:B,재고차이!A:A,'믹스(잔량실사표)'!E:E)*E8+SUMIF('창고3(실사표)'!B:B,재고차이!A:A,'창고3(실사표)'!E:E)*E8</f>
        <v/>
      </c>
      <c r="H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8" s="245">
        <f>SUM(F8:I8)</f>
        <v/>
      </c>
      <c r="K8" s="245">
        <f>SUMIF('SAP(B117)'!B:B,재고차이!B:B,'SAP(B117)'!Q:Q)</f>
        <v/>
      </c>
      <c r="L8" s="245">
        <f>SUMIF(주간상차!A:A,재고차이!A:A,주간상차!E:E)</f>
        <v/>
      </c>
      <c r="M8" s="246">
        <f>J8-K8-L8-N8+O8+Q8</f>
        <v/>
      </c>
      <c r="N8" s="274" t="n"/>
      <c r="O8" s="275" t="n"/>
      <c r="P8" s="276" t="n"/>
      <c r="Q8" s="277">
        <f>SUMIF(파손품!D:D,재고차이!B:B,파손품!I:I)+SUMIF(동파파손!D:D,재고차이!B:B,동파파손!I:I)</f>
        <v/>
      </c>
      <c r="R8" s="0">
        <f>M8/E8</f>
        <v/>
      </c>
    </row>
    <row r="9" ht="18.75" customHeight="1" s="237">
      <c r="A9" s="9" t="n">
        <v>1003</v>
      </c>
      <c r="B9" s="9">
        <f>VLOOKUP(A:A,제품등록!A:B,2,0)</f>
        <v/>
      </c>
      <c r="C9" s="29">
        <f>VLOOKUP(B9,제품등록!B:C,2,0)</f>
        <v/>
      </c>
      <c r="D9" s="9" t="n"/>
      <c r="E9" s="9" t="n">
        <v>91</v>
      </c>
      <c r="F9" s="245">
        <f>SUMIF('창고1(실사표)'!B:B,재고차이!A:A,'창고1(실사표)'!F:F)*D9+SUMIF('창고2(실사표)'!B:B,재고차이!A:A,'창고2(실사표)'!F:F)*D9+SUMIF('믹스(잔량실사표)'!B:B,재고차이!A:A,'믹스(잔량실사표)'!F:F)*D9</f>
        <v/>
      </c>
      <c r="G9" s="245">
        <f>SUMIF('창고1(실사표)'!B:B,재고차이!A:A,'창고1(실사표)'!E:E)*E9+SUMIF('창고2(실사표)'!B:B,재고차이!A:A,'창고2(실사표)'!E:E)*E9+SUMIF('믹스(잔량실사표)'!B:B,재고차이!A:A,'믹스(잔량실사표)'!E:E)*E9+SUMIF('창고3(실사표)'!B:B,재고차이!A:A,'창고3(실사표)'!E:E)*E9</f>
        <v/>
      </c>
      <c r="H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9" s="245">
        <f>SUM(F9:I9)</f>
        <v/>
      </c>
      <c r="K9" s="245">
        <f>SUMIF('SAP(B117)'!B:B,재고차이!B:B,'SAP(B117)'!Q:Q)</f>
        <v/>
      </c>
      <c r="L9" s="245">
        <f>SUMIF(주간상차!A:A,재고차이!A:A,주간상차!E:E)</f>
        <v/>
      </c>
      <c r="M9" s="246">
        <f>J9-K9-L9-N9+O9+Q9</f>
        <v/>
      </c>
      <c r="N9" s="274" t="n"/>
      <c r="O9" s="275" t="n"/>
      <c r="P9" s="276" t="n"/>
      <c r="Q9" s="277">
        <f>SUMIF(파손품!D:D,재고차이!B:B,파손품!I:I)+SUMIF(동파파손!D:D,재고차이!B:B,동파파손!I:I)</f>
        <v/>
      </c>
      <c r="R9" s="0">
        <f>M9/E9</f>
        <v/>
      </c>
    </row>
    <row r="10" ht="18.75" customHeight="1" s="237">
      <c r="A10" s="9" t="n">
        <v>1005</v>
      </c>
      <c r="B10" s="9">
        <f>VLOOKUP(A:A,제품등록!A:B,2,0)</f>
        <v/>
      </c>
      <c r="C10" s="29">
        <f>VLOOKUP(B10,제품등록!B:C,2,0)</f>
        <v/>
      </c>
      <c r="D10" s="9" t="n"/>
      <c r="E10" s="9" t="n">
        <v>70</v>
      </c>
      <c r="F10" s="245">
        <f>SUMIF('창고1(실사표)'!B:B,재고차이!A:A,'창고1(실사표)'!F:F)*D10+SUMIF('창고2(실사표)'!B:B,재고차이!A:A,'창고2(실사표)'!F:F)*D10+SUMIF('믹스(잔량실사표)'!B:B,재고차이!A:A,'믹스(잔량실사표)'!F:F)*D10</f>
        <v/>
      </c>
      <c r="G10" s="245">
        <f>SUMIF('창고1(실사표)'!B:B,재고차이!A:A,'창고1(실사표)'!E:E)*E10+SUMIF('창고2(실사표)'!B:B,재고차이!A:A,'창고2(실사표)'!E:E)*E10+SUMIF('믹스(잔량실사표)'!B:B,재고차이!A:A,'믹스(잔량실사표)'!E:E)*E10+SUMIF('창고3(실사표)'!B:B,재고차이!A:A,'창고3(실사표)'!E:E)*E10</f>
        <v/>
      </c>
      <c r="H1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0" s="245">
        <f>SUM(F10:I10)</f>
        <v/>
      </c>
      <c r="K10" s="245">
        <f>SUMIF('SAP(B117)'!B:B,재고차이!B:B,'SAP(B117)'!Q:Q)</f>
        <v/>
      </c>
      <c r="L10" s="245">
        <f>SUMIF(주간상차!A:A,재고차이!A:A,주간상차!E:E)</f>
        <v/>
      </c>
      <c r="M10" s="246">
        <f>J10-K10-L10-N10+O10+Q10</f>
        <v/>
      </c>
      <c r="N10" s="274" t="n"/>
      <c r="O10" s="275" t="n"/>
      <c r="P10" s="276" t="n"/>
      <c r="Q10" s="277">
        <f>SUMIF(파손품!D:D,재고차이!B:B,파손품!I:I)+SUMIF(동파파손!D:D,재고차이!B:B,동파파손!I:I)</f>
        <v/>
      </c>
      <c r="R10" s="0">
        <f>M10/E10</f>
        <v/>
      </c>
    </row>
    <row r="11">
      <c r="A11" s="9" t="n">
        <v>1007</v>
      </c>
      <c r="B11" s="9">
        <f>VLOOKUP(A:A,제품등록!A:B,2,0)</f>
        <v/>
      </c>
      <c r="C11" s="29">
        <f>VLOOKUP(B11,제품등록!B:C,2,0)</f>
        <v/>
      </c>
      <c r="D11" s="9" t="n"/>
      <c r="E11" s="9" t="n">
        <v>48</v>
      </c>
      <c r="F11" s="245">
        <f>SUMIF('창고1(실사표)'!B:B,재고차이!A:A,'창고1(실사표)'!F:F)*D11+SUMIF('창고2(실사표)'!B:B,재고차이!A:A,'창고2(실사표)'!F:F)*D11+SUMIF('믹스(잔량실사표)'!B:B,재고차이!A:A,'믹스(잔량실사표)'!F:F)*D11</f>
        <v/>
      </c>
      <c r="G11" s="245">
        <f>SUMIF('창고1(실사표)'!B:B,재고차이!A:A,'창고1(실사표)'!E:E)*E11+SUMIF('창고2(실사표)'!B:B,재고차이!A:A,'창고2(실사표)'!E:E)*E11+SUMIF('믹스(잔량실사표)'!B:B,재고차이!A:A,'믹스(잔량실사표)'!E:E)*E11+SUMIF('창고3(실사표)'!B:B,재고차이!A:A,'창고3(실사표)'!E:E)*E11</f>
        <v/>
      </c>
      <c r="H1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1" s="245">
        <f>SUM(F11:I11)</f>
        <v/>
      </c>
      <c r="K11" s="245">
        <f>SUMIF('SAP(B117)'!B:B,재고차이!B:B,'SAP(B117)'!Q:Q)</f>
        <v/>
      </c>
      <c r="L11" s="245">
        <f>SUMIF(주간상차!A:A,재고차이!A:A,주간상차!E:E)</f>
        <v/>
      </c>
      <c r="M11" s="246">
        <f>J11-K11-L11-N11+O11+Q11</f>
        <v/>
      </c>
      <c r="N11" s="274" t="n"/>
      <c r="O11" s="275" t="n"/>
      <c r="P11" s="276" t="n"/>
      <c r="Q11" s="277">
        <f>SUMIF(파손품!D:D,재고차이!B:B,파손품!I:I)+SUMIF(동파파손!D:D,재고차이!B:B,동파파손!I:I)</f>
        <v/>
      </c>
      <c r="R11" s="0">
        <f>M11/E11</f>
        <v/>
      </c>
    </row>
    <row r="12" ht="18.75" customHeight="1" s="237">
      <c r="A12" s="9" t="n">
        <v>1193</v>
      </c>
      <c r="B12" s="9">
        <f>VLOOKUP(A:A,제품등록!A:B,2,0)</f>
        <v/>
      </c>
      <c r="C12" s="29">
        <f>VLOOKUP(B12,제품등록!B:C,2,0)</f>
        <v/>
      </c>
      <c r="D12" s="9" t="n"/>
      <c r="E12" s="9" t="n">
        <v>132</v>
      </c>
      <c r="F12" s="245">
        <f>SUMIF('창고1(실사표)'!B:B,재고차이!A:A,'창고1(실사표)'!F:F)*D12+SUMIF('창고2(실사표)'!B:B,재고차이!A:A,'창고2(실사표)'!F:F)*D12+SUMIF('믹스(잔량실사표)'!B:B,재고차이!A:A,'믹스(잔량실사표)'!F:F)*D12</f>
        <v/>
      </c>
      <c r="G12" s="245">
        <f>SUMIF('창고1(실사표)'!B:B,재고차이!A:A,'창고1(실사표)'!E:E)*E12+SUMIF('창고2(실사표)'!B:B,재고차이!A:A,'창고2(실사표)'!E:E)*E12+SUMIF('믹스(잔량실사표)'!B:B,재고차이!A:A,'믹스(잔량실사표)'!E:E)*E12+SUMIF('창고3(실사표)'!B:B,재고차이!A:A,'창고3(실사표)'!E:E)*E12</f>
        <v/>
      </c>
      <c r="H1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2" s="245">
        <f>SUM(F12:I12)</f>
        <v/>
      </c>
      <c r="K12" s="245">
        <f>SUMIF('SAP(B117)'!B:B,재고차이!B:B,'SAP(B117)'!Q:Q)</f>
        <v/>
      </c>
      <c r="L12" s="245">
        <f>SUMIF(주간상차!A:A,재고차이!A:A,주간상차!E:E)</f>
        <v/>
      </c>
      <c r="M12" s="246">
        <f>J12-K12-L12-N12+O12+Q12</f>
        <v/>
      </c>
      <c r="N12" s="274" t="n"/>
      <c r="O12" s="275" t="n"/>
      <c r="P12" s="276" t="n"/>
      <c r="Q12" s="277">
        <f>SUMIF(파손품!D:D,재고차이!B:B,파손품!I:I)+SUMIF(동파파손!D:D,재고차이!B:B,동파파손!I:I)</f>
        <v/>
      </c>
      <c r="R12" s="0">
        <f>M12/E12</f>
        <v/>
      </c>
    </row>
    <row r="13" ht="18.75" customHeight="1" s="237">
      <c r="A13" s="9" t="n">
        <v>1201</v>
      </c>
      <c r="B13" s="9">
        <f>VLOOKUP(A:A,제품등록!A:B,2,0)</f>
        <v/>
      </c>
      <c r="C13" s="29">
        <f>VLOOKUP(B13,제품등록!B:C,2,0)</f>
        <v/>
      </c>
      <c r="D13" s="9" t="n">
        <v>99</v>
      </c>
      <c r="E13" s="9" t="n">
        <v>132</v>
      </c>
      <c r="F13" s="245">
        <f>SUMIF('창고1(실사표)'!B:B,재고차이!A:A,'창고1(실사표)'!F:F)*D13+SUMIF('창고2(실사표)'!B:B,재고차이!A:A,'창고2(실사표)'!F:F)*D13+SUMIF('믹스(잔량실사표)'!B:B,재고차이!A:A,'믹스(잔량실사표)'!F:F)*D13</f>
        <v/>
      </c>
      <c r="G13" s="245">
        <f>SUMIF('창고1(실사표)'!B:B,재고차이!A:A,'창고1(실사표)'!E:E)*E13+SUMIF('창고2(실사표)'!B:B,재고차이!A:A,'창고2(실사표)'!E:E)*E13+SUMIF('믹스(잔량실사표)'!B:B,재고차이!A:A,'믹스(잔량실사표)'!E:E)*E13+SUMIF('창고3(실사표)'!B:B,재고차이!A:A,'창고3(실사표)'!E:E)*E13</f>
        <v/>
      </c>
      <c r="H1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3" s="245">
        <f>SUM(F13:I13)</f>
        <v/>
      </c>
      <c r="K13" s="245">
        <f>SUMIF('SAP(B117)'!B:B,재고차이!B:B,'SAP(B117)'!Q:Q)</f>
        <v/>
      </c>
      <c r="L13" s="245">
        <f>SUMIF(주간상차!A:A,재고차이!A:A,주간상차!E:E)</f>
        <v/>
      </c>
      <c r="M13" s="246">
        <f>J13-K13-L13-N13+O13+Q13</f>
        <v/>
      </c>
      <c r="N13" s="274" t="n"/>
      <c r="O13" s="275" t="n"/>
      <c r="P13" s="276" t="n"/>
      <c r="Q13" s="277">
        <f>SUMIF(파손품!D:D,재고차이!B:B,파손품!I:I)+SUMIF(동파파손!D:D,재고차이!B:B,동파파손!I:I)</f>
        <v/>
      </c>
      <c r="R13" s="0">
        <f>M13/E13</f>
        <v/>
      </c>
    </row>
    <row r="14" ht="18.75" customHeight="1" s="237">
      <c r="A14" s="9" t="n">
        <v>1205</v>
      </c>
      <c r="B14" s="9">
        <f>VLOOKUP(A:A,제품등록!A:B,2,0)</f>
        <v/>
      </c>
      <c r="C14" s="29">
        <f>VLOOKUP(B14,제품등록!B:C,2,0)</f>
        <v/>
      </c>
      <c r="D14" s="9" t="n"/>
      <c r="E14" s="9" t="n">
        <v>80</v>
      </c>
      <c r="F14" s="245">
        <f>SUMIF('창고1(실사표)'!B:B,재고차이!A:A,'창고1(실사표)'!F:F)*D14+SUMIF('창고2(실사표)'!B:B,재고차이!A:A,'창고2(실사표)'!F:F)*D14+SUMIF('믹스(잔량실사표)'!B:B,재고차이!A:A,'믹스(잔량실사표)'!F:F)*D14</f>
        <v/>
      </c>
      <c r="G14" s="245">
        <f>SUMIF('창고1(실사표)'!B:B,재고차이!A:A,'창고1(실사표)'!E:E)*E14+SUMIF('창고2(실사표)'!B:B,재고차이!A:A,'창고2(실사표)'!E:E)*E14+SUMIF('믹스(잔량실사표)'!B:B,재고차이!A:A,'믹스(잔량실사표)'!E:E)*E14+SUMIF('창고3(실사표)'!B:B,재고차이!A:A,'창고3(실사표)'!E:E)*E14</f>
        <v/>
      </c>
      <c r="H1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4" s="245">
        <f>SUM(F14:I14)</f>
        <v/>
      </c>
      <c r="K14" s="245">
        <f>SUMIF('SAP(B117)'!B:B,재고차이!B:B,'SAP(B117)'!Q:Q)</f>
        <v/>
      </c>
      <c r="L14" s="245">
        <f>SUMIF(주간상차!A:A,재고차이!A:A,주간상차!E:E)</f>
        <v/>
      </c>
      <c r="M14" s="246">
        <f>J14-K14-L14-N14+O14+Q14</f>
        <v/>
      </c>
      <c r="N14" s="274" t="n"/>
      <c r="O14" s="275" t="n"/>
      <c r="P14" s="276" t="n"/>
      <c r="Q14" s="277">
        <f>SUMIF(파손품!D:D,재고차이!B:B,파손품!I:I)+SUMIF(동파파손!D:D,재고차이!B:B,동파파손!I:I)</f>
        <v/>
      </c>
      <c r="R14" s="0">
        <f>M14/E14</f>
        <v/>
      </c>
    </row>
    <row r="15" ht="18.75" customHeight="1" s="237">
      <c r="A15" s="9" t="n">
        <v>1206</v>
      </c>
      <c r="B15" s="9">
        <f>VLOOKUP(A:A,제품등록!A:B,2,0)</f>
        <v/>
      </c>
      <c r="C15" s="29">
        <f>VLOOKUP(B15,제품등록!B:C,2,0)</f>
        <v/>
      </c>
      <c r="D15" s="9" t="n"/>
      <c r="E15" s="9" t="n">
        <v>288</v>
      </c>
      <c r="F15" s="245">
        <f>SUMIF('창고1(실사표)'!B:B,재고차이!A:A,'창고1(실사표)'!F:F)*D15+SUMIF('창고2(실사표)'!B:B,재고차이!A:A,'창고2(실사표)'!F:F)*D15+SUMIF('믹스(잔량실사표)'!B:B,재고차이!A:A,'믹스(잔량실사표)'!F:F)*D15</f>
        <v/>
      </c>
      <c r="G15" s="245">
        <f>SUMIF('창고1(실사표)'!B:B,재고차이!A:A,'창고1(실사표)'!E:E)*E15+SUMIF('창고2(실사표)'!B:B,재고차이!A:A,'창고2(실사표)'!E:E)*E15+SUMIF('믹스(잔량실사표)'!B:B,재고차이!A:A,'믹스(잔량실사표)'!E:E)*E15+SUMIF('창고3(실사표)'!B:B,재고차이!A:A,'창고3(실사표)'!E:E)*E15</f>
        <v/>
      </c>
      <c r="H1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5" s="245">
        <f>SUM(F15:I15)</f>
        <v/>
      </c>
      <c r="K15" s="245">
        <f>SUMIF('SAP(B117)'!B:B,재고차이!B:B,'SAP(B117)'!Q:Q)</f>
        <v/>
      </c>
      <c r="L15" s="245">
        <f>SUMIF(주간상차!A:A,재고차이!A:A,주간상차!E:E)</f>
        <v/>
      </c>
      <c r="M15" s="246">
        <f>J15-K15-L15-N15+O15+Q15</f>
        <v/>
      </c>
      <c r="N15" s="274" t="n"/>
      <c r="O15" s="275" t="n"/>
      <c r="P15" s="276" t="n"/>
      <c r="Q15" s="277">
        <f>SUMIF(파손품!D:D,재고차이!B:B,파손품!I:I)+SUMIF(동파파손!D:D,재고차이!B:B,동파파손!I:I)</f>
        <v/>
      </c>
      <c r="R15" s="0">
        <f>M15/E15</f>
        <v/>
      </c>
    </row>
    <row r="16" ht="18.75" customHeight="1" s="237">
      <c r="A16" s="9" t="n">
        <v>1213</v>
      </c>
      <c r="B16" s="9">
        <f>VLOOKUP(A:A,제품등록!A:B,2,0)</f>
        <v/>
      </c>
      <c r="C16" s="29">
        <f>VLOOKUP(B16,제품등록!B:C,2,0)</f>
        <v/>
      </c>
      <c r="D16" s="9" t="n"/>
      <c r="E16" s="9" t="n">
        <v>104</v>
      </c>
      <c r="F16" s="245">
        <f>SUMIF('창고1(실사표)'!B:B,재고차이!A:A,'창고1(실사표)'!F:F)*D16+SUMIF('창고2(실사표)'!B:B,재고차이!A:A,'창고2(실사표)'!F:F)*D16+SUMIF('믹스(잔량실사표)'!B:B,재고차이!A:A,'믹스(잔량실사표)'!F:F)*D16</f>
        <v/>
      </c>
      <c r="G16" s="245">
        <f>SUMIF('창고1(실사표)'!B:B,재고차이!A:A,'창고1(실사표)'!E:E)*E16+SUMIF('창고2(실사표)'!B:B,재고차이!A:A,'창고2(실사표)'!E:E)*E16+SUMIF('믹스(잔량실사표)'!B:B,재고차이!A:A,'믹스(잔량실사표)'!E:E)*E16+SUMIF('창고3(실사표)'!B:B,재고차이!A:A,'창고3(실사표)'!E:E)*E16</f>
        <v/>
      </c>
      <c r="H1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6" s="245">
        <f>SUM(F16:I16)</f>
        <v/>
      </c>
      <c r="K16" s="245">
        <f>SUMIF('SAP(B117)'!B:B,재고차이!B:B,'SAP(B117)'!Q:Q)</f>
        <v/>
      </c>
      <c r="L16" s="245">
        <f>SUMIF(주간상차!A:A,재고차이!A:A,주간상차!E:E)</f>
        <v/>
      </c>
      <c r="M16" s="246">
        <f>J16-K16-L16-N16+O16+Q16</f>
        <v/>
      </c>
      <c r="N16" s="274" t="n"/>
      <c r="O16" s="275" t="n"/>
      <c r="P16" s="276" t="n"/>
      <c r="Q16" s="277">
        <f>SUMIF(파손품!D:D,재고차이!B:B,파손품!I:I)+SUMIF(동파파손!D:D,재고차이!B:B,동파파손!I:I)</f>
        <v/>
      </c>
      <c r="R16" s="0">
        <f>M16/E16</f>
        <v/>
      </c>
    </row>
    <row r="17" ht="18.75" customHeight="1" s="237">
      <c r="A17" s="9" t="n">
        <v>1215</v>
      </c>
      <c r="B17" s="9">
        <f>VLOOKUP(A:A,제품등록!A:B,2,0)</f>
        <v/>
      </c>
      <c r="C17" s="29">
        <f>VLOOKUP(B17,제품등록!B:C,2,0)</f>
        <v/>
      </c>
      <c r="D17" s="9" t="n"/>
      <c r="E17" s="9" t="n">
        <v>104</v>
      </c>
      <c r="F17" s="245">
        <f>SUMIF('창고1(실사표)'!B:B,재고차이!A:A,'창고1(실사표)'!F:F)*D17+SUMIF('창고2(실사표)'!B:B,재고차이!A:A,'창고2(실사표)'!F:F)*D17+SUMIF('믹스(잔량실사표)'!B:B,재고차이!A:A,'믹스(잔량실사표)'!F:F)*D17</f>
        <v/>
      </c>
      <c r="G17" s="245">
        <f>SUMIF('창고1(실사표)'!B:B,재고차이!A:A,'창고1(실사표)'!E:E)*E17+SUMIF('창고2(실사표)'!B:B,재고차이!A:A,'창고2(실사표)'!E:E)*E17+SUMIF('믹스(잔량실사표)'!B:B,재고차이!A:A,'믹스(잔량실사표)'!E:E)*E17+SUMIF('창고3(실사표)'!B:B,재고차이!A:A,'창고3(실사표)'!E:E)*E17</f>
        <v/>
      </c>
      <c r="H1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7" s="245">
        <f>SUM(F17:I17)</f>
        <v/>
      </c>
      <c r="K17" s="245">
        <f>SUMIF('SAP(B117)'!B:B,재고차이!B:B,'SAP(B117)'!Q:Q)</f>
        <v/>
      </c>
      <c r="L17" s="245">
        <f>SUMIF(주간상차!A:A,재고차이!A:A,주간상차!E:E)</f>
        <v/>
      </c>
      <c r="M17" s="246">
        <f>J17-K17-L17-N17+O17+Q17</f>
        <v/>
      </c>
      <c r="N17" s="274" t="n"/>
      <c r="O17" s="275" t="n"/>
      <c r="P17" s="276" t="n"/>
      <c r="Q17" s="277">
        <f>SUMIF(파손품!D:D,재고차이!B:B,파손품!I:I)+SUMIF(동파파손!D:D,재고차이!B:B,동파파손!I:I)</f>
        <v/>
      </c>
      <c r="R17" s="0">
        <f>M17/E17</f>
        <v/>
      </c>
    </row>
    <row r="18" ht="18.75" customHeight="1" s="237">
      <c r="A18" s="9" t="n">
        <v>1300</v>
      </c>
      <c r="B18" s="9">
        <f>VLOOKUP(A:A,제품등록!A:B,2,0)</f>
        <v/>
      </c>
      <c r="C18" s="29">
        <f>VLOOKUP(B18,제품등록!B:C,2,0)</f>
        <v/>
      </c>
      <c r="D18" s="9" t="n">
        <v>99</v>
      </c>
      <c r="E18" s="9" t="n">
        <v>132</v>
      </c>
      <c r="F18" s="245">
        <f>SUMIF('창고1(실사표)'!B:B,재고차이!A:A,'창고1(실사표)'!F:F)*D18+SUMIF('창고2(실사표)'!B:B,재고차이!A:A,'창고2(실사표)'!F:F)*D18+SUMIF('믹스(잔량실사표)'!B:B,재고차이!A:A,'믹스(잔량실사표)'!F:F)*D18</f>
        <v/>
      </c>
      <c r="G18" s="245">
        <f>SUMIF('창고1(실사표)'!B:B,재고차이!A:A,'창고1(실사표)'!E:E)*E18+SUMIF('창고2(실사표)'!B:B,재고차이!A:A,'창고2(실사표)'!E:E)*E18+SUMIF('믹스(잔량실사표)'!B:B,재고차이!A:A,'믹스(잔량실사표)'!E:E)*E18+SUMIF('창고3(실사표)'!B:B,재고차이!A:A,'창고3(실사표)'!E:E)*E18</f>
        <v/>
      </c>
      <c r="H1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8" s="245">
        <f>SUM(F18:I18)</f>
        <v/>
      </c>
      <c r="K18" s="245">
        <f>SUMIF('SAP(B117)'!B:B,재고차이!B:B,'SAP(B117)'!Q:Q)</f>
        <v/>
      </c>
      <c r="L18" s="245">
        <f>SUMIF(주간상차!A:A,재고차이!A:A,주간상차!E:E)</f>
        <v/>
      </c>
      <c r="M18" s="246">
        <f>J18-K18-L18-N18+O18+Q18</f>
        <v/>
      </c>
      <c r="N18" s="274" t="n"/>
      <c r="O18" s="275" t="n"/>
      <c r="P18" s="276" t="n"/>
      <c r="Q18" s="277">
        <f>SUMIF(파손품!D:D,재고차이!B:B,파손품!I:I)+SUMIF(동파파손!D:D,재고차이!B:B,동파파손!I:I)</f>
        <v/>
      </c>
      <c r="R18" s="0">
        <f>M18/E18</f>
        <v/>
      </c>
    </row>
    <row r="19" ht="18.75" customHeight="1" s="237">
      <c r="A19" s="9" t="n">
        <v>1301</v>
      </c>
      <c r="B19" s="9">
        <f>VLOOKUP(A:A,제품등록!A:B,2,0)</f>
        <v/>
      </c>
      <c r="C19" s="29">
        <f>VLOOKUP(B19,제품등록!B:C,2,0)</f>
        <v/>
      </c>
      <c r="D19" s="9" t="n"/>
      <c r="E19" s="9" t="n">
        <v>108</v>
      </c>
      <c r="F19" s="245">
        <f>SUMIF('창고1(실사표)'!B:B,재고차이!A:A,'창고1(실사표)'!F:F)*D19+SUMIF('창고2(실사표)'!B:B,재고차이!A:A,'창고2(실사표)'!F:F)*D19+SUMIF('믹스(잔량실사표)'!B:B,재고차이!A:A,'믹스(잔량실사표)'!F:F)*D19</f>
        <v/>
      </c>
      <c r="G19" s="245">
        <f>SUMIF('창고1(실사표)'!B:B,재고차이!A:A,'창고1(실사표)'!E:E)*E19+SUMIF('창고2(실사표)'!B:B,재고차이!A:A,'창고2(실사표)'!E:E)*E19+SUMIF('믹스(잔량실사표)'!B:B,재고차이!A:A,'믹스(잔량실사표)'!E:E)*E19+SUMIF('창고3(실사표)'!B:B,재고차이!A:A,'창고3(실사표)'!E:E)*E19</f>
        <v/>
      </c>
      <c r="H1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9" s="245">
        <f>SUM(F19:I19)</f>
        <v/>
      </c>
      <c r="K19" s="245">
        <f>SUMIF('SAP(B117)'!B:B,재고차이!B:B,'SAP(B117)'!Q:Q)</f>
        <v/>
      </c>
      <c r="L19" s="245">
        <f>SUMIF(주간상차!A:A,재고차이!A:A,주간상차!E:E)</f>
        <v/>
      </c>
      <c r="M19" s="246">
        <f>J19-K19-L19-N19+O19+Q19</f>
        <v/>
      </c>
      <c r="N19" s="274" t="n"/>
      <c r="O19" s="275" t="n"/>
      <c r="P19" s="276" t="n"/>
      <c r="Q19" s="277">
        <f>SUMIF(파손품!D:D,재고차이!B:B,파손품!I:I)+SUMIF(동파파손!D:D,재고차이!B:B,동파파손!I:I)</f>
        <v/>
      </c>
      <c r="R19" s="0">
        <f>M19/E19</f>
        <v/>
      </c>
    </row>
    <row r="20" ht="18.75" customHeight="1" s="237">
      <c r="A20" s="9" t="n">
        <v>2520</v>
      </c>
      <c r="B20" s="9">
        <f>VLOOKUP(A:A,제품등록!A:B,2,0)</f>
        <v/>
      </c>
      <c r="C20" s="29">
        <f>VLOOKUP(B20,제품등록!B:C,2,0)</f>
        <v/>
      </c>
      <c r="D20" s="9" t="n"/>
      <c r="E20" s="9" t="n">
        <v>100</v>
      </c>
      <c r="F20" s="245">
        <f>SUMIF('창고1(실사표)'!B:B,재고차이!A:A,'창고1(실사표)'!F:F)*D20+SUMIF('창고2(실사표)'!B:B,재고차이!A:A,'창고2(실사표)'!F:F)*D20+SUMIF('믹스(잔량실사표)'!B:B,재고차이!A:A,'믹스(잔량실사표)'!F:F)*D20</f>
        <v/>
      </c>
      <c r="G20" s="245">
        <f>SUMIF('창고1(실사표)'!B:B,재고차이!A:A,'창고1(실사표)'!E:E)*E20+SUMIF('창고2(실사표)'!B:B,재고차이!A:A,'창고2(실사표)'!E:E)*E20+SUMIF('믹스(잔량실사표)'!B:B,재고차이!A:A,'믹스(잔량실사표)'!E:E)*E20+SUMIF('창고3(실사표)'!B:B,재고차이!A:A,'창고3(실사표)'!E:E)*E20</f>
        <v/>
      </c>
      <c r="H2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0" s="245">
        <f>SUM(F20:I20)</f>
        <v/>
      </c>
      <c r="K20" s="245">
        <f>SUMIF('SAP(B117)'!B:B,재고차이!B:B,'SAP(B117)'!Q:Q)</f>
        <v/>
      </c>
      <c r="L20" s="245">
        <f>SUMIF(주간상차!A:A,재고차이!A:A,주간상차!E:E)</f>
        <v/>
      </c>
      <c r="M20" s="246">
        <f>J20-K20-L20-N20+O20+Q20</f>
        <v/>
      </c>
      <c r="N20" s="274" t="n"/>
      <c r="O20" s="275" t="n"/>
      <c r="P20" s="276" t="n"/>
      <c r="Q20" s="277">
        <f>SUMIF(파손품!D:D,재고차이!B:B,파손품!I:I)+SUMIF(동파파손!D:D,재고차이!B:B,동파파손!I:I)</f>
        <v/>
      </c>
      <c r="R20" s="0">
        <f>M20/E20</f>
        <v/>
      </c>
    </row>
    <row r="21" ht="18" customHeight="1" s="237">
      <c r="A21" s="9" t="n">
        <v>2523</v>
      </c>
      <c r="B21" s="9">
        <f>VLOOKUP(A:A,제품등록!A:B,2,0)</f>
        <v/>
      </c>
      <c r="C21" s="29">
        <f>VLOOKUP(B21,제품등록!B:C,2,0)</f>
        <v/>
      </c>
      <c r="D21" s="9" t="n"/>
      <c r="E21" s="9" t="n">
        <v>100</v>
      </c>
      <c r="F21" s="245">
        <f>SUMIF('창고1(실사표)'!B:B,재고차이!A:A,'창고1(실사표)'!F:F)*D21+SUMIF('창고2(실사표)'!B:B,재고차이!A:A,'창고2(실사표)'!F:F)*D21+SUMIF('믹스(잔량실사표)'!B:B,재고차이!A:A,'믹스(잔량실사표)'!F:F)*D21</f>
        <v/>
      </c>
      <c r="G21" s="245">
        <f>SUMIF('창고1(실사표)'!B:B,재고차이!A:A,'창고1(실사표)'!E:E)*E21+SUMIF('창고2(실사표)'!B:B,재고차이!A:A,'창고2(실사표)'!E:E)*E21+SUMIF('믹스(잔량실사표)'!B:B,재고차이!A:A,'믹스(잔량실사표)'!E:E)*E21+SUMIF('창고3(실사표)'!B:B,재고차이!A:A,'창고3(실사표)'!E:E)*E21</f>
        <v/>
      </c>
      <c r="H2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1" s="245">
        <f>SUM(F21:I21)</f>
        <v/>
      </c>
      <c r="K21" s="245">
        <f>SUMIF('SAP(B117)'!B:B,재고차이!B:B,'SAP(B117)'!Q:Q)</f>
        <v/>
      </c>
      <c r="L21" s="245">
        <f>SUMIF(주간상차!A:A,재고차이!A:A,주간상차!E:E)</f>
        <v/>
      </c>
      <c r="M21" s="246">
        <f>J21-K21-L21-N21+O21+Q21</f>
        <v/>
      </c>
      <c r="N21" s="274" t="n"/>
      <c r="O21" s="275" t="n"/>
      <c r="P21" s="276" t="n"/>
      <c r="Q21" s="277">
        <f>SUMIF(파손품!D:D,재고차이!B:B,파손품!I:I)+SUMIF(동파파손!D:D,재고차이!B:B,동파파손!I:I)</f>
        <v/>
      </c>
      <c r="R21" s="0">
        <f>M21/E21</f>
        <v/>
      </c>
    </row>
    <row r="22" ht="18.75" customHeight="1" s="237">
      <c r="A22" s="9" t="n">
        <v>2531</v>
      </c>
      <c r="B22" s="9">
        <f>VLOOKUP(A:A,제품등록!A:B,2,0)</f>
        <v/>
      </c>
      <c r="C22" s="29">
        <f>VLOOKUP(B22,제품등록!B:C,2,0)</f>
        <v/>
      </c>
      <c r="D22" s="9" t="n">
        <v>88</v>
      </c>
      <c r="E22" s="9" t="n">
        <v>100</v>
      </c>
      <c r="F22" s="245">
        <f>SUMIF('창고1(실사표)'!B:B,재고차이!A:A,'창고1(실사표)'!F:F)*D22+SUMIF('창고2(실사표)'!B:B,재고차이!A:A,'창고2(실사표)'!F:F)*D22+SUMIF('믹스(잔량실사표)'!B:B,재고차이!A:A,'믹스(잔량실사표)'!F:F)*D22</f>
        <v/>
      </c>
      <c r="G22" s="245">
        <f>SUMIF('창고1(실사표)'!B:B,재고차이!A:A,'창고1(실사표)'!E:E)*E22+SUMIF('창고2(실사표)'!B:B,재고차이!A:A,'창고2(실사표)'!E:E)*E22+SUMIF('믹스(잔량실사표)'!B:B,재고차이!A:A,'믹스(잔량실사표)'!E:E)*E22+SUMIF('창고3(실사표)'!B:B,재고차이!A:A,'창고3(실사표)'!E:E)*E22</f>
        <v/>
      </c>
      <c r="H2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2" s="245">
        <f>SUM(F22:I22)</f>
        <v/>
      </c>
      <c r="K22" s="245">
        <f>SUMIF('SAP(B117)'!B:B,재고차이!B:B,'SAP(B117)'!Q:Q)</f>
        <v/>
      </c>
      <c r="L22" s="245">
        <f>SUMIF(주간상차!A:A,재고차이!A:A,주간상차!E:E)</f>
        <v/>
      </c>
      <c r="M22" s="246">
        <f>J22-K22-L22-N22+O22+Q22</f>
        <v/>
      </c>
      <c r="N22" s="274" t="n"/>
      <c r="O22" s="275" t="n"/>
      <c r="P22" s="276" t="n"/>
      <c r="Q22" s="277">
        <f>SUMIF(파손품!D:D,재고차이!B:B,파손품!I:I)+SUMIF(동파파손!D:D,재고차이!B:B,동파파손!I:I)</f>
        <v/>
      </c>
      <c r="R22" s="0">
        <f>M22/E22</f>
        <v/>
      </c>
    </row>
    <row r="23" ht="17.25" customHeight="1" s="237">
      <c r="A23" s="9" t="n">
        <v>2534</v>
      </c>
      <c r="B23" s="9">
        <f>VLOOKUP(A:A,제품등록!A:B,2,0)</f>
        <v/>
      </c>
      <c r="C23" s="29">
        <f>VLOOKUP(B23,제품등록!B:C,2,0)</f>
        <v/>
      </c>
      <c r="D23" s="9" t="n">
        <v>88</v>
      </c>
      <c r="E23" s="9" t="n">
        <v>100</v>
      </c>
      <c r="F23" s="245">
        <f>SUMIF('창고1(실사표)'!B:B,재고차이!A:A,'창고1(실사표)'!F:F)*D23+SUMIF('창고2(실사표)'!B:B,재고차이!A:A,'창고2(실사표)'!F:F)*D23+SUMIF('믹스(잔량실사표)'!B:B,재고차이!A:A,'믹스(잔량실사표)'!F:F)*D23</f>
        <v/>
      </c>
      <c r="G23" s="245">
        <f>SUMIF('창고1(실사표)'!B:B,재고차이!A:A,'창고1(실사표)'!E:E)*E23+SUMIF('창고2(실사표)'!B:B,재고차이!A:A,'창고2(실사표)'!E:E)*E23+SUMIF('믹스(잔량실사표)'!B:B,재고차이!A:A,'믹스(잔량실사표)'!E:E)*E23+SUMIF('창고3(실사표)'!B:B,재고차이!A:A,'창고3(실사표)'!E:E)*E23</f>
        <v/>
      </c>
      <c r="H2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3" s="245">
        <f>SUM(F23:I23)</f>
        <v/>
      </c>
      <c r="K23" s="245">
        <f>SUMIF('SAP(B117)'!B:B,재고차이!B:B,'SAP(B117)'!Q:Q)</f>
        <v/>
      </c>
      <c r="L23" s="245">
        <f>SUMIF(주간상차!A:A,재고차이!A:A,주간상차!E:E)</f>
        <v/>
      </c>
      <c r="M23" s="246">
        <f>J23-K23-L23-N23+O23+Q23</f>
        <v/>
      </c>
      <c r="N23" s="274" t="n"/>
      <c r="O23" s="275" t="n"/>
      <c r="P23" s="276" t="n"/>
      <c r="Q23" s="277">
        <f>SUMIF(파손품!D:D,재고차이!B:B,파손품!I:I)+SUMIF(동파파손!D:D,재고차이!B:B,동파파손!I:I)</f>
        <v/>
      </c>
      <c r="R23" s="0">
        <f>M23/E23</f>
        <v/>
      </c>
    </row>
    <row r="24" ht="18.75" customHeight="1" s="237">
      <c r="A24" s="9" t="n">
        <v>2536</v>
      </c>
      <c r="B24" s="9">
        <f>VLOOKUP(A:A,제품등록!A:B,2,0)</f>
        <v/>
      </c>
      <c r="C24" s="29">
        <f>VLOOKUP(B24,제품등록!B:C,2,0)</f>
        <v/>
      </c>
      <c r="D24" s="9" t="n">
        <v>88</v>
      </c>
      <c r="E24" s="9" t="n">
        <v>100</v>
      </c>
      <c r="F24" s="245">
        <f>SUMIF('창고1(실사표)'!B:B,재고차이!A:A,'창고1(실사표)'!F:F)*D24+SUMIF('창고2(실사표)'!B:B,재고차이!A:A,'창고2(실사표)'!F:F)*D24+SUMIF('믹스(잔량실사표)'!B:B,재고차이!A:A,'믹스(잔량실사표)'!F:F)*D24</f>
        <v/>
      </c>
      <c r="G24" s="245">
        <f>SUMIF('창고1(실사표)'!B:B,재고차이!A:A,'창고1(실사표)'!E:E)*E24+SUMIF('창고2(실사표)'!B:B,재고차이!A:A,'창고2(실사표)'!E:E)*E24+SUMIF('믹스(잔량실사표)'!B:B,재고차이!A:A,'믹스(잔량실사표)'!E:E)*E24+SUMIF('창고3(실사표)'!B:B,재고차이!A:A,'창고3(실사표)'!E:E)*E24</f>
        <v/>
      </c>
      <c r="H2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4" s="245">
        <f>SUM(F24:I24)</f>
        <v/>
      </c>
      <c r="K24" s="245">
        <f>SUMIF('SAP(B117)'!B:B,재고차이!B:B,'SAP(B117)'!Q:Q)</f>
        <v/>
      </c>
      <c r="L24" s="245">
        <f>SUMIF(주간상차!A:A,재고차이!A:A,주간상차!E:E)</f>
        <v/>
      </c>
      <c r="M24" s="246">
        <f>J24-K24-L24-N24+O24+Q24</f>
        <v/>
      </c>
      <c r="N24" s="274" t="n"/>
      <c r="O24" s="275" t="n"/>
      <c r="P24" s="276" t="n"/>
      <c r="Q24" s="277">
        <f>SUMIF(파손품!D:D,재고차이!B:B,파손품!I:I)+SUMIF(동파파손!D:D,재고차이!B:B,동파파손!I:I)</f>
        <v/>
      </c>
      <c r="R24" s="0">
        <f>M24/E24</f>
        <v/>
      </c>
    </row>
    <row r="25" ht="18.75" customHeight="1" s="237">
      <c r="A25" s="9" t="n">
        <v>2825</v>
      </c>
      <c r="B25" s="9">
        <f>VLOOKUP(A:A,제품등록!A:B,2,0)</f>
        <v/>
      </c>
      <c r="C25" s="29">
        <f>VLOOKUP(B25,제품등록!B:C,2,0)</f>
        <v/>
      </c>
      <c r="D25" s="9" t="n"/>
      <c r="E25" s="9" t="n">
        <v>70</v>
      </c>
      <c r="F25" s="245">
        <f>SUMIF('창고1(실사표)'!B:B,재고차이!A:A,'창고1(실사표)'!F:F)*D25+SUMIF('창고2(실사표)'!B:B,재고차이!A:A,'창고2(실사표)'!F:F)*D25+SUMIF('믹스(잔량실사표)'!B:B,재고차이!A:A,'믹스(잔량실사표)'!F:F)*D25</f>
        <v/>
      </c>
      <c r="G25" s="245">
        <f>SUMIF('창고1(실사표)'!B:B,재고차이!A:A,'창고1(실사표)'!E:E)*E25+SUMIF('창고2(실사표)'!B:B,재고차이!A:A,'창고2(실사표)'!E:E)*E25+SUMIF('믹스(잔량실사표)'!B:B,재고차이!A:A,'믹스(잔량실사표)'!E:E)*E25+SUMIF('창고3(실사표)'!B:B,재고차이!A:A,'창고3(실사표)'!E:E)*E25</f>
        <v/>
      </c>
      <c r="H2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5" s="245">
        <f>SUM(F25:I25)</f>
        <v/>
      </c>
      <c r="K25" s="245">
        <f>SUMIF('SAP(B117)'!B:B,재고차이!B:B,'SAP(B117)'!Q:Q)</f>
        <v/>
      </c>
      <c r="L25" s="245">
        <f>SUMIF(주간상차!A:A,재고차이!A:A,주간상차!E:E)</f>
        <v/>
      </c>
      <c r="M25" s="246">
        <f>J25-K25-L25-N25+O25+Q25</f>
        <v/>
      </c>
      <c r="N25" s="274" t="n"/>
      <c r="O25" s="275" t="n"/>
      <c r="P25" s="276" t="n"/>
      <c r="Q25" s="277">
        <f>SUMIF(파손품!D:D,재고차이!B:B,파손품!I:I)+SUMIF(동파파손!D:D,재고차이!B:B,동파파손!I:I)</f>
        <v/>
      </c>
      <c r="R25" s="0">
        <f>M25/E25</f>
        <v/>
      </c>
    </row>
    <row r="26" ht="18.75" customHeight="1" s="237">
      <c r="A26" s="9" t="n">
        <v>2826</v>
      </c>
      <c r="B26" s="9">
        <f>VLOOKUP(A:A,제품등록!A:B,2,0)</f>
        <v/>
      </c>
      <c r="C26" s="29">
        <f>VLOOKUP(B26,제품등록!B:C,2,0)</f>
        <v/>
      </c>
      <c r="D26" s="9" t="n"/>
      <c r="E26" s="9" t="n">
        <v>64</v>
      </c>
      <c r="F26" s="245">
        <f>SUMIF('창고1(실사표)'!B:B,재고차이!A:A,'창고1(실사표)'!F:F)*D26+SUMIF('창고2(실사표)'!B:B,재고차이!A:A,'창고2(실사표)'!F:F)*D26+SUMIF('믹스(잔량실사표)'!B:B,재고차이!A:A,'믹스(잔량실사표)'!F:F)*D26</f>
        <v/>
      </c>
      <c r="G26" s="245">
        <f>SUMIF('창고1(실사표)'!B:B,재고차이!A:A,'창고1(실사표)'!E:E)*E26+SUMIF('창고2(실사표)'!B:B,재고차이!A:A,'창고2(실사표)'!E:E)*E26+SUMIF('믹스(잔량실사표)'!B:B,재고차이!A:A,'믹스(잔량실사표)'!E:E)*E26+SUMIF('창고3(실사표)'!B:B,재고차이!A:A,'창고3(실사표)'!E:E)*E26</f>
        <v/>
      </c>
      <c r="H2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6" s="245">
        <f>SUM(F26:I26)</f>
        <v/>
      </c>
      <c r="K26" s="245">
        <f>SUMIF('SAP(B117)'!B:B,재고차이!B:B,'SAP(B117)'!Q:Q)</f>
        <v/>
      </c>
      <c r="L26" s="245">
        <f>SUMIF(주간상차!A:A,재고차이!A:A,주간상차!E:E)</f>
        <v/>
      </c>
      <c r="M26" s="246">
        <f>J26-K26-L26-N26+O26+Q26</f>
        <v/>
      </c>
      <c r="N26" s="274" t="n"/>
      <c r="O26" s="275" t="n"/>
      <c r="P26" s="276" t="n"/>
      <c r="Q26" s="277">
        <f>SUMIF(파손품!D:D,재고차이!B:B,파손품!I:I)+SUMIF(동파파손!D:D,재고차이!B:B,동파파손!I:I)</f>
        <v/>
      </c>
      <c r="R26" s="0">
        <f>M26/E26</f>
        <v/>
      </c>
    </row>
    <row r="27" ht="18.75" customHeight="1" s="237">
      <c r="A27" s="9" t="n">
        <v>3181</v>
      </c>
      <c r="B27" s="9">
        <f>VLOOKUP(A:A,제품등록!A:B,2,0)</f>
        <v/>
      </c>
      <c r="C27" s="29">
        <f>VLOOKUP(B27,제품등록!B:C,2,0)</f>
        <v/>
      </c>
      <c r="D27" s="9" t="n">
        <v>40</v>
      </c>
      <c r="E27" s="9" t="n">
        <v>70</v>
      </c>
      <c r="F27" s="245">
        <f>SUMIF('창고1(실사표)'!B:B,재고차이!A:A,'창고1(실사표)'!F:F)*D27+SUMIF('창고2(실사표)'!B:B,재고차이!A:A,'창고2(실사표)'!F:F)*D27+SUMIF('믹스(잔량실사표)'!B:B,재고차이!A:A,'믹스(잔량실사표)'!F:F)*D27</f>
        <v/>
      </c>
      <c r="G27" s="245">
        <f>SUMIF('창고1(실사표)'!B:B,재고차이!A:A,'창고1(실사표)'!E:E)*E27+SUMIF('창고2(실사표)'!B:B,재고차이!A:A,'창고2(실사표)'!E:E)*E27+SUMIF('믹스(잔량실사표)'!B:B,재고차이!A:A,'믹스(잔량실사표)'!E:E)*E27+SUMIF('창고3(실사표)'!B:B,재고차이!A:A,'창고3(실사표)'!E:E)*E27</f>
        <v/>
      </c>
      <c r="H2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7" s="245">
        <f>SUM(F27:I27)</f>
        <v/>
      </c>
      <c r="K27" s="245">
        <f>SUMIF('SAP(B117)'!B:B,재고차이!B:B,'SAP(B117)'!Q:Q)</f>
        <v/>
      </c>
      <c r="L27" s="245">
        <f>SUMIF(주간상차!A:A,재고차이!A:A,주간상차!E:E)</f>
        <v/>
      </c>
      <c r="M27" s="246">
        <f>J27-K27-L27-N27+O27+Q27</f>
        <v/>
      </c>
      <c r="N27" s="274" t="n"/>
      <c r="O27" s="275" t="n"/>
      <c r="P27" s="276" t="n"/>
      <c r="Q27" s="277">
        <f>SUMIF(파손품!D:D,재고차이!B:B,파손품!I:I)+SUMIF(동파파손!D:D,재고차이!B:B,동파파손!I:I)</f>
        <v/>
      </c>
      <c r="R27" s="0">
        <f>M27/E27</f>
        <v/>
      </c>
    </row>
    <row r="28" ht="18.75" customHeight="1" s="237">
      <c r="A28" s="9" t="n">
        <v>3182</v>
      </c>
      <c r="B28" s="9">
        <f>VLOOKUP(A:A,제품등록!A:B,2,0)</f>
        <v/>
      </c>
      <c r="C28" s="29">
        <f>VLOOKUP(B28,제품등록!B:C,2,0)</f>
        <v/>
      </c>
      <c r="D28" s="9" t="n">
        <v>40</v>
      </c>
      <c r="E28" s="9" t="n">
        <v>70</v>
      </c>
      <c r="F28" s="245">
        <f>SUMIF('창고1(실사표)'!B:B,재고차이!A:A,'창고1(실사표)'!F:F)*D28+SUMIF('창고2(실사표)'!B:B,재고차이!A:A,'창고2(실사표)'!F:F)*D28+SUMIF('믹스(잔량실사표)'!B:B,재고차이!A:A,'믹스(잔량실사표)'!F:F)*D28</f>
        <v/>
      </c>
      <c r="G28" s="245">
        <f>SUMIF('창고1(실사표)'!B:B,재고차이!A:A,'창고1(실사표)'!E:E)*E28+SUMIF('창고2(실사표)'!B:B,재고차이!A:A,'창고2(실사표)'!E:E)*E28+SUMIF('믹스(잔량실사표)'!B:B,재고차이!A:A,'믹스(잔량실사표)'!E:E)*E28+SUMIF('창고3(실사표)'!B:B,재고차이!A:A,'창고3(실사표)'!E:E)*E28</f>
        <v/>
      </c>
      <c r="H2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8" s="245">
        <f>SUM(F28:I28)</f>
        <v/>
      </c>
      <c r="K28" s="245">
        <f>SUMIF('SAP(B117)'!B:B,재고차이!B:B,'SAP(B117)'!Q:Q)</f>
        <v/>
      </c>
      <c r="L28" s="245">
        <f>SUMIF(주간상차!A:A,재고차이!A:A,주간상차!E:E)</f>
        <v/>
      </c>
      <c r="M28" s="246">
        <f>J28-K28-L28-N28+O28+Q28</f>
        <v/>
      </c>
      <c r="N28" s="274" t="n"/>
      <c r="O28" s="275" t="n"/>
      <c r="P28" s="276" t="n"/>
      <c r="Q28" s="277">
        <f>SUMIF(파손품!D:D,재고차이!B:B,파손품!I:I)+SUMIF(동파파손!D:D,재고차이!B:B,동파파손!I:I)</f>
        <v/>
      </c>
      <c r="R28" s="0">
        <f>M28/E28</f>
        <v/>
      </c>
    </row>
    <row r="29" ht="17.25" customHeight="1" s="237">
      <c r="A29" s="9" t="n">
        <v>3214</v>
      </c>
      <c r="B29" s="9">
        <f>VLOOKUP(A:A,제품등록!A:B,2,0)</f>
        <v/>
      </c>
      <c r="C29" s="29">
        <f>VLOOKUP(B29,제품등록!B:C,2,0)</f>
        <v/>
      </c>
      <c r="D29" s="9" t="n"/>
      <c r="E29" s="9" t="n">
        <v>100</v>
      </c>
      <c r="F29" s="245">
        <f>SUMIF('창고1(실사표)'!B:B,재고차이!A:A,'창고1(실사표)'!F:F)*D29+SUMIF('창고2(실사표)'!B:B,재고차이!A:A,'창고2(실사표)'!F:F)*D29+SUMIF('믹스(잔량실사표)'!B:B,재고차이!A:A,'믹스(잔량실사표)'!F:F)*D29</f>
        <v/>
      </c>
      <c r="G29" s="245">
        <f>SUMIF('창고1(실사표)'!B:B,재고차이!A:A,'창고1(실사표)'!E:E)*E29+SUMIF('창고2(실사표)'!B:B,재고차이!A:A,'창고2(실사표)'!E:E)*E29+SUMIF('믹스(잔량실사표)'!B:B,재고차이!A:A,'믹스(잔량실사표)'!E:E)*E29+SUMIF('창고3(실사표)'!B:B,재고차이!A:A,'창고3(실사표)'!E:E)*E29</f>
        <v/>
      </c>
      <c r="H2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9" s="245">
        <f>SUM(F29:I29)</f>
        <v/>
      </c>
      <c r="K29" s="245">
        <f>SUMIF('SAP(B117)'!B:B,재고차이!B:B,'SAP(B117)'!Q:Q)</f>
        <v/>
      </c>
      <c r="L29" s="245">
        <f>SUMIF(주간상차!A:A,재고차이!A:A,주간상차!E:E)</f>
        <v/>
      </c>
      <c r="M29" s="246">
        <f>J29-K29-L29-N29+O29+Q29</f>
        <v/>
      </c>
      <c r="N29" s="274" t="n"/>
      <c r="O29" s="275" t="n"/>
      <c r="P29" s="276" t="n"/>
      <c r="Q29" s="277">
        <f>SUMIF(파손품!D:D,재고차이!B:B,파손품!I:I)+SUMIF(동파파손!D:D,재고차이!B:B,동파파손!I:I)</f>
        <v/>
      </c>
      <c r="R29" s="0">
        <f>M29/E29</f>
        <v/>
      </c>
    </row>
    <row r="30" ht="17.25" customHeight="1" s="237">
      <c r="A30" s="9" t="n">
        <v>4042</v>
      </c>
      <c r="B30" s="9">
        <f>VLOOKUP(A:A,제품등록!A:B,2,0)</f>
        <v/>
      </c>
      <c r="C30" s="29">
        <f>VLOOKUP(B30,제품등록!B:C,2,0)</f>
        <v/>
      </c>
      <c r="D30" s="9" t="n"/>
      <c r="E30" s="9" t="n">
        <v>100</v>
      </c>
      <c r="F30" s="245">
        <f>SUMIF('창고1(실사표)'!B:B,재고차이!A:A,'창고1(실사표)'!F:F)*D30+SUMIF('창고2(실사표)'!B:B,재고차이!A:A,'창고2(실사표)'!F:F)*D30+SUMIF('믹스(잔량실사표)'!B:B,재고차이!A:A,'믹스(잔량실사표)'!F:F)*D30</f>
        <v/>
      </c>
      <c r="G30" s="245">
        <f>SUMIF('창고1(실사표)'!B:B,재고차이!A:A,'창고1(실사표)'!E:E)*E30+SUMIF('창고2(실사표)'!B:B,재고차이!A:A,'창고2(실사표)'!E:E)*E30+SUMIF('믹스(잔량실사표)'!B:B,재고차이!A:A,'믹스(잔량실사표)'!E:E)*E30+SUMIF('창고3(실사표)'!B:B,재고차이!A:A,'창고3(실사표)'!E:E)*E30</f>
        <v/>
      </c>
      <c r="H3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3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30" s="245">
        <f>SUM(F30:I30)</f>
        <v/>
      </c>
      <c r="K30" s="245">
        <f>SUMIF('SAP(B117)'!B:B,재고차이!B:B,'SAP(B117)'!Q:Q)</f>
        <v/>
      </c>
      <c r="L30" s="245">
        <f>SUMIF(주간상차!A:A,재고차이!A:A,주간상차!E:E)</f>
        <v/>
      </c>
      <c r="M30" s="246">
        <f>J30-K30-L30-N30+O30+Q30</f>
        <v/>
      </c>
      <c r="N30" s="274" t="n"/>
      <c r="O30" s="275" t="n"/>
      <c r="P30" s="276" t="n"/>
      <c r="Q30" s="277">
        <f>SUMIF(파손품!D:D,재고차이!B:B,파손품!I:I)+SUMIF(동파파손!D:D,재고차이!B:B,동파파손!I:I)</f>
        <v/>
      </c>
      <c r="R30" s="0">
        <f>M30/E30</f>
        <v/>
      </c>
    </row>
    <row r="31" ht="17.25" customHeight="1" s="237">
      <c r="A31" s="9" t="n">
        <v>4044</v>
      </c>
      <c r="B31" s="9">
        <f>VLOOKUP(A:A,제품등록!A:B,2,0)</f>
        <v/>
      </c>
      <c r="C31" s="29">
        <f>VLOOKUP(B31,제품등록!B:C,2,0)</f>
        <v/>
      </c>
      <c r="D31" s="9" t="n"/>
      <c r="E31" s="9" t="n">
        <v>100</v>
      </c>
      <c r="F31" s="245">
        <f>SUMIF('창고1(실사표)'!B:B,재고차이!A:A,'창고1(실사표)'!F:F)*D31+SUMIF('창고2(실사표)'!B:B,재고차이!A:A,'창고2(실사표)'!F:F)*D31+SUMIF('믹스(잔량실사표)'!B:B,재고차이!A:A,'믹스(잔량실사표)'!F:F)*D31</f>
        <v/>
      </c>
      <c r="G31" s="245">
        <f>SUMIF('창고1(실사표)'!B:B,재고차이!A:A,'창고1(실사표)'!E:E)*E31+SUMIF('창고2(실사표)'!B:B,재고차이!A:A,'창고2(실사표)'!E:E)*E31+SUMIF('믹스(잔량실사표)'!B:B,재고차이!A:A,'믹스(잔량실사표)'!E:E)*E31+SUMIF('창고3(실사표)'!B:B,재고차이!A:A,'창고3(실사표)'!E:E)*E31</f>
        <v/>
      </c>
      <c r="H3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3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31" s="245">
        <f>SUM(F31:I31)</f>
        <v/>
      </c>
      <c r="K31" s="245">
        <f>SUMIF('SAP(B117)'!B:B,재고차이!B:B,'SAP(B117)'!Q:Q)</f>
        <v/>
      </c>
      <c r="L31" s="245">
        <f>SUMIF(주간상차!A:A,재고차이!A:A,주간상차!E:E)</f>
        <v/>
      </c>
      <c r="M31" s="246">
        <f>J31-K31-L31-N31+O31+Q31</f>
        <v/>
      </c>
      <c r="N31" s="274" t="n"/>
      <c r="O31" s="275" t="n"/>
      <c r="P31" s="276" t="n"/>
      <c r="Q31" s="277">
        <f>SUMIF(파손품!D:D,재고차이!B:B,파손품!I:I)+SUMIF(동파파손!D:D,재고차이!B:B,동파파손!I:I)</f>
        <v/>
      </c>
      <c r="R31" s="0">
        <f>M31/E31</f>
        <v/>
      </c>
    </row>
    <row r="32" ht="17.25" customHeight="1" s="237">
      <c r="A32" s="9" t="n">
        <v>4112</v>
      </c>
      <c r="B32" s="9">
        <f>VLOOKUP(A:A,제품등록!A:B,2,0)</f>
        <v/>
      </c>
      <c r="C32" s="29">
        <f>VLOOKUP(B32,제품등록!B:C,2,0)</f>
        <v/>
      </c>
      <c r="D32" s="9" t="n"/>
      <c r="E32" s="9" t="n">
        <v>132</v>
      </c>
      <c r="F32" s="245">
        <f>SUMIF('창고1(실사표)'!B:B,재고차이!A:A,'창고1(실사표)'!F:F)*D32+SUMIF('창고2(실사표)'!B:B,재고차이!A:A,'창고2(실사표)'!F:F)*D32+SUMIF('믹스(잔량실사표)'!B:B,재고차이!A:A,'믹스(잔량실사표)'!F:F)*D32</f>
        <v/>
      </c>
      <c r="G32" s="245">
        <f>SUMIF('창고1(실사표)'!B:B,재고차이!A:A,'창고1(실사표)'!E:E)*E32+SUMIF('창고2(실사표)'!B:B,재고차이!A:A,'창고2(실사표)'!E:E)*E32+SUMIF('믹스(잔량실사표)'!B:B,재고차이!A:A,'믹스(잔량실사표)'!E:E)*E32+SUMIF('창고3(실사표)'!B:B,재고차이!A:A,'창고3(실사표)'!E:E)*E32</f>
        <v/>
      </c>
      <c r="H3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3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32" s="245">
        <f>SUM(F32:I32)</f>
        <v/>
      </c>
      <c r="K32" s="245">
        <f>SUMIF('SAP(B117)'!B:B,재고차이!B:B,'SAP(B117)'!Q:Q)</f>
        <v/>
      </c>
      <c r="L32" s="245">
        <f>SUMIF(주간상차!A:A,재고차이!A:A,주간상차!E:E)</f>
        <v/>
      </c>
      <c r="M32" s="246">
        <f>J32-K32-L32-N32+O32+Q32</f>
        <v/>
      </c>
      <c r="N32" s="274" t="n"/>
      <c r="O32" s="275" t="n"/>
      <c r="P32" s="276" t="n"/>
      <c r="Q32" s="277">
        <f>SUMIF(파손품!D:D,재고차이!B:B,파손품!I:I)+SUMIF(동파파손!D:D,재고차이!B:B,동파파손!I:I)</f>
        <v/>
      </c>
      <c r="R32" s="0">
        <f>M32/E32</f>
        <v/>
      </c>
    </row>
    <row r="33" ht="17.25" customHeight="1" s="237">
      <c r="A33" s="9" t="n">
        <v>4125</v>
      </c>
      <c r="B33" s="9">
        <f>VLOOKUP(A:A,제품등록!A:B,2,0)</f>
        <v/>
      </c>
      <c r="C33" s="29">
        <f>VLOOKUP(B33,제품등록!B:C,2,0)</f>
        <v/>
      </c>
      <c r="D33" s="9" t="n"/>
      <c r="E33" s="9" t="n">
        <v>100</v>
      </c>
      <c r="F33" s="245">
        <f>SUMIF('창고1(실사표)'!B:B,재고차이!A:A,'창고1(실사표)'!F:F)*D33+SUMIF('창고2(실사표)'!B:B,재고차이!A:A,'창고2(실사표)'!F:F)*D33+SUMIF('믹스(잔량실사표)'!B:B,재고차이!A:A,'믹스(잔량실사표)'!F:F)*D33</f>
        <v/>
      </c>
      <c r="G33" s="245">
        <f>SUMIF('창고1(실사표)'!B:B,재고차이!A:A,'창고1(실사표)'!E:E)*E33+SUMIF('창고2(실사표)'!B:B,재고차이!A:A,'창고2(실사표)'!E:E)*E33+SUMIF('믹스(잔량실사표)'!B:B,재고차이!A:A,'믹스(잔량실사표)'!E:E)*E33+SUMIF('창고3(실사표)'!B:B,재고차이!A:A,'창고3(실사표)'!E:E)*E33</f>
        <v/>
      </c>
      <c r="H3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3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33" s="245">
        <f>SUM(F33:I33)</f>
        <v/>
      </c>
      <c r="K33" s="245">
        <f>SUMIF('SAP(B117)'!B:B,재고차이!B:B,'SAP(B117)'!Q:Q)</f>
        <v/>
      </c>
      <c r="L33" s="245">
        <f>SUMIF(주간상차!A:A,재고차이!A:A,주간상차!E:E)</f>
        <v/>
      </c>
      <c r="M33" s="246">
        <f>J33-K33-L33-N33+O33+Q33</f>
        <v/>
      </c>
      <c r="N33" s="274" t="n"/>
      <c r="O33" s="275" t="n"/>
      <c r="P33" s="276" t="n"/>
      <c r="Q33" s="277">
        <f>SUMIF(파손품!D:D,재고차이!B:B,파손품!I:I)+SUMIF(동파파손!D:D,재고차이!B:B,동파파손!I:I)</f>
        <v/>
      </c>
      <c r="R33" s="0">
        <f>M33/E33</f>
        <v/>
      </c>
    </row>
    <row r="34" ht="17.25" customHeight="1" s="237">
      <c r="A34" s="9" t="n">
        <v>4142</v>
      </c>
      <c r="B34" s="9">
        <f>VLOOKUP(A:A,제품등록!A:B,2,0)</f>
        <v/>
      </c>
      <c r="C34" s="29">
        <f>VLOOKUP(B34,제품등록!B:C,2,0)</f>
        <v/>
      </c>
      <c r="D34" s="9" t="n"/>
      <c r="E34" s="9" t="n">
        <v>99</v>
      </c>
      <c r="F34" s="245">
        <f>SUMIF('창고1(실사표)'!B:B,재고차이!A:A,'창고1(실사표)'!F:F)*D34+SUMIF('창고2(실사표)'!B:B,재고차이!A:A,'창고2(실사표)'!F:F)*D34+SUMIF('믹스(잔량실사표)'!B:B,재고차이!A:A,'믹스(잔량실사표)'!F:F)*D34</f>
        <v/>
      </c>
      <c r="G34" s="245">
        <f>SUMIF('창고1(실사표)'!B:B,재고차이!A:A,'창고1(실사표)'!E:E)*E34+SUMIF('창고2(실사표)'!B:B,재고차이!A:A,'창고2(실사표)'!E:E)*E34+SUMIF('믹스(잔량실사표)'!B:B,재고차이!A:A,'믹스(잔량실사표)'!E:E)*E34+SUMIF('창고3(실사표)'!B:B,재고차이!A:A,'창고3(실사표)'!E:E)*E34</f>
        <v/>
      </c>
      <c r="H3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3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34" s="245">
        <f>SUM(F34:I34)</f>
        <v/>
      </c>
      <c r="K34" s="245">
        <f>SUMIF('SAP(B117)'!B:B,재고차이!B:B,'SAP(B117)'!Q:Q)</f>
        <v/>
      </c>
      <c r="L34" s="245">
        <f>SUMIF(주간상차!A:A,재고차이!A:A,주간상차!E:E)</f>
        <v/>
      </c>
      <c r="M34" s="246">
        <f>J34-K34-L34-N34+O34+Q34</f>
        <v/>
      </c>
      <c r="N34" s="274" t="n"/>
      <c r="O34" s="275" t="n"/>
      <c r="P34" s="276" t="n"/>
      <c r="Q34" s="277">
        <f>SUMIF(파손품!D:D,재고차이!B:B,파손품!I:I)+SUMIF(동파파손!D:D,재고차이!B:B,동파파손!I:I)</f>
        <v/>
      </c>
      <c r="R34" s="0">
        <f>M34/E34</f>
        <v/>
      </c>
    </row>
    <row r="35" ht="17.25" customHeight="1" s="237">
      <c r="A35" s="9" t="n">
        <v>4147</v>
      </c>
      <c r="B35" s="9">
        <f>VLOOKUP(A:A,제품등록!A:B,2,0)</f>
        <v/>
      </c>
      <c r="C35" s="29">
        <f>VLOOKUP(B35,제품등록!B:C,2,0)</f>
        <v/>
      </c>
      <c r="D35" s="9" t="n"/>
      <c r="E35" s="9" t="n">
        <v>100</v>
      </c>
      <c r="F35" s="245">
        <f>SUMIF('창고1(실사표)'!B:B,재고차이!A:A,'창고1(실사표)'!F:F)*D35+SUMIF('창고2(실사표)'!B:B,재고차이!A:A,'창고2(실사표)'!F:F)*D35+SUMIF('믹스(잔량실사표)'!B:B,재고차이!A:A,'믹스(잔량실사표)'!F:F)*D35</f>
        <v/>
      </c>
      <c r="G35" s="245">
        <f>SUMIF('창고1(실사표)'!B:B,재고차이!A:A,'창고1(실사표)'!E:E)*E35+SUMIF('창고2(실사표)'!B:B,재고차이!A:A,'창고2(실사표)'!E:E)*E35+SUMIF('믹스(잔량실사표)'!B:B,재고차이!A:A,'믹스(잔량실사표)'!E:E)*E35+SUMIF('창고3(실사표)'!B:B,재고차이!A:A,'창고3(실사표)'!E:E)*E35</f>
        <v/>
      </c>
      <c r="H3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3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35" s="245">
        <f>SUM(F35:I35)</f>
        <v/>
      </c>
      <c r="K35" s="245">
        <f>SUMIF('SAP(B117)'!B:B,재고차이!B:B,'SAP(B117)'!Q:Q)</f>
        <v/>
      </c>
      <c r="L35" s="245">
        <f>SUMIF(주간상차!A:A,재고차이!A:A,주간상차!E:E)</f>
        <v/>
      </c>
      <c r="M35" s="246">
        <f>J35-K35-L35-N35+O35+Q35</f>
        <v/>
      </c>
      <c r="N35" s="274" t="n"/>
      <c r="O35" s="275" t="n"/>
      <c r="P35" s="276" t="n"/>
      <c r="Q35" s="277">
        <f>SUMIF(파손품!D:D,재고차이!B:B,파손품!I:I)+SUMIF(동파파손!D:D,재고차이!B:B,동파파손!I:I)</f>
        <v/>
      </c>
      <c r="R35" s="0">
        <f>M35/E35</f>
        <v/>
      </c>
    </row>
    <row r="36" ht="17.25" customHeight="1" s="237">
      <c r="A36" s="9" t="n">
        <v>4149</v>
      </c>
      <c r="B36" s="9">
        <f>VLOOKUP(A:A,제품등록!A:B,2,0)</f>
        <v/>
      </c>
      <c r="C36" s="29">
        <f>VLOOKUP(B36,제품등록!B:C,2,0)</f>
        <v/>
      </c>
      <c r="D36" s="9" t="n"/>
      <c r="E36" s="9" t="n">
        <v>99</v>
      </c>
      <c r="F36" s="245">
        <f>SUMIF('창고1(실사표)'!B:B,재고차이!A:A,'창고1(실사표)'!F:F)*D36+SUMIF('창고2(실사표)'!B:B,재고차이!A:A,'창고2(실사표)'!F:F)*D36+SUMIF('믹스(잔량실사표)'!B:B,재고차이!A:A,'믹스(잔량실사표)'!F:F)*D36</f>
        <v/>
      </c>
      <c r="G36" s="245">
        <f>SUMIF('창고1(실사표)'!B:B,재고차이!A:A,'창고1(실사표)'!E:E)*E36+SUMIF('창고2(실사표)'!B:B,재고차이!A:A,'창고2(실사표)'!E:E)*E36+SUMIF('믹스(잔량실사표)'!B:B,재고차이!A:A,'믹스(잔량실사표)'!E:E)*E36+SUMIF('창고3(실사표)'!B:B,재고차이!A:A,'창고3(실사표)'!E:E)*E36</f>
        <v/>
      </c>
      <c r="H3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3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36" s="245">
        <f>SUM(F36:I36)</f>
        <v/>
      </c>
      <c r="K36" s="245">
        <f>SUMIF('SAP(B117)'!B:B,재고차이!B:B,'SAP(B117)'!Q:Q)</f>
        <v/>
      </c>
      <c r="L36" s="245">
        <f>SUMIF(주간상차!A:A,재고차이!A:A,주간상차!E:E)</f>
        <v/>
      </c>
      <c r="M36" s="246">
        <f>J36-K36-L36-N36+O36+Q36</f>
        <v/>
      </c>
      <c r="N36" s="274" t="n"/>
      <c r="O36" s="275" t="n"/>
      <c r="P36" s="276" t="n"/>
      <c r="Q36" s="277">
        <f>SUMIF(파손품!D:D,재고차이!B:B,파손품!I:I)+SUMIF(동파파손!D:D,재고차이!B:B,동파파손!I:I)</f>
        <v/>
      </c>
      <c r="R36" s="0">
        <f>M36/E36</f>
        <v/>
      </c>
    </row>
    <row r="37" ht="17.25" customHeight="1" s="237">
      <c r="A37" s="9" t="n">
        <v>4166</v>
      </c>
      <c r="B37" s="9">
        <f>VLOOKUP(A:A,제품등록!A:B,2,0)</f>
        <v/>
      </c>
      <c r="C37" s="29">
        <f>VLOOKUP(B37,제품등록!B:C,2,0)</f>
        <v/>
      </c>
      <c r="D37" s="9" t="n">
        <v>40</v>
      </c>
      <c r="E37" s="9" t="n">
        <v>50</v>
      </c>
      <c r="F37" s="245">
        <f>SUMIF('창고1(실사표)'!B:B,재고차이!A:A,'창고1(실사표)'!F:F)*D37+SUMIF('창고2(실사표)'!B:B,재고차이!A:A,'창고2(실사표)'!F:F)*D37+SUMIF('믹스(잔량실사표)'!B:B,재고차이!A:A,'믹스(잔량실사표)'!F:F)*D37</f>
        <v/>
      </c>
      <c r="G37" s="245">
        <f>SUMIF('창고1(실사표)'!B:B,재고차이!A:A,'창고1(실사표)'!E:E)*E37+SUMIF('창고2(실사표)'!B:B,재고차이!A:A,'창고2(실사표)'!E:E)*E37+SUMIF('믹스(잔량실사표)'!B:B,재고차이!A:A,'믹스(잔량실사표)'!E:E)*E37+SUMIF('창고3(실사표)'!B:B,재고차이!A:A,'창고3(실사표)'!E:E)*E37</f>
        <v/>
      </c>
      <c r="H3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3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37" s="245">
        <f>SUM(F37:I37)</f>
        <v/>
      </c>
      <c r="K37" s="245">
        <f>SUMIF('SAP(B117)'!B:B,재고차이!B:B,'SAP(B117)'!Q:Q)</f>
        <v/>
      </c>
      <c r="L37" s="245">
        <f>SUMIF(주간상차!A:A,재고차이!A:A,주간상차!E:E)</f>
        <v/>
      </c>
      <c r="M37" s="246">
        <f>J37-K37-L37-N37+O37+Q37</f>
        <v/>
      </c>
      <c r="N37" s="274" t="n"/>
      <c r="O37" s="275" t="n"/>
      <c r="P37" s="276" t="n"/>
      <c r="Q37" s="277">
        <f>SUMIF(파손품!D:D,재고차이!B:B,파손품!I:I)+SUMIF(동파파손!D:D,재고차이!B:B,동파파손!I:I)</f>
        <v/>
      </c>
      <c r="R37" s="0">
        <f>M37/E37</f>
        <v/>
      </c>
    </row>
    <row r="38">
      <c r="A38" s="9" t="n">
        <v>4177</v>
      </c>
      <c r="B38" s="9">
        <f>VLOOKUP(A:A,제품등록!A:B,2,0)</f>
        <v/>
      </c>
      <c r="C38" s="29">
        <f>VLOOKUP(B38,제품등록!B:C,2,0)</f>
        <v/>
      </c>
      <c r="D38" s="9" t="n">
        <v>88</v>
      </c>
      <c r="E38" s="9" t="n">
        <v>100</v>
      </c>
      <c r="F38" s="245">
        <f>SUMIF('창고1(실사표)'!B:B,재고차이!A:A,'창고1(실사표)'!F:F)*D38+SUMIF('창고2(실사표)'!B:B,재고차이!A:A,'창고2(실사표)'!F:F)*D38+SUMIF('믹스(잔량실사표)'!B:B,재고차이!A:A,'믹스(잔량실사표)'!F:F)*D38</f>
        <v/>
      </c>
      <c r="G38" s="245">
        <f>SUMIF('창고1(실사표)'!B:B,재고차이!A:A,'창고1(실사표)'!E:E)*E38+SUMIF('창고2(실사표)'!B:B,재고차이!A:A,'창고2(실사표)'!E:E)*E38+SUMIF('믹스(잔량실사표)'!B:B,재고차이!A:A,'믹스(잔량실사표)'!E:E)*E38+SUMIF('창고3(실사표)'!B:B,재고차이!A:A,'창고3(실사표)'!E:E)*E38</f>
        <v/>
      </c>
      <c r="H3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3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38" s="245">
        <f>SUM(F38:I38)</f>
        <v/>
      </c>
      <c r="K38" s="245">
        <f>SUMIF('SAP(B117)'!B:B,재고차이!B:B,'SAP(B117)'!Q:Q)</f>
        <v/>
      </c>
      <c r="L38" s="245">
        <f>SUMIF(주간상차!A:A,재고차이!A:A,주간상차!E:E)</f>
        <v/>
      </c>
      <c r="M38" s="246">
        <f>J38-K38-L38-N38+O38+Q38</f>
        <v/>
      </c>
      <c r="N38" s="274" t="n"/>
      <c r="O38" s="275" t="n"/>
      <c r="P38" s="276" t="n"/>
      <c r="Q38" s="277">
        <f>SUMIF(파손품!D:D,재고차이!B:B,파손품!I:I)+SUMIF(동파파손!D:D,재고차이!B:B,동파파손!I:I)</f>
        <v/>
      </c>
      <c r="R38" s="0">
        <f>M38/E38</f>
        <v/>
      </c>
    </row>
    <row r="39">
      <c r="A39" s="9" t="n">
        <v>4179</v>
      </c>
      <c r="B39" s="9">
        <f>VLOOKUP(A:A,제품등록!A:B,2,0)</f>
        <v/>
      </c>
      <c r="C39" s="29">
        <f>VLOOKUP(B39,제품등록!B:C,2,0)</f>
        <v/>
      </c>
      <c r="D39" s="9" t="n">
        <v>88</v>
      </c>
      <c r="E39" s="9" t="n">
        <v>100</v>
      </c>
      <c r="F39" s="245">
        <f>SUMIF('창고1(실사표)'!B:B,재고차이!A:A,'창고1(실사표)'!F:F)*D39+SUMIF('창고2(실사표)'!B:B,재고차이!A:A,'창고2(실사표)'!F:F)*D39+SUMIF('믹스(잔량실사표)'!B:B,재고차이!A:A,'믹스(잔량실사표)'!F:F)*D39</f>
        <v/>
      </c>
      <c r="G39" s="245">
        <f>SUMIF('창고1(실사표)'!B:B,재고차이!A:A,'창고1(실사표)'!E:E)*E39+SUMIF('창고2(실사표)'!B:B,재고차이!A:A,'창고2(실사표)'!E:E)*E39+SUMIF('믹스(잔량실사표)'!B:B,재고차이!A:A,'믹스(잔량실사표)'!E:E)*E39+SUMIF('창고3(실사표)'!B:B,재고차이!A:A,'창고3(실사표)'!E:E)*E39</f>
        <v/>
      </c>
      <c r="H3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3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39" s="245">
        <f>SUM(F39:I39)</f>
        <v/>
      </c>
      <c r="K39" s="245">
        <f>SUMIF('SAP(B117)'!B:B,재고차이!B:B,'SAP(B117)'!Q:Q)</f>
        <v/>
      </c>
      <c r="L39" s="245">
        <f>SUMIF(주간상차!A:A,재고차이!A:A,주간상차!E:E)</f>
        <v/>
      </c>
      <c r="M39" s="246">
        <f>J39-K39-L39-N39+O39+Q39</f>
        <v/>
      </c>
      <c r="N39" s="274" t="n"/>
      <c r="O39" s="275" t="n"/>
      <c r="P39" s="276" t="n"/>
      <c r="Q39" s="277">
        <f>SUMIF(파손품!D:D,재고차이!B:B,파손품!I:I)+SUMIF(동파파손!D:D,재고차이!B:B,동파파손!I:I)</f>
        <v/>
      </c>
      <c r="R39" s="0">
        <f>M39/E39</f>
        <v/>
      </c>
    </row>
    <row r="40" ht="18.75" customHeight="1" s="237">
      <c r="A40" s="9" t="n">
        <v>4182</v>
      </c>
      <c r="B40" s="9">
        <f>VLOOKUP(A:A,제품등록!A:B,2,0)</f>
        <v/>
      </c>
      <c r="C40" s="29">
        <f>VLOOKUP(B40,제품등록!B:C,2,0)</f>
        <v/>
      </c>
      <c r="D40" s="9" t="n">
        <v>88</v>
      </c>
      <c r="E40" s="9" t="n">
        <v>100</v>
      </c>
      <c r="F40" s="245">
        <f>SUMIF('창고1(실사표)'!B:B,재고차이!A:A,'창고1(실사표)'!F:F)*D40+SUMIF('창고2(실사표)'!B:B,재고차이!A:A,'창고2(실사표)'!F:F)*D40+SUMIF('믹스(잔량실사표)'!B:B,재고차이!A:A,'믹스(잔량실사표)'!F:F)*D40</f>
        <v/>
      </c>
      <c r="G40" s="245">
        <f>SUMIF('창고1(실사표)'!B:B,재고차이!A:A,'창고1(실사표)'!E:E)*E40+SUMIF('창고2(실사표)'!B:B,재고차이!A:A,'창고2(실사표)'!E:E)*E40+SUMIF('믹스(잔량실사표)'!B:B,재고차이!A:A,'믹스(잔량실사표)'!E:E)*E40+SUMIF('창고3(실사표)'!B:B,재고차이!A:A,'창고3(실사표)'!E:E)*E40</f>
        <v/>
      </c>
      <c r="H4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4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40" s="245">
        <f>SUM(F40:I40)</f>
        <v/>
      </c>
      <c r="K40" s="245">
        <f>SUMIF('SAP(B117)'!B:B,재고차이!B:B,'SAP(B117)'!Q:Q)</f>
        <v/>
      </c>
      <c r="L40" s="245">
        <f>SUMIF(주간상차!A:A,재고차이!A:A,주간상차!E:E)</f>
        <v/>
      </c>
      <c r="M40" s="246">
        <f>J40-K40-L40-N40+O40+Q40</f>
        <v/>
      </c>
      <c r="N40" s="274" t="n"/>
      <c r="O40" s="275" t="n"/>
      <c r="P40" s="276" t="n"/>
      <c r="Q40" s="277">
        <f>SUMIF(파손품!D:D,재고차이!B:B,파손품!I:I)+SUMIF(동파파손!D:D,재고차이!B:B,동파파손!I:I)</f>
        <v/>
      </c>
      <c r="R40" s="0">
        <f>M40/E40</f>
        <v/>
      </c>
    </row>
    <row r="41" ht="18" customHeight="1" s="237">
      <c r="A41" s="9" t="n">
        <v>4183</v>
      </c>
      <c r="B41" s="9">
        <f>VLOOKUP(A:A,제품등록!A:B,2,0)</f>
        <v/>
      </c>
      <c r="C41" s="29">
        <f>VLOOKUP(B41,제품등록!B:C,2,0)</f>
        <v/>
      </c>
      <c r="D41" s="9" t="n"/>
      <c r="E41" s="9" t="n">
        <v>32</v>
      </c>
      <c r="F41" s="245">
        <f>SUMIF('창고1(실사표)'!B:B,재고차이!A:A,'창고1(실사표)'!F:F)*D41+SUMIF('창고2(실사표)'!B:B,재고차이!A:A,'창고2(실사표)'!F:F)*D41+SUMIF('믹스(잔량실사표)'!B:B,재고차이!A:A,'믹스(잔량실사표)'!F:F)*D41</f>
        <v/>
      </c>
      <c r="G41" s="245">
        <f>SUMIF('창고1(실사표)'!B:B,재고차이!A:A,'창고1(실사표)'!E:E)*E41+SUMIF('창고2(실사표)'!B:B,재고차이!A:A,'창고2(실사표)'!E:E)*E41+SUMIF('믹스(잔량실사표)'!B:B,재고차이!A:A,'믹스(잔량실사표)'!E:E)*E41+SUMIF('창고3(실사표)'!B:B,재고차이!A:A,'창고3(실사표)'!E:E)*E41</f>
        <v/>
      </c>
      <c r="H4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4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41" s="245">
        <f>SUM(F41:I41)</f>
        <v/>
      </c>
      <c r="K41" s="245">
        <f>SUMIF('SAP(B117)'!B:B,재고차이!B:B,'SAP(B117)'!Q:Q)</f>
        <v/>
      </c>
      <c r="L41" s="245">
        <f>SUMIF(주간상차!A:A,재고차이!A:A,주간상차!E:E)</f>
        <v/>
      </c>
      <c r="M41" s="246">
        <f>J41-K41-L41-N41+O41+Q41</f>
        <v/>
      </c>
      <c r="N41" s="274" t="n"/>
      <c r="O41" s="275" t="n"/>
      <c r="P41" s="276" t="n"/>
      <c r="Q41" s="277">
        <f>SUMIF(파손품!D:D,재고차이!B:B,파손품!I:I)+SUMIF(동파파손!D:D,재고차이!B:B,동파파손!I:I)</f>
        <v/>
      </c>
      <c r="R41" s="0">
        <f>M41/E41</f>
        <v/>
      </c>
    </row>
    <row r="42" ht="19.5" customHeight="1" s="237">
      <c r="A42" s="9" t="n">
        <v>4184</v>
      </c>
      <c r="B42" s="9" t="inlineStr">
        <is>
          <t>SP4184</t>
        </is>
      </c>
      <c r="C42" s="29">
        <f>VLOOKUP(B42,제품등록!B:C,2,0)</f>
        <v/>
      </c>
      <c r="D42" s="9" t="n"/>
      <c r="E42" s="9" t="n">
        <v>100</v>
      </c>
      <c r="F42" s="245">
        <f>SUMIF('창고1(실사표)'!B:B,재고차이!A:A,'창고1(실사표)'!F:F)*D42+SUMIF('창고2(실사표)'!B:B,재고차이!A:A,'창고2(실사표)'!F:F)*D42+SUMIF('믹스(잔량실사표)'!B:B,재고차이!A:A,'믹스(잔량실사표)'!F:F)*D42</f>
        <v/>
      </c>
      <c r="G42" s="245">
        <f>SUMIF('창고1(실사표)'!B:B,재고차이!A:A,'창고1(실사표)'!E:E)*E42+SUMIF('창고2(실사표)'!B:B,재고차이!A:A,'창고2(실사표)'!E:E)*E42+SUMIF('믹스(잔량실사표)'!B:B,재고차이!A:A,'믹스(잔량실사표)'!E:E)*E42+SUMIF('창고3(실사표)'!B:B,재고차이!A:A,'창고3(실사표)'!E:E)*E42</f>
        <v/>
      </c>
      <c r="H4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4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42" s="245">
        <f>SUM(F42:I42)</f>
        <v/>
      </c>
      <c r="K42" s="245">
        <f>SUMIF('SAP(B117)'!B:B,재고차이!B:B,'SAP(B117)'!Q:Q)</f>
        <v/>
      </c>
      <c r="L42" s="245">
        <f>SUMIF(주간상차!A:A,재고차이!A:A,주간상차!E:E)</f>
        <v/>
      </c>
      <c r="M42" s="246">
        <f>J42-K42-L42-N42+O42+Q42</f>
        <v/>
      </c>
      <c r="N42" s="274" t="n"/>
      <c r="O42" s="275" t="n"/>
      <c r="P42" s="276" t="n"/>
      <c r="Q42" s="277">
        <f>SUMIF(파손품!D:D,재고차이!B:B,파손품!I:I)+SUMIF(동파파손!D:D,재고차이!B:B,동파파손!I:I)</f>
        <v/>
      </c>
      <c r="R42" s="0">
        <f>M42/E42</f>
        <v/>
      </c>
    </row>
    <row r="43" ht="18.75" customHeight="1" s="237">
      <c r="A43" s="9" t="n">
        <v>4193</v>
      </c>
      <c r="B43" s="9">
        <f>VLOOKUP(A:A,제품등록!A:B,2,0)</f>
        <v/>
      </c>
      <c r="C43" s="29">
        <f>VLOOKUP(B43,제품등록!B:C,2,0)</f>
        <v/>
      </c>
      <c r="D43" s="9" t="n">
        <v>40</v>
      </c>
      <c r="E43" s="9" t="n">
        <v>91</v>
      </c>
      <c r="F43" s="245">
        <f>SUMIF('창고1(실사표)'!B:B,재고차이!A:A,'창고1(실사표)'!F:F)*D43+SUMIF('창고2(실사표)'!B:B,재고차이!A:A,'창고2(실사표)'!F:F)*D43+SUMIF('믹스(잔량실사표)'!B:B,재고차이!A:A,'믹스(잔량실사표)'!F:F)*D43</f>
        <v/>
      </c>
      <c r="G43" s="245">
        <f>SUMIF('창고1(실사표)'!B:B,재고차이!A:A,'창고1(실사표)'!E:E)*E43+SUMIF('창고2(실사표)'!B:B,재고차이!A:A,'창고2(실사표)'!E:E)*E43+SUMIF('믹스(잔량실사표)'!B:B,재고차이!A:A,'믹스(잔량실사표)'!E:E)*E43+SUMIF('창고3(실사표)'!B:B,재고차이!A:A,'창고3(실사표)'!E:E)*E43</f>
        <v/>
      </c>
      <c r="H4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4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43" s="245">
        <f>SUM(F43:I43)</f>
        <v/>
      </c>
      <c r="K43" s="245">
        <f>SUMIF('SAP(B117)'!B:B,재고차이!B:B,'SAP(B117)'!Q:Q)</f>
        <v/>
      </c>
      <c r="L43" s="245">
        <f>SUMIF(주간상차!A:A,재고차이!A:A,주간상차!E:E)</f>
        <v/>
      </c>
      <c r="M43" s="246">
        <f>J43-K43-L43-N43+O43+Q43</f>
        <v/>
      </c>
      <c r="N43" s="274" t="n"/>
      <c r="O43" s="275" t="n"/>
      <c r="P43" s="276" t="n"/>
      <c r="Q43" s="277">
        <f>SUMIF(파손품!D:D,재고차이!B:B,파손품!I:I)+SUMIF(동파파손!D:D,재고차이!B:B,동파파손!I:I)</f>
        <v/>
      </c>
      <c r="R43" s="0">
        <f>M43/E43</f>
        <v/>
      </c>
    </row>
    <row r="44" ht="18.75" customHeight="1" s="237">
      <c r="A44" s="9" t="n">
        <v>4196</v>
      </c>
      <c r="B44" s="9">
        <f>VLOOKUP(A:A,제품등록!A:B,2,0)</f>
        <v/>
      </c>
      <c r="C44" s="29">
        <f>VLOOKUP(B44,제품등록!B:C,2,0)</f>
        <v/>
      </c>
      <c r="D44" s="9" t="n">
        <v>40</v>
      </c>
      <c r="E44" s="9" t="n">
        <v>91</v>
      </c>
      <c r="F44" s="245">
        <f>SUMIF('창고1(실사표)'!B:B,재고차이!A:A,'창고1(실사표)'!F:F)*D44+SUMIF('창고2(실사표)'!B:B,재고차이!A:A,'창고2(실사표)'!F:F)*D44+SUMIF('믹스(잔량실사표)'!B:B,재고차이!A:A,'믹스(잔량실사표)'!F:F)*D44</f>
        <v/>
      </c>
      <c r="G44" s="245">
        <f>SUMIF('창고1(실사표)'!B:B,재고차이!A:A,'창고1(실사표)'!E:E)*E44+SUMIF('창고2(실사표)'!B:B,재고차이!A:A,'창고2(실사표)'!E:E)*E44+SUMIF('믹스(잔량실사표)'!B:B,재고차이!A:A,'믹스(잔량실사표)'!E:E)*E44+SUMIF('창고3(실사표)'!B:B,재고차이!A:A,'창고3(실사표)'!E:E)*E44</f>
        <v/>
      </c>
      <c r="H4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4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44" s="245">
        <f>SUM(F44:I44)</f>
        <v/>
      </c>
      <c r="K44" s="245">
        <f>SUMIF('SAP(B117)'!B:B,재고차이!B:B,'SAP(B117)'!Q:Q)</f>
        <v/>
      </c>
      <c r="L44" s="245">
        <f>SUMIF(주간상차!A:A,재고차이!A:A,주간상차!E:E)</f>
        <v/>
      </c>
      <c r="M44" s="246">
        <f>J44-K44-L44-N44+O44+Q44</f>
        <v/>
      </c>
      <c r="N44" s="274" t="n"/>
      <c r="O44" s="275" t="n"/>
      <c r="P44" s="276" t="n"/>
      <c r="Q44" s="277">
        <f>SUMIF(파손품!D:D,재고차이!B:B,파손품!I:I)+SUMIF(동파파손!D:D,재고차이!B:B,동파파손!I:I)</f>
        <v/>
      </c>
      <c r="R44" s="0">
        <f>M44/E44</f>
        <v/>
      </c>
    </row>
    <row r="45" ht="18.75" customHeight="1" s="237">
      <c r="A45" s="9" t="n">
        <v>4219</v>
      </c>
      <c r="B45" s="9">
        <f>VLOOKUP(A:A,제품등록!A:B,2,0)</f>
        <v/>
      </c>
      <c r="C45" s="29">
        <f>VLOOKUP(B45,제품등록!B:C,2,0)</f>
        <v/>
      </c>
      <c r="D45" s="9" t="n"/>
      <c r="E45" s="9" t="n">
        <v>100</v>
      </c>
      <c r="F45" s="245">
        <f>SUMIF('창고1(실사표)'!B:B,재고차이!A:A,'창고1(실사표)'!F:F)*D45+SUMIF('창고2(실사표)'!B:B,재고차이!A:A,'창고2(실사표)'!F:F)*D45+SUMIF('믹스(잔량실사표)'!B:B,재고차이!A:A,'믹스(잔량실사표)'!F:F)*D45</f>
        <v/>
      </c>
      <c r="G45" s="245">
        <f>SUMIF('창고1(실사표)'!B:B,재고차이!A:A,'창고1(실사표)'!E:E)*E45+SUMIF('창고2(실사표)'!B:B,재고차이!A:A,'창고2(실사표)'!E:E)*E45+SUMIF('믹스(잔량실사표)'!B:B,재고차이!A:A,'믹스(잔량실사표)'!E:E)*E45</f>
        <v/>
      </c>
      <c r="H4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4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45" s="245">
        <f>SUM(F45:I45)</f>
        <v/>
      </c>
      <c r="K45" s="245">
        <f>SUMIF('SAP(B117)'!B:B,재고차이!B:B,'SAP(B117)'!Q:Q)</f>
        <v/>
      </c>
      <c r="L45" s="245">
        <f>SUMIF(주간상차!A:A,재고차이!A:A,주간상차!E:E)</f>
        <v/>
      </c>
      <c r="M45" s="246">
        <f>J45-K45-L45-N45+O45+Q45</f>
        <v/>
      </c>
      <c r="N45" s="274" t="n"/>
      <c r="O45" s="275" t="n"/>
      <c r="P45" s="276" t="n"/>
      <c r="Q45" s="277">
        <f>SUMIF(파손품!D:D,재고차이!B:B,파손품!I:I)+SUMIF(동파파손!D:D,재고차이!B:B,동파파손!I:I)</f>
        <v/>
      </c>
      <c r="R45" s="0">
        <f>M45/E45</f>
        <v/>
      </c>
    </row>
    <row r="46" ht="18.75" customHeight="1" s="237">
      <c r="A46" s="9" t="n">
        <v>4230</v>
      </c>
      <c r="B46" s="9">
        <f>VLOOKUP(A:A,제품등록!A:B,2,0)</f>
        <v/>
      </c>
      <c r="C46" s="29">
        <f>VLOOKUP(B46,제품등록!B:C,2,0)</f>
        <v/>
      </c>
      <c r="D46" s="9" t="n">
        <v>72</v>
      </c>
      <c r="E46" s="9" t="n">
        <v>96</v>
      </c>
      <c r="F46" s="245">
        <f>SUMIF('창고1(실사표)'!B:B,재고차이!A:A,'창고1(실사표)'!F:F)*D46+SUMIF('창고2(실사표)'!B:B,재고차이!A:A,'창고2(실사표)'!F:F)*D46+SUMIF('믹스(잔량실사표)'!B:B,재고차이!A:A,'믹스(잔량실사표)'!F:F)*D46</f>
        <v/>
      </c>
      <c r="G46" s="245">
        <f>SUMIF('창고1(실사표)'!B:B,재고차이!A:A,'창고1(실사표)'!E:E)*E46+SUMIF('창고2(실사표)'!B:B,재고차이!A:A,'창고2(실사표)'!E:E)*E46+SUMIF('믹스(잔량실사표)'!B:B,재고차이!A:A,'믹스(잔량실사표)'!E:E)*E46+SUMIF('창고3(실사표)'!B:B,재고차이!A:A,'창고3(실사표)'!E:E)*E46</f>
        <v/>
      </c>
      <c r="H4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4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46" s="245">
        <f>SUM(F46:I46)</f>
        <v/>
      </c>
      <c r="K46" s="245">
        <f>SUMIF('SAP(B117)'!B:B,재고차이!B:B,'SAP(B117)'!Q:Q)</f>
        <v/>
      </c>
      <c r="L46" s="245">
        <f>SUMIF(주간상차!A:A,재고차이!A:A,주간상차!E:E)</f>
        <v/>
      </c>
      <c r="M46" s="246">
        <f>J46-K46-L46-N46+O46+Q46</f>
        <v/>
      </c>
      <c r="N46" s="274" t="n"/>
      <c r="O46" s="275" t="n"/>
      <c r="P46" s="276" t="n"/>
      <c r="Q46" s="277">
        <f>SUMIF(파손품!D:D,재고차이!B:B,파손품!I:I)+SUMIF(동파파손!D:D,재고차이!B:B,동파파손!I:I)</f>
        <v/>
      </c>
      <c r="R46" s="0">
        <f>M46/E46</f>
        <v/>
      </c>
    </row>
    <row r="47" ht="18.75" customHeight="1" s="237">
      <c r="A47" s="9" t="n">
        <v>4259</v>
      </c>
      <c r="B47" s="9">
        <f>VLOOKUP(A:A,제품등록!A:B,2,0)</f>
        <v/>
      </c>
      <c r="C47" s="29">
        <f>VLOOKUP(B47,제품등록!B:C,2,0)</f>
        <v/>
      </c>
      <c r="D47" s="9" t="n"/>
      <c r="E47" s="9" t="n">
        <v>100</v>
      </c>
      <c r="F47" s="245">
        <f>SUMIF('창고1(실사표)'!B:B,재고차이!A:A,'창고1(실사표)'!F:F)*D47+SUMIF('창고2(실사표)'!B:B,재고차이!A:A,'창고2(실사표)'!F:F)*D47+SUMIF('믹스(잔량실사표)'!B:B,재고차이!A:A,'믹스(잔량실사표)'!F:F)*D47</f>
        <v/>
      </c>
      <c r="G47" s="245">
        <f>SUMIF('창고1(실사표)'!B:B,재고차이!A:A,'창고1(실사표)'!E:E)*E47+SUMIF('창고2(실사표)'!B:B,재고차이!A:A,'창고2(실사표)'!E:E)*E47+SUMIF('믹스(잔량실사표)'!B:B,재고차이!A:A,'믹스(잔량실사표)'!E:E)*E47+SUMIF('창고3(실사표)'!B:B,재고차이!A:A,'창고3(실사표)'!E:E)*E47</f>
        <v/>
      </c>
      <c r="H4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4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47" s="245">
        <f>SUM(F47:I47)</f>
        <v/>
      </c>
      <c r="K47" s="245">
        <f>SUMIF('SAP(B117)'!B:B,재고차이!B:B,'SAP(B117)'!Q:Q)</f>
        <v/>
      </c>
      <c r="L47" s="245">
        <f>SUMIF(주간상차!A:A,재고차이!A:A,주간상차!E:E)</f>
        <v/>
      </c>
      <c r="M47" s="246">
        <f>J47-K47-L47-N47+O47+Q47</f>
        <v/>
      </c>
      <c r="N47" s="274" t="n"/>
      <c r="O47" s="275" t="n"/>
      <c r="P47" s="276" t="n"/>
      <c r="Q47" s="277">
        <f>SUMIF(파손품!D:D,재고차이!B:B,파손품!I:I)+SUMIF(동파파손!D:D,재고차이!B:B,동파파손!I:I)</f>
        <v/>
      </c>
      <c r="R47" s="0">
        <f>M47/E47</f>
        <v/>
      </c>
    </row>
    <row r="48" ht="18.75" customHeight="1" s="237">
      <c r="A48" s="9" t="n">
        <v>4281</v>
      </c>
      <c r="B48" s="9">
        <f>VLOOKUP(A:A,제품등록!A:B,2,0)</f>
        <v/>
      </c>
      <c r="C48" s="29">
        <f>VLOOKUP(B48,제품등록!B:C,2,0)</f>
        <v/>
      </c>
      <c r="D48" s="9" t="n"/>
      <c r="E48" s="9" t="n">
        <v>132</v>
      </c>
      <c r="F48" s="245">
        <f>SUMIF('창고1(실사표)'!B:B,재고차이!A:A,'창고1(실사표)'!F:F)*D48+SUMIF('창고2(실사표)'!B:B,재고차이!A:A,'창고2(실사표)'!F:F)*D48+SUMIF('믹스(잔량실사표)'!B:B,재고차이!A:A,'믹스(잔량실사표)'!F:F)*D48</f>
        <v/>
      </c>
      <c r="G48" s="245">
        <f>SUMIF('창고1(실사표)'!B:B,재고차이!A:A,'창고1(실사표)'!E:E)*E48+SUMIF('창고2(실사표)'!B:B,재고차이!A:A,'창고2(실사표)'!E:E)*E48+SUMIF('믹스(잔량실사표)'!B:B,재고차이!A:A,'믹스(잔량실사표)'!E:E)*E48+SUMIF('창고3(실사표)'!B:B,재고차이!A:A,'창고3(실사표)'!E:E)*E48</f>
        <v/>
      </c>
      <c r="H4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4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48" s="245">
        <f>SUM(F48:I48)</f>
        <v/>
      </c>
      <c r="K48" s="245">
        <f>SUMIF('SAP(B117)'!B:B,재고차이!B:B,'SAP(B117)'!Q:Q)</f>
        <v/>
      </c>
      <c r="L48" s="245">
        <f>SUMIF(주간상차!A:A,재고차이!A:A,주간상차!E:E)</f>
        <v/>
      </c>
      <c r="M48" s="246">
        <f>J48-K48-L48-N48+O48+Q48</f>
        <v/>
      </c>
      <c r="N48" s="274" t="n"/>
      <c r="O48" s="275" t="n"/>
      <c r="P48" s="276" t="n"/>
      <c r="Q48" s="277">
        <f>SUMIF(파손품!D:D,재고차이!B:B,파손품!I:I)+SUMIF(동파파손!D:D,재고차이!B:B,동파파손!I:I)</f>
        <v/>
      </c>
      <c r="R48" s="0">
        <f>M48/E48</f>
        <v/>
      </c>
    </row>
    <row r="49" ht="18.75" customHeight="1" s="237">
      <c r="A49" s="9" t="n">
        <v>4290</v>
      </c>
      <c r="B49" s="9">
        <f>VLOOKUP(A:A,제품등록!A:B,2,0)</f>
        <v/>
      </c>
      <c r="C49" s="29">
        <f>VLOOKUP(B49,제품등록!B:C,2,0)</f>
        <v/>
      </c>
      <c r="D49" s="9" t="n"/>
      <c r="E49" s="9" t="n">
        <v>60</v>
      </c>
      <c r="F49" s="245">
        <f>SUMIF('창고1(실사표)'!B:B,재고차이!A:A,'창고1(실사표)'!F:F)*D49+SUMIF('창고2(실사표)'!B:B,재고차이!A:A,'창고2(실사표)'!F:F)*D49+SUMIF('믹스(잔량실사표)'!B:B,재고차이!A:A,'믹스(잔량실사표)'!F:F)*D49</f>
        <v/>
      </c>
      <c r="G49" s="245">
        <f>SUMIF('창고1(실사표)'!B:B,재고차이!A:A,'창고1(실사표)'!E:E)*E49+SUMIF('창고2(실사표)'!B:B,재고차이!A:A,'창고2(실사표)'!E:E)*E49+SUMIF('믹스(잔량실사표)'!B:B,재고차이!A:A,'믹스(잔량실사표)'!E:E)*E49+SUMIF('창고3(실사표)'!B:B,재고차이!A:A,'창고3(실사표)'!E:E)*E49</f>
        <v/>
      </c>
      <c r="H4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4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49" s="245">
        <f>SUM(F49:I49)</f>
        <v/>
      </c>
      <c r="K49" s="245">
        <f>SUMIF('SAP(B117)'!B:B,재고차이!B:B,'SAP(B117)'!Q:Q)</f>
        <v/>
      </c>
      <c r="L49" s="245">
        <f>SUMIF(주간상차!A:A,재고차이!A:A,주간상차!E:E)</f>
        <v/>
      </c>
      <c r="M49" s="246">
        <f>J49-K49-L49-N49+O49+Q49</f>
        <v/>
      </c>
      <c r="N49" s="274" t="n"/>
      <c r="O49" s="275" t="n"/>
      <c r="P49" s="276" t="n"/>
      <c r="Q49" s="277">
        <f>SUMIF(파손품!D:D,재고차이!B:B,파손품!I:I)+SUMIF(동파파손!D:D,재고차이!B:B,동파파손!I:I)</f>
        <v/>
      </c>
      <c r="R49" s="0">
        <f>M49/E49</f>
        <v/>
      </c>
    </row>
    <row r="50" ht="18.75" customHeight="1" s="237">
      <c r="A50" s="9" t="n">
        <v>4383</v>
      </c>
      <c r="B50" s="9">
        <f>VLOOKUP(A:A,제품등록!A:B,2,0)</f>
        <v/>
      </c>
      <c r="C50" s="29">
        <f>VLOOKUP(B50,제품등록!B:C,2,0)</f>
        <v/>
      </c>
      <c r="D50" s="9" t="n"/>
      <c r="E50" s="9" t="n">
        <v>70</v>
      </c>
      <c r="F50" s="245">
        <f>SUMIF('창고1(실사표)'!B:B,재고차이!A:A,'창고1(실사표)'!F:F)*D50+SUMIF('창고2(실사표)'!B:B,재고차이!A:A,'창고2(실사표)'!F:F)*D50+SUMIF('믹스(잔량실사표)'!B:B,재고차이!A:A,'믹스(잔량실사표)'!F:F)*D50</f>
        <v/>
      </c>
      <c r="G50" s="245">
        <f>SUMIF('창고1(실사표)'!B:B,재고차이!A:A,'창고1(실사표)'!E:E)*E50+SUMIF('창고2(실사표)'!B:B,재고차이!A:A,'창고2(실사표)'!E:E)*E50+SUMIF('믹스(잔량실사표)'!B:B,재고차이!A:A,'믹스(잔량실사표)'!E:E)*E50+SUMIF('창고3(실사표)'!B:B,재고차이!A:A,'창고3(실사표)'!E:E)*E50</f>
        <v/>
      </c>
      <c r="H5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5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50" s="245">
        <f>SUM(F50:I50)</f>
        <v/>
      </c>
      <c r="K50" s="245">
        <f>SUMIF('SAP(B117)'!B:B,재고차이!B:B,'SAP(B117)'!Q:Q)</f>
        <v/>
      </c>
      <c r="L50" s="245">
        <f>SUMIF(주간상차!A:A,재고차이!A:A,주간상차!E:E)</f>
        <v/>
      </c>
      <c r="M50" s="246">
        <f>J50-K50-L50-N50+O50+Q50</f>
        <v/>
      </c>
      <c r="N50" s="274" t="n"/>
      <c r="O50" s="275" t="n"/>
      <c r="P50" s="276" t="n"/>
      <c r="Q50" s="277">
        <f>SUMIF(파손품!D:D,재고차이!B:B,파손품!I:I)+SUMIF(동파파손!D:D,재고차이!B:B,동파파손!I:I)</f>
        <v/>
      </c>
      <c r="R50" s="0">
        <f>M50/E50</f>
        <v/>
      </c>
    </row>
    <row r="51" ht="18.75" customHeight="1" s="237">
      <c r="A51" s="9" t="n">
        <v>4384</v>
      </c>
      <c r="B51" s="9">
        <f>VLOOKUP(A:A,제품등록!A:B,2,0)</f>
        <v/>
      </c>
      <c r="C51" s="29">
        <f>VLOOKUP(B51,제품등록!B:C,2,0)</f>
        <v/>
      </c>
      <c r="D51" s="9" t="n"/>
      <c r="E51" s="9" t="n">
        <v>70</v>
      </c>
      <c r="F51" s="245">
        <f>SUMIF('창고1(실사표)'!B:B,재고차이!A:A,'창고1(실사표)'!F:F)*D51+SUMIF('창고2(실사표)'!B:B,재고차이!A:A,'창고2(실사표)'!F:F)*D51+SUMIF('믹스(잔량실사표)'!B:B,재고차이!A:A,'믹스(잔량실사표)'!F:F)*D51</f>
        <v/>
      </c>
      <c r="G51" s="245">
        <f>SUMIF('창고1(실사표)'!B:B,재고차이!A:A,'창고1(실사표)'!E:E)*E51+SUMIF('창고2(실사표)'!B:B,재고차이!A:A,'창고2(실사표)'!E:E)*E51+SUMIF('믹스(잔량실사표)'!B:B,재고차이!A:A,'믹스(잔량실사표)'!E:E)*E51+SUMIF('창고3(실사표)'!B:B,재고차이!A:A,'창고3(실사표)'!E:E)*E51</f>
        <v/>
      </c>
      <c r="H5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5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51" s="245">
        <f>SUM(F51:I51)</f>
        <v/>
      </c>
      <c r="K51" s="245">
        <f>SUMIF('SAP(B117)'!B:B,재고차이!B:B,'SAP(B117)'!Q:Q)</f>
        <v/>
      </c>
      <c r="L51" s="245">
        <f>SUMIF(주간상차!A:A,재고차이!A:A,주간상차!E:E)</f>
        <v/>
      </c>
      <c r="M51" s="246">
        <f>J51-K51-L51-N51+O51+Q51</f>
        <v/>
      </c>
      <c r="N51" s="274" t="n"/>
      <c r="O51" s="275" t="n"/>
      <c r="P51" s="276" t="n"/>
      <c r="Q51" s="277">
        <f>SUMIF(파손품!D:D,재고차이!B:B,파손품!I:I)+SUMIF(동파파손!D:D,재고차이!B:B,동파파손!I:I)</f>
        <v/>
      </c>
      <c r="R51" s="0">
        <f>M51/E51</f>
        <v/>
      </c>
    </row>
    <row r="52" ht="18.75" customHeight="1" s="237">
      <c r="A52" s="9" t="n">
        <v>4432</v>
      </c>
      <c r="B52" s="9">
        <f>VLOOKUP(A:A,제품등록!A:B,2,0)</f>
        <v/>
      </c>
      <c r="C52" s="29">
        <f>VLOOKUP(B52,제품등록!B:C,2,0)</f>
        <v/>
      </c>
      <c r="D52" s="9" t="n">
        <v>40</v>
      </c>
      <c r="E52" s="9" t="n">
        <v>60</v>
      </c>
      <c r="F52" s="245">
        <f>SUMIF('창고1(실사표)'!B:B,재고차이!A:A,'창고1(실사표)'!F:F)*D52+SUMIF('창고2(실사표)'!B:B,재고차이!A:A,'창고2(실사표)'!F:F)*D52+SUMIF('믹스(잔량실사표)'!B:B,재고차이!A:A,'믹스(잔량실사표)'!F:F)*D52</f>
        <v/>
      </c>
      <c r="G52" s="245">
        <f>SUMIF('창고1(실사표)'!B:B,재고차이!A:A,'창고1(실사표)'!E:E)*E52+SUMIF('창고2(실사표)'!B:B,재고차이!A:A,'창고2(실사표)'!E:E)*E52+SUMIF('믹스(잔량실사표)'!B:B,재고차이!A:A,'믹스(잔량실사표)'!E:E)*E52+SUMIF('창고3(실사표)'!B:B,재고차이!A:A,'창고3(실사표)'!E:E)*E52</f>
        <v/>
      </c>
      <c r="H5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5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52" s="245">
        <f>SUM(F52:I52)</f>
        <v/>
      </c>
      <c r="K52" s="245">
        <f>SUMIF('SAP(B117)'!B:B,재고차이!B:B,'SAP(B117)'!Q:Q)</f>
        <v/>
      </c>
      <c r="L52" s="245">
        <f>SUMIF(주간상차!A:A,재고차이!A:A,주간상차!E:E)</f>
        <v/>
      </c>
      <c r="M52" s="246">
        <f>J52-K52-L52-N52+O52+Q52</f>
        <v/>
      </c>
      <c r="N52" s="274" t="n"/>
      <c r="O52" s="216" t="n"/>
      <c r="P52" s="276" t="n"/>
      <c r="Q52" s="277">
        <f>SUMIF(파손품!D:D,재고차이!B:B,파손품!I:I)+SUMIF(동파파손!D:D,재고차이!B:B,동파파손!I:I)</f>
        <v/>
      </c>
      <c r="R52" s="0">
        <f>M52/E52</f>
        <v/>
      </c>
    </row>
    <row r="53" ht="18.75" customHeight="1" s="237">
      <c r="A53" s="9" t="n">
        <v>4441</v>
      </c>
      <c r="B53" s="9">
        <f>VLOOKUP(A:A,제품등록!A:B,2,0)</f>
        <v/>
      </c>
      <c r="C53" s="29">
        <f>VLOOKUP(B53,제품등록!B:C,2,0)</f>
        <v/>
      </c>
      <c r="D53" s="9" t="n"/>
      <c r="E53" s="9" t="n">
        <v>72</v>
      </c>
      <c r="F53" s="245">
        <f>SUMIF('창고1(실사표)'!B:B,재고차이!A:A,'창고1(실사표)'!F:F)*D53+SUMIF('창고2(실사표)'!B:B,재고차이!A:A,'창고2(실사표)'!F:F)*D53+SUMIF('믹스(잔량실사표)'!B:B,재고차이!A:A,'믹스(잔량실사표)'!F:F)*D53</f>
        <v/>
      </c>
      <c r="G53" s="245">
        <f>SUMIF('창고1(실사표)'!B:B,재고차이!A:A,'창고1(실사표)'!E:E)*E53+SUMIF('창고2(실사표)'!B:B,재고차이!A:A,'창고2(실사표)'!E:E)*E53+SUMIF('믹스(잔량실사표)'!B:B,재고차이!A:A,'믹스(잔량실사표)'!E:E)*E53+SUMIF('창고3(실사표)'!B:B,재고차이!A:A,'창고3(실사표)'!E:E)*E53</f>
        <v/>
      </c>
      <c r="H5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5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53" s="245">
        <f>SUM(F53:I53)</f>
        <v/>
      </c>
      <c r="K53" s="245">
        <f>SUMIF('SAP(B117)'!B:B,재고차이!B:B,'SAP(B117)'!Q:Q)</f>
        <v/>
      </c>
      <c r="L53" s="245">
        <f>SUMIF(주간상차!A:A,재고차이!A:A,주간상차!E:E)</f>
        <v/>
      </c>
      <c r="M53" s="246">
        <f>J53-K53-L53-N53+O53+Q53</f>
        <v/>
      </c>
      <c r="N53" s="274" t="n"/>
      <c r="O53" s="275" t="n"/>
      <c r="P53" s="276" t="n"/>
      <c r="Q53" s="277">
        <f>SUMIF(파손품!D:D,재고차이!B:B,파손품!I:I)+SUMIF(동파파손!D:D,재고차이!B:B,동파파손!I:I)</f>
        <v/>
      </c>
      <c r="R53" s="0">
        <f>M53/E53</f>
        <v/>
      </c>
    </row>
    <row r="54" ht="18.75" customHeight="1" s="237">
      <c r="A54" s="9" t="n">
        <v>4463</v>
      </c>
      <c r="B54" s="9">
        <f>VLOOKUP(A:A,제품등록!A:B,2,0)</f>
        <v/>
      </c>
      <c r="C54" s="29">
        <f>VLOOKUP(B54,제품등록!B:C,2,0)</f>
        <v/>
      </c>
      <c r="D54" s="9" t="n">
        <v>40</v>
      </c>
      <c r="E54" s="9" t="n">
        <v>91</v>
      </c>
      <c r="F54" s="245">
        <f>SUMIF('창고1(실사표)'!B:B,재고차이!A:A,'창고1(실사표)'!F:F)*D54+SUMIF('창고2(실사표)'!B:B,재고차이!A:A,'창고2(실사표)'!F:F)*D54+SUMIF('믹스(잔량실사표)'!B:B,재고차이!A:A,'믹스(잔량실사표)'!F:F)*D54</f>
        <v/>
      </c>
      <c r="G54" s="245">
        <f>SUMIF('창고1(실사표)'!B:B,재고차이!A:A,'창고1(실사표)'!E:E)*E54+SUMIF('창고2(실사표)'!B:B,재고차이!A:A,'창고2(실사표)'!E:E)*E54+SUMIF('믹스(잔량실사표)'!B:B,재고차이!A:A,'믹스(잔량실사표)'!E:E)*E54+SUMIF('창고3(실사표)'!B:B,재고차이!A:A,'창고3(실사표)'!E:E)*E54</f>
        <v/>
      </c>
      <c r="H5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5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54" s="245">
        <f>SUM(F54:I54)</f>
        <v/>
      </c>
      <c r="K54" s="245">
        <f>SUMIF('SAP(B117)'!B:B,재고차이!B:B,'SAP(B117)'!Q:Q)</f>
        <v/>
      </c>
      <c r="L54" s="245">
        <f>SUMIF(주간상차!A:A,재고차이!A:A,주간상차!E:E)</f>
        <v/>
      </c>
      <c r="M54" s="246">
        <f>J54-K54-L54-N54+O54+Q54</f>
        <v/>
      </c>
      <c r="N54" s="274" t="n"/>
      <c r="O54" s="275" t="n"/>
      <c r="P54" s="276" t="n"/>
      <c r="Q54" s="277">
        <f>SUMIF(파손품!D:D,재고차이!B:B,파손품!I:I)+SUMIF(동파파손!D:D,재고차이!B:B,동파파손!I:I)</f>
        <v/>
      </c>
      <c r="R54" s="0">
        <f>M54/E54</f>
        <v/>
      </c>
    </row>
    <row r="55" ht="18.75" customHeight="1" s="237">
      <c r="A55" s="9" t="n">
        <v>4823</v>
      </c>
      <c r="B55" s="9">
        <f>VLOOKUP(A:A,제품등록!A:B,2,0)</f>
        <v/>
      </c>
      <c r="C55" s="29">
        <f>VLOOKUP(B55,제품등록!B:C,2,0)</f>
        <v/>
      </c>
      <c r="D55" s="9" t="n">
        <v>99</v>
      </c>
      <c r="E55" s="9" t="n">
        <v>132</v>
      </c>
      <c r="F55" s="245">
        <f>SUMIF('창고1(실사표)'!B:B,재고차이!A:A,'창고1(실사표)'!F:F)*D55+SUMIF('창고2(실사표)'!B:B,재고차이!A:A,'창고2(실사표)'!F:F)*D55+SUMIF('믹스(잔량실사표)'!B:B,재고차이!A:A,'믹스(잔량실사표)'!F:F)*D55</f>
        <v/>
      </c>
      <c r="G55" s="245">
        <f>SUMIF('창고1(실사표)'!B:B,재고차이!A:A,'창고1(실사표)'!E:E)*E55+SUMIF('창고2(실사표)'!B:B,재고차이!A:A,'창고2(실사표)'!E:E)*E55+SUMIF('믹스(잔량실사표)'!B:B,재고차이!A:A,'믹스(잔량실사표)'!E:E)*E55+SUMIF('창고3(실사표)'!B:B,재고차이!A:A,'창고3(실사표)'!E:E)*E55</f>
        <v/>
      </c>
      <c r="H5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5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55" s="245">
        <f>SUM(F55:I55)</f>
        <v/>
      </c>
      <c r="K55" s="245">
        <f>SUMIF('SAP(B117)'!B:B,재고차이!B:B,'SAP(B117)'!Q:Q)</f>
        <v/>
      </c>
      <c r="L55" s="245">
        <f>SUMIF(주간상차!A:A,재고차이!A:A,주간상차!E:E)</f>
        <v/>
      </c>
      <c r="M55" s="246">
        <f>J55-K55-L55-N55+O55+Q55</f>
        <v/>
      </c>
      <c r="N55" s="274" t="n"/>
      <c r="O55" s="275" t="n"/>
      <c r="P55" s="276" t="n"/>
      <c r="Q55" s="277">
        <f>SUMIF(파손품!D:D,재고차이!B:B,파손품!I:I)+SUMIF(동파파손!D:D,재고차이!B:B,동파파손!I:I)</f>
        <v/>
      </c>
      <c r="R55" s="0">
        <f>M55/E55</f>
        <v/>
      </c>
    </row>
    <row r="56" ht="18.75" customHeight="1" s="237">
      <c r="A56" s="9" t="n">
        <v>4833</v>
      </c>
      <c r="B56" s="9">
        <f>VLOOKUP(A:A,제품등록!A:B,2,0)</f>
        <v/>
      </c>
      <c r="C56" s="29">
        <f>VLOOKUP(B56,제품등록!B:C,2,0)</f>
        <v/>
      </c>
      <c r="D56" s="9" t="n">
        <v>99</v>
      </c>
      <c r="E56" s="9" t="n">
        <v>132</v>
      </c>
      <c r="F56" s="245">
        <f>SUMIF('창고1(실사표)'!B:B,재고차이!A:A,'창고1(실사표)'!F:F)*D56+SUMIF('창고2(실사표)'!B:B,재고차이!A:A,'창고2(실사표)'!F:F)*D56+SUMIF('믹스(잔량실사표)'!B:B,재고차이!A:A,'믹스(잔량실사표)'!F:F)*D56</f>
        <v/>
      </c>
      <c r="G56" s="245">
        <f>SUMIF('창고1(실사표)'!B:B,재고차이!A:A,'창고1(실사표)'!E:E)*E56+SUMIF('창고2(실사표)'!B:B,재고차이!A:A,'창고2(실사표)'!E:E)*E56+SUMIF('믹스(잔량실사표)'!B:B,재고차이!A:A,'믹스(잔량실사표)'!E:E)*E56+SUMIF('창고3(실사표)'!B:B,재고차이!A:A,'창고3(실사표)'!E:E)*E56</f>
        <v/>
      </c>
      <c r="H5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5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56" s="245">
        <f>SUM(F56:I56)</f>
        <v/>
      </c>
      <c r="K56" s="245">
        <f>SUMIF('SAP(B117)'!B:B,재고차이!B:B,'SAP(B117)'!Q:Q)</f>
        <v/>
      </c>
      <c r="L56" s="245">
        <f>SUMIF(주간상차!A:A,재고차이!A:A,주간상차!E:E)</f>
        <v/>
      </c>
      <c r="M56" s="246">
        <f>J56-K56-L56-N56+O56+Q56</f>
        <v/>
      </c>
      <c r="N56" s="274" t="n"/>
      <c r="O56" s="275" t="n"/>
      <c r="P56" s="276" t="n"/>
      <c r="Q56" s="277">
        <f>SUMIF(파손품!D:D,재고차이!B:B,파손품!I:I)+SUMIF(동파파손!D:D,재고차이!B:B,동파파손!I:I)</f>
        <v/>
      </c>
      <c r="R56" s="0">
        <f>M56/E56</f>
        <v/>
      </c>
    </row>
    <row r="57" ht="18.75" customHeight="1" s="237">
      <c r="A57" s="9" t="n">
        <v>4867</v>
      </c>
      <c r="B57" s="9">
        <f>VLOOKUP(A:A,제품등록!A:B,2,0)</f>
        <v/>
      </c>
      <c r="C57" s="29">
        <f>VLOOKUP(B57,제품등록!B:C,2,0)</f>
        <v/>
      </c>
      <c r="D57" s="9" t="n"/>
      <c r="E57" s="9" t="n">
        <v>156</v>
      </c>
      <c r="F57" s="245">
        <f>SUMIF('창고1(실사표)'!B:B,재고차이!A:A,'창고1(실사표)'!F:F)*D57+SUMIF('창고2(실사표)'!B:B,재고차이!A:A,'창고2(실사표)'!F:F)*D57+SUMIF('믹스(잔량실사표)'!B:B,재고차이!A:A,'믹스(잔량실사표)'!F:F)*D57</f>
        <v/>
      </c>
      <c r="G57" s="245">
        <f>SUMIF('창고1(실사표)'!B:B,재고차이!A:A,'창고1(실사표)'!E:E)*E57+SUMIF('창고2(실사표)'!B:B,재고차이!A:A,'창고2(실사표)'!E:E)*E57+SUMIF('믹스(잔량실사표)'!B:B,재고차이!A:A,'믹스(잔량실사표)'!E:E)*E57+SUMIF('창고3(실사표)'!B:B,재고차이!A:A,'창고3(실사표)'!E:E)*E57</f>
        <v/>
      </c>
      <c r="H5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5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57" s="245">
        <f>SUM(F57:I57)</f>
        <v/>
      </c>
      <c r="K57" s="245">
        <f>SUMIF('SAP(B117)'!B:B,재고차이!B:B,'SAP(B117)'!Q:Q)</f>
        <v/>
      </c>
      <c r="L57" s="245">
        <f>SUMIF(주간상차!A:A,재고차이!A:A,주간상차!E:E)</f>
        <v/>
      </c>
      <c r="M57" s="246">
        <f>J57-K57-L57-N57+O57+Q57</f>
        <v/>
      </c>
      <c r="N57" s="274" t="n"/>
      <c r="O57" s="275" t="n"/>
      <c r="P57" s="276" t="n"/>
      <c r="Q57" s="277">
        <f>SUMIF(파손품!D:D,재고차이!B:B,파손품!I:I)+SUMIF(동파파손!D:D,재고차이!B:B,동파파손!I:I)</f>
        <v/>
      </c>
      <c r="R57" s="0">
        <f>M57/E57</f>
        <v/>
      </c>
    </row>
    <row r="58" ht="18.75" customHeight="1" s="237">
      <c r="A58" s="9" t="n">
        <v>4872</v>
      </c>
      <c r="B58" s="9">
        <f>VLOOKUP(A:A,제품등록!A:B,2,0)</f>
        <v/>
      </c>
      <c r="C58" s="29">
        <f>VLOOKUP(B58,제품등록!B:C,2,0)</f>
        <v/>
      </c>
      <c r="D58" s="9" t="n">
        <v>99</v>
      </c>
      <c r="E58" s="9" t="n">
        <v>132</v>
      </c>
      <c r="F58" s="245">
        <f>SUMIF('창고1(실사표)'!B:B,재고차이!A:A,'창고1(실사표)'!F:F)*D58+SUMIF('창고2(실사표)'!B:B,재고차이!A:A,'창고2(실사표)'!F:F)*D58+SUMIF('믹스(잔량실사표)'!B:B,재고차이!A:A,'믹스(잔량실사표)'!F:F)*D58</f>
        <v/>
      </c>
      <c r="G58" s="245">
        <f>SUMIF('창고1(실사표)'!B:B,재고차이!A:A,'창고1(실사표)'!E:E)*E58+SUMIF('창고2(실사표)'!B:B,재고차이!A:A,'창고2(실사표)'!E:E)*E58+SUMIF('믹스(잔량실사표)'!B:B,재고차이!A:A,'믹스(잔량실사표)'!E:E)*E58+SUMIF('창고3(실사표)'!B:B,재고차이!A:A,'창고3(실사표)'!E:E)*E58</f>
        <v/>
      </c>
      <c r="H5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5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58" s="245">
        <f>SUM(F58:I58)</f>
        <v/>
      </c>
      <c r="K58" s="245">
        <f>SUMIF('SAP(B117)'!B:B,재고차이!B:B,'SAP(B117)'!Q:Q)</f>
        <v/>
      </c>
      <c r="L58" s="245">
        <f>SUMIF(주간상차!A:A,재고차이!A:A,주간상차!E:E)</f>
        <v/>
      </c>
      <c r="M58" s="246">
        <f>J58-K58-L58-N58+O58+Q58</f>
        <v/>
      </c>
      <c r="N58" s="274" t="n"/>
      <c r="O58" s="275" t="n">
        <v>36</v>
      </c>
      <c r="P58" s="276" t="inlineStr">
        <is>
          <t>12/16 배송분 믹싱 불량으로 인한 추가 배송.</t>
        </is>
      </c>
      <c r="Q58" s="277">
        <f>SUMIF(파손품!D:D,재고차이!B:B,파손품!I:I)+SUMIF(동파파손!D:D,재고차이!B:B,동파파손!I:I)</f>
        <v/>
      </c>
      <c r="R58" s="0">
        <f>M58/E58</f>
        <v/>
      </c>
    </row>
    <row r="59" ht="18.75" customHeight="1" s="237">
      <c r="A59" s="9" t="n">
        <v>4879</v>
      </c>
      <c r="B59" s="9">
        <f>VLOOKUP(A:A,제품등록!A:B,2,0)</f>
        <v/>
      </c>
      <c r="C59" s="29">
        <f>VLOOKUP(B59,제품등록!B:C,2,0)</f>
        <v/>
      </c>
      <c r="D59" s="9" t="n">
        <v>99</v>
      </c>
      <c r="E59" s="9" t="n">
        <v>132</v>
      </c>
      <c r="F59" s="245">
        <f>SUMIF('창고1(실사표)'!B:B,재고차이!A:A,'창고1(실사표)'!F:F)*D59+SUMIF('창고2(실사표)'!B:B,재고차이!A:A,'창고2(실사표)'!F:F)*D59+SUMIF('믹스(잔량실사표)'!B:B,재고차이!A:A,'믹스(잔량실사표)'!F:F)*D59</f>
        <v/>
      </c>
      <c r="G59" s="245">
        <f>SUMIF('창고1(실사표)'!B:B,재고차이!A:A,'창고1(실사표)'!E:E)*E59+SUMIF('창고2(실사표)'!B:B,재고차이!A:A,'창고2(실사표)'!E:E)*E59+SUMIF('믹스(잔량실사표)'!B:B,재고차이!A:A,'믹스(잔량실사표)'!E:E)*E59+SUMIF('창고3(실사표)'!B:B,재고차이!A:A,'창고3(실사표)'!E:E)*E59</f>
        <v/>
      </c>
      <c r="H5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5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59" s="245">
        <f>SUM(F59:I59)</f>
        <v/>
      </c>
      <c r="K59" s="245">
        <f>SUMIF('SAP(B117)'!B:B,재고차이!B:B,'SAP(B117)'!Q:Q)</f>
        <v/>
      </c>
      <c r="L59" s="245">
        <f>SUMIF(주간상차!A:A,재고차이!A:A,주간상차!E:E)</f>
        <v/>
      </c>
      <c r="M59" s="246">
        <f>J59-K59-L59-N59+O59+Q59</f>
        <v/>
      </c>
      <c r="N59" s="274" t="n"/>
      <c r="O59" s="275" t="n"/>
      <c r="P59" s="276" t="n"/>
      <c r="Q59" s="277">
        <f>SUMIF(파손품!D:D,재고차이!B:B,파손품!I:I)+SUMIF(동파파손!D:D,재고차이!B:B,동파파손!I:I)</f>
        <v/>
      </c>
      <c r="R59" s="0">
        <f>M59/E59</f>
        <v/>
      </c>
    </row>
    <row r="60" ht="18.75" customHeight="1" s="237">
      <c r="A60" s="9" t="n">
        <v>4881</v>
      </c>
      <c r="B60" s="9">
        <f>VLOOKUP(A:A,제품등록!A:B,2,0)</f>
        <v/>
      </c>
      <c r="C60" s="29">
        <f>VLOOKUP(B60,제품등록!B:C,2,0)</f>
        <v/>
      </c>
      <c r="D60" s="9" t="n">
        <v>99</v>
      </c>
      <c r="E60" s="9" t="n">
        <v>132</v>
      </c>
      <c r="F60" s="245">
        <f>SUMIF('창고1(실사표)'!B:B,재고차이!A:A,'창고1(실사표)'!F:F)*D60+SUMIF('창고2(실사표)'!B:B,재고차이!A:A,'창고2(실사표)'!F:F)*D60+SUMIF('믹스(잔량실사표)'!B:B,재고차이!A:A,'믹스(잔량실사표)'!F:F)*D60</f>
        <v/>
      </c>
      <c r="G60" s="245">
        <f>SUMIF('창고1(실사표)'!B:B,재고차이!A:A,'창고1(실사표)'!E:E)*E60+SUMIF('창고2(실사표)'!B:B,재고차이!A:A,'창고2(실사표)'!E:E)*E60+SUMIF('믹스(잔량실사표)'!B:B,재고차이!A:A,'믹스(잔량실사표)'!E:E)*E60+SUMIF('창고3(실사표)'!B:B,재고차이!A:A,'창고3(실사표)'!E:E)*E60</f>
        <v/>
      </c>
      <c r="H6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6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60" s="245">
        <f>SUM(F60:I60)</f>
        <v/>
      </c>
      <c r="K60" s="245">
        <f>SUMIF('SAP(B117)'!B:B,재고차이!B:B,'SAP(B117)'!Q:Q)</f>
        <v/>
      </c>
      <c r="L60" s="245">
        <f>SUMIF(주간상차!A:A,재고차이!A:A,주간상차!E:E)</f>
        <v/>
      </c>
      <c r="M60" s="246">
        <f>J60-K60-L60-N60+O60+Q60</f>
        <v/>
      </c>
      <c r="N60" s="274" t="n"/>
      <c r="O60" s="275" t="n"/>
      <c r="P60" s="276" t="n"/>
      <c r="Q60" s="277">
        <f>SUMIF(파손품!D:D,재고차이!B:B,파손품!I:I)+SUMIF(동파파손!D:D,재고차이!B:B,동파파손!I:I)</f>
        <v/>
      </c>
      <c r="R60" s="0">
        <f>M60/E60</f>
        <v/>
      </c>
    </row>
    <row r="61" ht="18.75" customHeight="1" s="237">
      <c r="A61" s="9" t="n">
        <v>4899</v>
      </c>
      <c r="B61" s="9">
        <f>VLOOKUP(A:A,제품등록!A:B,2,0)</f>
        <v/>
      </c>
      <c r="C61" s="29">
        <f>VLOOKUP(B61,제품등록!B:C,2,0)</f>
        <v/>
      </c>
      <c r="D61" s="9" t="n">
        <v>99</v>
      </c>
      <c r="E61" s="9" t="n">
        <v>132</v>
      </c>
      <c r="F61" s="245">
        <f>SUMIF('창고1(실사표)'!B:B,재고차이!A:A,'창고1(실사표)'!F:F)*D61+SUMIF('창고2(실사표)'!B:B,재고차이!A:A,'창고2(실사표)'!F:F)*D61+SUMIF('믹스(잔량실사표)'!B:B,재고차이!A:A,'믹스(잔량실사표)'!F:F)*D61</f>
        <v/>
      </c>
      <c r="G61" s="245">
        <f>SUMIF('창고1(실사표)'!B:B,재고차이!A:A,'창고1(실사표)'!E:E)*E61+SUMIF('창고2(실사표)'!B:B,재고차이!A:A,'창고2(실사표)'!E:E)*E61+SUMIF('믹스(잔량실사표)'!B:B,재고차이!A:A,'믹스(잔량실사표)'!E:E)*E61+SUMIF('창고3(실사표)'!B:B,재고차이!A:A,'창고3(실사표)'!E:E)*E61</f>
        <v/>
      </c>
      <c r="H6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6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61" s="245">
        <f>SUM(F61:I61)</f>
        <v/>
      </c>
      <c r="K61" s="245">
        <f>SUMIF('SAP(B117)'!B:B,재고차이!B:B,'SAP(B117)'!Q:Q)</f>
        <v/>
      </c>
      <c r="L61" s="245">
        <f>SUMIF(주간상차!A:A,재고차이!A:A,주간상차!E:E)</f>
        <v/>
      </c>
      <c r="M61" s="246">
        <f>J61-K61-L61-N61+O61+Q61</f>
        <v/>
      </c>
      <c r="N61" s="274" t="n"/>
      <c r="O61" s="275" t="n"/>
      <c r="P61" s="276" t="n"/>
      <c r="Q61" s="277">
        <f>SUMIF(파손품!D:D,재고차이!B:B,파손품!I:I)+SUMIF(동파파손!D:D,재고차이!B:B,동파파손!I:I)</f>
        <v/>
      </c>
      <c r="R61" s="0">
        <f>M61/E61</f>
        <v/>
      </c>
    </row>
    <row r="62" ht="19.5" customHeight="1" s="237">
      <c r="A62" s="9" t="n">
        <v>4929</v>
      </c>
      <c r="B62" s="9">
        <f>VLOOKUP(A:A,제품등록!A:B,2,0)</f>
        <v/>
      </c>
      <c r="C62" s="29">
        <f>VLOOKUP(B62,제품등록!B:C,2,0)</f>
        <v/>
      </c>
      <c r="D62" s="9" t="n"/>
      <c r="E62" s="9" t="n">
        <v>100</v>
      </c>
      <c r="F62" s="245">
        <f>SUMIF('창고1(실사표)'!B:B,재고차이!A:A,'창고1(실사표)'!F:F)*D62+SUMIF('창고2(실사표)'!B:B,재고차이!A:A,'창고2(실사표)'!F:F)*D62+SUMIF('믹스(잔량실사표)'!B:B,재고차이!A:A,'믹스(잔량실사표)'!F:F)*D62</f>
        <v/>
      </c>
      <c r="G62" s="245">
        <f>SUMIF('창고1(실사표)'!B:B,재고차이!A:A,'창고1(실사표)'!E:E)*E62+SUMIF('창고2(실사표)'!B:B,재고차이!A:A,'창고2(실사표)'!E:E)*E62+SUMIF('믹스(잔량실사표)'!B:B,재고차이!A:A,'믹스(잔량실사표)'!E:E)*E62+SUMIF('창고3(실사표)'!B:B,재고차이!A:A,'창고3(실사표)'!E:E)*E62</f>
        <v/>
      </c>
      <c r="H6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6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62" s="245">
        <f>SUM(F62:I62)</f>
        <v/>
      </c>
      <c r="K62" s="245">
        <f>SUMIF('SAP(B117)'!B:B,재고차이!B:B,'SAP(B117)'!Q:Q)</f>
        <v/>
      </c>
      <c r="L62" s="245">
        <f>SUMIF(주간상차!A:A,재고차이!A:A,주간상차!E:E)</f>
        <v/>
      </c>
      <c r="M62" s="246">
        <f>J62-K62-L62-N62+O62+Q62</f>
        <v/>
      </c>
      <c r="N62" s="274" t="n"/>
      <c r="O62" s="275" t="n"/>
      <c r="P62" s="276" t="n"/>
      <c r="Q62" s="277">
        <f>SUMIF(파손품!D:D,재고차이!B:B,파손품!I:I)+SUMIF(동파파손!D:D,재고차이!B:B,동파파손!I:I)</f>
        <v/>
      </c>
      <c r="R62" s="0">
        <f>M62/E62</f>
        <v/>
      </c>
    </row>
    <row r="63" ht="18.75" customHeight="1" s="237">
      <c r="A63" s="9" t="n">
        <v>4935</v>
      </c>
      <c r="B63" s="9">
        <f>VLOOKUP(A:A,제품등록!A:B,2,0)</f>
        <v/>
      </c>
      <c r="C63" s="29">
        <f>VLOOKUP(B63,제품등록!B:C,2,0)</f>
        <v/>
      </c>
      <c r="D63" s="9" t="n"/>
      <c r="E63" s="9" t="n">
        <v>60</v>
      </c>
      <c r="F63" s="245">
        <f>SUMIF('창고1(실사표)'!B:B,재고차이!A:A,'창고1(실사표)'!F:F)*D63+SUMIF('창고2(실사표)'!B:B,재고차이!A:A,'창고2(실사표)'!F:F)*D63+SUMIF('믹스(잔량실사표)'!B:B,재고차이!A:A,'믹스(잔량실사표)'!F:F)*D63</f>
        <v/>
      </c>
      <c r="G63" s="245">
        <f>SUMIF('창고1(실사표)'!B:B,재고차이!A:A,'창고1(실사표)'!E:E)*E63+SUMIF('창고2(실사표)'!B:B,재고차이!A:A,'창고2(실사표)'!E:E)*E63+SUMIF('믹스(잔량실사표)'!B:B,재고차이!A:A,'믹스(잔량실사표)'!E:E)*E63+SUMIF('창고3(실사표)'!B:B,재고차이!A:A,'창고3(실사표)'!E:E)*E63</f>
        <v/>
      </c>
      <c r="H6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6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63" s="245">
        <f>SUM(F63:I63)</f>
        <v/>
      </c>
      <c r="K63" s="245">
        <f>SUMIF('SAP(B117)'!B:B,재고차이!B:B,'SAP(B117)'!Q:Q)</f>
        <v/>
      </c>
      <c r="L63" s="245">
        <f>SUMIF(주간상차!A:A,재고차이!A:A,주간상차!E:E)</f>
        <v/>
      </c>
      <c r="M63" s="246">
        <f>J63-K63-L63-N63+O63+Q63</f>
        <v/>
      </c>
      <c r="N63" s="274" t="n"/>
      <c r="O63" s="275" t="n"/>
      <c r="P63" s="276" t="n"/>
      <c r="Q63" s="277">
        <f>SUMIF(파손품!D:D,재고차이!B:B,파손품!I:I)+SUMIF(동파파손!D:D,재고차이!B:B,동파파손!I:I)</f>
        <v/>
      </c>
      <c r="R63" s="0">
        <f>M63/E63</f>
        <v/>
      </c>
    </row>
    <row r="64" ht="18.75" customHeight="1" s="237">
      <c r="A64" s="9" t="n">
        <v>4947</v>
      </c>
      <c r="B64" s="9">
        <f>VLOOKUP(A:A,제품등록!A:B,2,0)</f>
        <v/>
      </c>
      <c r="C64" s="29">
        <f>VLOOKUP(B64,제품등록!B:C,2,0)</f>
        <v/>
      </c>
      <c r="D64" s="9" t="n">
        <v>88</v>
      </c>
      <c r="E64" s="9" t="n">
        <v>100</v>
      </c>
      <c r="F64" s="245">
        <f>SUMIF('창고1(실사표)'!B:B,재고차이!A:A,'창고1(실사표)'!F:F)*D64+SUMIF('창고2(실사표)'!B:B,재고차이!A:A,'창고2(실사표)'!F:F)*D64+SUMIF('믹스(잔량실사표)'!B:B,재고차이!A:A,'믹스(잔량실사표)'!F:F)*D64</f>
        <v/>
      </c>
      <c r="G64" s="245">
        <f>SUMIF('창고1(실사표)'!B:B,재고차이!A:A,'창고1(실사표)'!E:E)*E64+SUMIF('창고2(실사표)'!B:B,재고차이!A:A,'창고2(실사표)'!E:E)*E64+SUMIF('믹스(잔량실사표)'!B:B,재고차이!A:A,'믹스(잔량실사표)'!E:E)*E64+SUMIF('창고3(실사표)'!B:B,재고차이!A:A,'창고3(실사표)'!E:E)*E64</f>
        <v/>
      </c>
      <c r="H6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6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64" s="245">
        <f>SUM(F64:I64)</f>
        <v/>
      </c>
      <c r="K64" s="245">
        <f>SUMIF('SAP(B117)'!B:B,재고차이!B:B,'SAP(B117)'!Q:Q)</f>
        <v/>
      </c>
      <c r="L64" s="245">
        <f>SUMIF(주간상차!A:A,재고차이!A:A,주간상차!E:E)</f>
        <v/>
      </c>
      <c r="M64" s="246">
        <f>J64-K64-L64-N64+O64+Q64</f>
        <v/>
      </c>
      <c r="N64" s="274" t="n"/>
      <c r="O64" s="275" t="n"/>
      <c r="P64" s="276" t="n"/>
      <c r="Q64" s="277">
        <f>SUMIF(파손품!D:D,재고차이!B:B,파손품!I:I)+SUMIF(동파파손!D:D,재고차이!B:B,동파파손!I:I)</f>
        <v/>
      </c>
      <c r="R64" s="0">
        <f>M64/E64</f>
        <v/>
      </c>
    </row>
    <row r="65" ht="18.75" customHeight="1" s="237">
      <c r="A65" s="9" t="n">
        <v>4951</v>
      </c>
      <c r="B65" s="9">
        <f>VLOOKUP(A:A,제품등록!A:B,2,0)</f>
        <v/>
      </c>
      <c r="C65" s="29">
        <f>VLOOKUP(B65,제품등록!B:C,2,0)</f>
        <v/>
      </c>
      <c r="D65" s="9" t="n"/>
      <c r="E65" s="9" t="n">
        <v>100</v>
      </c>
      <c r="F65" s="245">
        <f>SUMIF('창고1(실사표)'!B:B,재고차이!A:A,'창고1(실사표)'!F:F)*D65+SUMIF('창고2(실사표)'!B:B,재고차이!A:A,'창고2(실사표)'!F:F)*D65+SUMIF('믹스(잔량실사표)'!B:B,재고차이!A:A,'믹스(잔량실사표)'!F:F)*D65</f>
        <v/>
      </c>
      <c r="G65" s="245">
        <f>SUMIF('창고1(실사표)'!B:B,재고차이!A:A,'창고1(실사표)'!E:E)*E65+SUMIF('창고2(실사표)'!B:B,재고차이!A:A,'창고2(실사표)'!E:E)*E65+SUMIF('믹스(잔량실사표)'!B:B,재고차이!A:A,'믹스(잔량실사표)'!E:E)*E65+SUMIF('창고3(실사표)'!B:B,재고차이!A:A,'창고3(실사표)'!E:E)*E65</f>
        <v/>
      </c>
      <c r="H6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6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65" s="245">
        <f>SUM(F65:I65)</f>
        <v/>
      </c>
      <c r="K65" s="245">
        <f>SUMIF('SAP(B117)'!B:B,재고차이!B:B,'SAP(B117)'!Q:Q)</f>
        <v/>
      </c>
      <c r="L65" s="245">
        <f>SUMIF(주간상차!A:A,재고차이!A:A,주간상차!E:E)</f>
        <v/>
      </c>
      <c r="M65" s="246">
        <f>J65-K65-L65-N65+O65+Q65</f>
        <v/>
      </c>
      <c r="N65" s="274" t="n"/>
      <c r="O65" s="275" t="n"/>
      <c r="P65" s="276" t="n"/>
      <c r="Q65" s="277">
        <f>SUMIF(파손품!D:D,재고차이!B:B,파손품!I:I)+SUMIF(동파파손!D:D,재고차이!B:B,동파파손!I:I)</f>
        <v/>
      </c>
      <c r="R65" s="0">
        <f>M65/E65</f>
        <v/>
      </c>
    </row>
    <row r="66" ht="18.75" customHeight="1" s="237">
      <c r="A66" s="9" t="n">
        <v>4969</v>
      </c>
      <c r="B66" s="9">
        <f>VLOOKUP(A:A,제품등록!A:B,2,0)</f>
        <v/>
      </c>
      <c r="C66" s="29">
        <f>VLOOKUP(B66,제품등록!B:C,2,0)</f>
        <v/>
      </c>
      <c r="D66" s="9" t="n"/>
      <c r="E66" s="9" t="n">
        <v>70</v>
      </c>
      <c r="F66" s="245">
        <f>SUMIF('창고1(실사표)'!B:B,재고차이!A:A,'창고1(실사표)'!F:F)*D66+SUMIF('창고2(실사표)'!B:B,재고차이!A:A,'창고2(실사표)'!F:F)*D66+SUMIF('믹스(잔량실사표)'!B:B,재고차이!A:A,'믹스(잔량실사표)'!F:F)*D66</f>
        <v/>
      </c>
      <c r="G66" s="245">
        <f>SUMIF('창고1(실사표)'!B:B,재고차이!A:A,'창고1(실사표)'!E:E)*E66+SUMIF('창고2(실사표)'!B:B,재고차이!A:A,'창고2(실사표)'!E:E)*E66+SUMIF('믹스(잔량실사표)'!B:B,재고차이!A:A,'믹스(잔량실사표)'!E:E)*E66+SUMIF('창고3(실사표)'!B:B,재고차이!A:A,'창고3(실사표)'!E:E)*E66</f>
        <v/>
      </c>
      <c r="H6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6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66" s="245">
        <f>SUM(F66:I66)</f>
        <v/>
      </c>
      <c r="K66" s="245">
        <f>SUMIF('SAP(B117)'!B:B,재고차이!B:B,'SAP(B117)'!Q:Q)</f>
        <v/>
      </c>
      <c r="L66" s="245">
        <f>SUMIF(주간상차!A:A,재고차이!A:A,주간상차!E:E)</f>
        <v/>
      </c>
      <c r="M66" s="246">
        <f>J66-K66-L66-N66+O66+Q66</f>
        <v/>
      </c>
      <c r="N66" s="274" t="n"/>
      <c r="O66" s="275" t="n"/>
      <c r="P66" s="276" t="n"/>
      <c r="Q66" s="277">
        <f>SUMIF(파손품!D:D,재고차이!B:B,파손품!I:I)+SUMIF(동파파손!D:D,재고차이!B:B,동파파손!I:I)</f>
        <v/>
      </c>
      <c r="R66" s="0">
        <f>M66/E66</f>
        <v/>
      </c>
    </row>
    <row r="67" ht="18.75" customHeight="1" s="237">
      <c r="A67" s="9" t="n">
        <v>5180</v>
      </c>
      <c r="B67" s="9">
        <f>VLOOKUP(A:A,제품등록!A:B,2,0)</f>
        <v/>
      </c>
      <c r="C67" s="29">
        <f>VLOOKUP(B67,제품등록!B:C,2,0)</f>
        <v/>
      </c>
      <c r="D67" s="9" t="n">
        <v>40</v>
      </c>
      <c r="E67" s="9" t="n">
        <v>70</v>
      </c>
      <c r="F67" s="245">
        <f>SUMIF('창고1(실사표)'!B:B,재고차이!A:A,'창고1(실사표)'!F:F)*D67+SUMIF('창고2(실사표)'!B:B,재고차이!A:A,'창고2(실사표)'!F:F)*D67+SUMIF('믹스(잔량실사표)'!B:B,재고차이!A:A,'믹스(잔량실사표)'!F:F)*D67</f>
        <v/>
      </c>
      <c r="G67" s="245">
        <f>SUMIF('창고1(실사표)'!B:B,재고차이!A:A,'창고1(실사표)'!E:E)*E67+SUMIF('창고2(실사표)'!B:B,재고차이!A:A,'창고2(실사표)'!E:E)*E67+SUMIF('믹스(잔량실사표)'!B:B,재고차이!A:A,'믹스(잔량실사표)'!E:E)*E67+SUMIF('창고3(실사표)'!B:B,재고차이!A:A,'창고3(실사표)'!E:E)*E67</f>
        <v/>
      </c>
      <c r="H6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6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67" s="245">
        <f>SUM(F67:I67)</f>
        <v/>
      </c>
      <c r="K67" s="245">
        <f>SUMIF('SAP(B117)'!B:B,재고차이!B:B,'SAP(B117)'!Q:Q)</f>
        <v/>
      </c>
      <c r="L67" s="245">
        <f>SUMIF(주간상차!A:A,재고차이!A:A,주간상차!E:E)</f>
        <v/>
      </c>
      <c r="M67" s="246">
        <f>J67-K67-L67-N67+O67+Q67</f>
        <v/>
      </c>
      <c r="N67" s="274" t="n"/>
      <c r="O67" s="275" t="n"/>
      <c r="P67" s="276" t="n"/>
      <c r="Q67" s="277">
        <f>SUMIF(파손품!D:D,재고차이!B:B,파손품!I:I)+SUMIF(동파파손!D:D,재고차이!B:B,동파파손!I:I)</f>
        <v/>
      </c>
      <c r="R67" s="0">
        <f>M67/E67</f>
        <v/>
      </c>
    </row>
    <row r="68" ht="18.75" customHeight="1" s="237">
      <c r="A68" s="9" t="n">
        <v>5181</v>
      </c>
      <c r="B68" s="9">
        <f>VLOOKUP(A:A,제품등록!A:B,2,0)</f>
        <v/>
      </c>
      <c r="C68" s="29">
        <f>VLOOKUP(B68,제품등록!B:C,2,0)</f>
        <v/>
      </c>
      <c r="D68" s="9" t="n"/>
      <c r="E68" s="9" t="n">
        <v>280</v>
      </c>
      <c r="F68" s="245">
        <f>SUMIF('창고1(실사표)'!B:B,재고차이!A:A,'창고1(실사표)'!F:F)*D68+SUMIF('창고2(실사표)'!B:B,재고차이!A:A,'창고2(실사표)'!F:F)*D68+SUMIF('믹스(잔량실사표)'!B:B,재고차이!A:A,'믹스(잔량실사표)'!F:F)*D68</f>
        <v/>
      </c>
      <c r="G68" s="245">
        <f>SUMIF('창고1(실사표)'!B:B,재고차이!A:A,'창고1(실사표)'!E:E)*E68+SUMIF('창고2(실사표)'!B:B,재고차이!A:A,'창고2(실사표)'!E:E)*E68+SUMIF('믹스(잔량실사표)'!B:B,재고차이!A:A,'믹스(잔량실사표)'!E:E)*E68+SUMIF('창고3(실사표)'!B:B,재고차이!A:A,'창고3(실사표)'!E:E)*E68</f>
        <v/>
      </c>
      <c r="H6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6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68" s="245">
        <f>SUM(F68:I68)</f>
        <v/>
      </c>
      <c r="K68" s="245">
        <f>SUMIF('SAP(B117)'!B:B,재고차이!B:B,'SAP(B117)'!Q:Q)</f>
        <v/>
      </c>
      <c r="L68" s="245">
        <f>SUMIF(주간상차!A:A,재고차이!A:A,주간상차!E:E)</f>
        <v/>
      </c>
      <c r="M68" s="246">
        <f>J68-K68-L68-N68+O68+Q68</f>
        <v/>
      </c>
      <c r="N68" s="274" t="n"/>
      <c r="O68" s="275" t="n"/>
      <c r="P68" s="276" t="n"/>
      <c r="Q68" s="277">
        <f>SUMIF(파손품!D:D,재고차이!B:B,파손품!I:I)+SUMIF(동파파손!D:D,재고차이!B:B,동파파손!I:I)</f>
        <v/>
      </c>
      <c r="R68" s="0">
        <f>M68/E68</f>
        <v/>
      </c>
    </row>
    <row r="69" ht="18.75" customHeight="1" s="237">
      <c r="A69" s="9" t="n">
        <v>5182</v>
      </c>
      <c r="B69" s="9">
        <f>VLOOKUP(A:A,제품등록!A:B,2,0)</f>
        <v/>
      </c>
      <c r="C69" s="29">
        <f>VLOOKUP(B69,제품등록!B:C,2,0)</f>
        <v/>
      </c>
      <c r="D69" s="9" t="n"/>
      <c r="E69" s="9" t="n">
        <v>280</v>
      </c>
      <c r="F69" s="245">
        <f>SUMIF('창고1(실사표)'!B:B,재고차이!A:A,'창고1(실사표)'!F:F)*D69+SUMIF('창고2(실사표)'!B:B,재고차이!A:A,'창고2(실사표)'!F:F)*D69+SUMIF('믹스(잔량실사표)'!B:B,재고차이!A:A,'믹스(잔량실사표)'!F:F)*D69</f>
        <v/>
      </c>
      <c r="G69" s="245">
        <f>SUMIF('창고1(실사표)'!B:B,재고차이!A:A,'창고1(실사표)'!E:E)*E69+SUMIF('창고2(실사표)'!B:B,재고차이!A:A,'창고2(실사표)'!E:E)*E69+SUMIF('믹스(잔량실사표)'!B:B,재고차이!A:A,'믹스(잔량실사표)'!E:E)*E69+SUMIF('창고3(실사표)'!B:B,재고차이!A:A,'창고3(실사표)'!E:E)*E69</f>
        <v/>
      </c>
      <c r="H6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6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69" s="245">
        <f>SUM(F69:I69)</f>
        <v/>
      </c>
      <c r="K69" s="245">
        <f>SUMIF('SAP(B117)'!B:B,재고차이!B:B,'SAP(B117)'!Q:Q)</f>
        <v/>
      </c>
      <c r="L69" s="245">
        <f>SUMIF(주간상차!A:A,재고차이!A:A,주간상차!E:E)</f>
        <v/>
      </c>
      <c r="M69" s="246">
        <f>J69-K69-L69-N69+O69+Q69</f>
        <v/>
      </c>
      <c r="N69" s="274" t="n"/>
      <c r="O69" s="275" t="n"/>
      <c r="P69" s="276" t="n"/>
      <c r="Q69" s="277">
        <f>SUMIF(파손품!D:D,재고차이!B:B,파손품!I:I)+SUMIF(동파파손!D:D,재고차이!B:B,동파파손!I:I)</f>
        <v/>
      </c>
      <c r="R69" s="0">
        <f>M69/E69</f>
        <v/>
      </c>
    </row>
    <row r="70" ht="18.75" customHeight="1" s="237">
      <c r="A70" s="9" t="n">
        <v>5186</v>
      </c>
      <c r="B70" s="9">
        <f>VLOOKUP(A:A,제품등록!A:B,2,0)</f>
        <v/>
      </c>
      <c r="C70" s="29">
        <f>VLOOKUP(B70,제품등록!B:C,2,0)</f>
        <v/>
      </c>
      <c r="D70" s="9" t="n"/>
      <c r="E70" s="9" t="n">
        <v>70</v>
      </c>
      <c r="F70" s="245">
        <f>SUMIF('창고1(실사표)'!B:B,재고차이!A:A,'창고1(실사표)'!F:F)*D70+SUMIF('창고2(실사표)'!B:B,재고차이!A:A,'창고2(실사표)'!F:F)*D70+SUMIF('믹스(잔량실사표)'!B:B,재고차이!A:A,'믹스(잔량실사표)'!F:F)*D70</f>
        <v/>
      </c>
      <c r="G70" s="245">
        <f>SUMIF('창고1(실사표)'!B:B,재고차이!A:A,'창고1(실사표)'!E:E)*E70+SUMIF('창고2(실사표)'!B:B,재고차이!A:A,'창고2(실사표)'!E:E)*E70+SUMIF('믹스(잔량실사표)'!B:B,재고차이!A:A,'믹스(잔량실사표)'!E:E)*E70+SUMIF('창고3(실사표)'!B:B,재고차이!A:A,'창고3(실사표)'!E:E)*E70</f>
        <v/>
      </c>
      <c r="H7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7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70" s="245">
        <f>SUM(F70:I70)</f>
        <v/>
      </c>
      <c r="K70" s="245">
        <f>SUMIF('SAP(B117)'!B:B,재고차이!B:B,'SAP(B117)'!Q:Q)</f>
        <v/>
      </c>
      <c r="L70" s="245">
        <f>SUMIF(주간상차!A:A,재고차이!A:A,주간상차!E:E)</f>
        <v/>
      </c>
      <c r="M70" s="246">
        <f>J70-K70-L70-N70+O70+Q70</f>
        <v/>
      </c>
      <c r="N70" s="274" t="n"/>
      <c r="O70" s="275" t="n"/>
      <c r="P70" s="276" t="n"/>
      <c r="Q70" s="277">
        <f>SUMIF(파손품!D:D,재고차이!B:B,파손품!I:I)+SUMIF(동파파손!D:D,재고차이!B:B,동파파손!I:I)</f>
        <v/>
      </c>
      <c r="R70" s="0">
        <f>M70/E70</f>
        <v/>
      </c>
    </row>
    <row r="71" ht="18.75" customHeight="1" s="237">
      <c r="A71" s="9" t="n">
        <v>5189</v>
      </c>
      <c r="B71" s="9">
        <f>VLOOKUP(A:A,제품등록!A:B,2,0)</f>
        <v/>
      </c>
      <c r="C71" s="29">
        <f>VLOOKUP(B71,제품등록!B:C,2,0)</f>
        <v/>
      </c>
      <c r="D71" s="9" t="n"/>
      <c r="E71" s="9" t="n">
        <v>70</v>
      </c>
      <c r="F71" s="245">
        <f>SUMIF('창고1(실사표)'!B:B,재고차이!A:A,'창고1(실사표)'!F:F)*D71+SUMIF('창고2(실사표)'!B:B,재고차이!A:A,'창고2(실사표)'!F:F)*D71+SUMIF('믹스(잔량실사표)'!B:B,재고차이!A:A,'믹스(잔량실사표)'!F:F)*D71</f>
        <v/>
      </c>
      <c r="G71" s="245">
        <f>SUMIF('창고1(실사표)'!B:B,재고차이!A:A,'창고1(실사표)'!E:E)*E71+SUMIF('창고2(실사표)'!B:B,재고차이!A:A,'창고2(실사표)'!E:E)*E71+SUMIF('믹스(잔량실사표)'!B:B,재고차이!A:A,'믹스(잔량실사표)'!E:E)*E71+SUMIF('창고3(실사표)'!B:B,재고차이!A:A,'창고3(실사표)'!E:E)*E71</f>
        <v/>
      </c>
      <c r="H7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7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71" s="245">
        <f>SUM(F71:I71)</f>
        <v/>
      </c>
      <c r="K71" s="245">
        <f>SUMIF('SAP(B117)'!B:B,재고차이!B:B,'SAP(B117)'!Q:Q)</f>
        <v/>
      </c>
      <c r="L71" s="245">
        <f>SUMIF(주간상차!A:A,재고차이!A:A,주간상차!E:E)</f>
        <v/>
      </c>
      <c r="M71" s="246">
        <f>J71-K71-L71-N71+O71+Q71</f>
        <v/>
      </c>
      <c r="N71" s="274" t="n"/>
      <c r="O71" s="275" t="n"/>
      <c r="P71" s="276" t="n"/>
      <c r="Q71" s="277">
        <f>SUMIF(파손품!D:D,재고차이!B:B,파손품!I:I)+SUMIF(동파파손!D:D,재고차이!B:B,동파파손!I:I)</f>
        <v/>
      </c>
      <c r="R71" s="0">
        <f>M71/E71</f>
        <v/>
      </c>
    </row>
    <row r="72" ht="18.75" customHeight="1" s="237">
      <c r="A72" s="9" t="n">
        <v>5191</v>
      </c>
      <c r="B72" s="9">
        <f>VLOOKUP(A:A,제품등록!A:B,2,0)</f>
        <v/>
      </c>
      <c r="C72" s="29">
        <f>VLOOKUP(B72,제품등록!B:C,2,0)</f>
        <v/>
      </c>
      <c r="D72" s="9" t="n"/>
      <c r="E72" s="9" t="n">
        <v>70</v>
      </c>
      <c r="F72" s="245">
        <f>SUMIF('창고1(실사표)'!B:B,재고차이!A:A,'창고1(실사표)'!F:F)*D72+SUMIF('창고2(실사표)'!B:B,재고차이!A:A,'창고2(실사표)'!F:F)*D72+SUMIF('믹스(잔량실사표)'!B:B,재고차이!A:A,'믹스(잔량실사표)'!F:F)*D72</f>
        <v/>
      </c>
      <c r="G72" s="245">
        <f>SUMIF('창고1(실사표)'!B:B,재고차이!A:A,'창고1(실사표)'!E:E)*E72+SUMIF('창고2(실사표)'!B:B,재고차이!A:A,'창고2(실사표)'!E:E)*E72+SUMIF('믹스(잔량실사표)'!B:B,재고차이!A:A,'믹스(잔량실사표)'!E:E)*E72+SUMIF('창고3(실사표)'!B:B,재고차이!A:A,'창고3(실사표)'!E:E)*E72</f>
        <v/>
      </c>
      <c r="H7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7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72" s="245">
        <f>SUM(F72:I72)</f>
        <v/>
      </c>
      <c r="K72" s="245">
        <f>SUMIF('SAP(B117)'!B:B,재고차이!B:B,'SAP(B117)'!Q:Q)</f>
        <v/>
      </c>
      <c r="L72" s="245">
        <f>SUMIF(주간상차!A:A,재고차이!A:A,주간상차!E:E)</f>
        <v/>
      </c>
      <c r="M72" s="246">
        <f>J72-K72-L72-N72+O72+Q72</f>
        <v/>
      </c>
      <c r="N72" s="274" t="n"/>
      <c r="O72" s="275" t="n"/>
      <c r="P72" s="276" t="n"/>
      <c r="Q72" s="277">
        <f>SUMIF(파손품!D:D,재고차이!B:B,파손품!I:I)+SUMIF(동파파손!D:D,재고차이!B:B,동파파손!I:I)</f>
        <v/>
      </c>
      <c r="R72" s="0">
        <f>M72/E72</f>
        <v/>
      </c>
    </row>
    <row r="73" ht="18.75" customHeight="1" s="237">
      <c r="A73" s="9" t="n">
        <v>5192</v>
      </c>
      <c r="B73" s="9">
        <f>VLOOKUP(A:A,제품등록!A:B,2,0)</f>
        <v/>
      </c>
      <c r="C73" s="29">
        <f>VLOOKUP(B73,제품등록!B:C,2,0)</f>
        <v/>
      </c>
      <c r="D73" s="9" t="n"/>
      <c r="E73" s="9" t="n">
        <v>70</v>
      </c>
      <c r="F73" s="245">
        <f>SUMIF('창고1(실사표)'!B:B,재고차이!A:A,'창고1(실사표)'!F:F)*D73+SUMIF('창고2(실사표)'!B:B,재고차이!A:A,'창고2(실사표)'!F:F)*D73+SUMIF('믹스(잔량실사표)'!B:B,재고차이!A:A,'믹스(잔량실사표)'!F:F)*D73</f>
        <v/>
      </c>
      <c r="G73" s="245">
        <f>SUMIF('창고1(실사표)'!B:B,재고차이!A:A,'창고1(실사표)'!E:E)*E73+SUMIF('창고2(실사표)'!B:B,재고차이!A:A,'창고2(실사표)'!E:E)*E73+SUMIF('믹스(잔량실사표)'!B:B,재고차이!A:A,'믹스(잔량실사표)'!E:E)*E73+SUMIF('창고3(실사표)'!B:B,재고차이!A:A,'창고3(실사표)'!E:E)*E73</f>
        <v/>
      </c>
      <c r="H7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7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73" s="245">
        <f>SUM(F73:I73)</f>
        <v/>
      </c>
      <c r="K73" s="245">
        <f>SUMIF('SAP(B117)'!B:B,재고차이!B:B,'SAP(B117)'!Q:Q)</f>
        <v/>
      </c>
      <c r="L73" s="245">
        <f>SUMIF(주간상차!A:A,재고차이!A:A,주간상차!E:E)</f>
        <v/>
      </c>
      <c r="M73" s="246">
        <f>J73-K73-L73-N73+O73+Q73</f>
        <v/>
      </c>
      <c r="N73" s="274" t="n"/>
      <c r="O73" s="275" t="n"/>
      <c r="P73" s="276" t="n"/>
      <c r="Q73" s="277">
        <f>SUMIF(파손품!D:D,재고차이!B:B,파손품!I:I)+SUMIF(동파파손!D:D,재고차이!B:B,동파파손!I:I)</f>
        <v/>
      </c>
      <c r="R73" s="0">
        <f>M73/E73</f>
        <v/>
      </c>
    </row>
    <row r="74" ht="18.75" customHeight="1" s="237">
      <c r="A74" s="9" t="n">
        <v>5194</v>
      </c>
      <c r="B74" s="9">
        <f>VLOOKUP(A:A,제품등록!A:B,2,0)</f>
        <v/>
      </c>
      <c r="C74" s="29">
        <f>VLOOKUP(B74,제품등록!B:C,2,0)</f>
        <v/>
      </c>
      <c r="D74" s="9" t="n"/>
      <c r="E74" s="9" t="n">
        <v>100</v>
      </c>
      <c r="F74" s="245">
        <f>SUMIF('창고1(실사표)'!B:B,재고차이!A:A,'창고1(실사표)'!F:F)*D74+SUMIF('창고2(실사표)'!B:B,재고차이!A:A,'창고2(실사표)'!F:F)*D74+SUMIF('믹스(잔량실사표)'!B:B,재고차이!A:A,'믹스(잔량실사표)'!F:F)*D74</f>
        <v/>
      </c>
      <c r="G74" s="245">
        <f>SUMIF('창고1(실사표)'!B:B,재고차이!A:A,'창고1(실사표)'!E:E)*E74+SUMIF('창고2(실사표)'!B:B,재고차이!A:A,'창고2(실사표)'!E:E)*E74+SUMIF('믹스(잔량실사표)'!B:B,재고차이!A:A,'믹스(잔량실사표)'!E:E)*E74+SUMIF('창고3(실사표)'!B:B,재고차이!A:A,'창고3(실사표)'!E:E)*E74</f>
        <v/>
      </c>
      <c r="H7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7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74" s="245">
        <f>SUM(F74:I74)</f>
        <v/>
      </c>
      <c r="K74" s="245">
        <f>SUMIF('SAP(B117)'!B:B,재고차이!B:B,'SAP(B117)'!Q:Q)</f>
        <v/>
      </c>
      <c r="L74" s="245">
        <f>SUMIF(주간상차!A:A,재고차이!A:A,주간상차!E:E)</f>
        <v/>
      </c>
      <c r="M74" s="246">
        <f>J74-K74-L74-N74+O74+Q74</f>
        <v/>
      </c>
      <c r="N74" s="274" t="n"/>
      <c r="O74" s="275" t="n"/>
      <c r="P74" s="276" t="n"/>
      <c r="Q74" s="277">
        <f>SUMIF(파손품!D:D,재고차이!B:B,파손품!I:I)+SUMIF(동파파손!D:D,재고차이!B:B,동파파손!I:I)</f>
        <v/>
      </c>
      <c r="R74" s="0">
        <f>M74/E74</f>
        <v/>
      </c>
    </row>
    <row r="75" ht="18.75" customHeight="1" s="237">
      <c r="A75" s="9" t="n">
        <v>5200</v>
      </c>
      <c r="B75" s="9">
        <f>VLOOKUP(A:A,제품등록!A:B,2,0)</f>
        <v/>
      </c>
      <c r="C75" s="29">
        <f>VLOOKUP(B75,제품등록!B:C,2,0)</f>
        <v/>
      </c>
      <c r="D75" s="9" t="n"/>
      <c r="E75" s="9" t="n">
        <v>65</v>
      </c>
      <c r="F75" s="245">
        <f>SUMIF('창고1(실사표)'!B:B,재고차이!A:A,'창고1(실사표)'!F:F)*D75+SUMIF('창고2(실사표)'!B:B,재고차이!A:A,'창고2(실사표)'!F:F)*D75+SUMIF('믹스(잔량실사표)'!B:B,재고차이!A:A,'믹스(잔량실사표)'!F:F)*D75</f>
        <v/>
      </c>
      <c r="G75" s="245">
        <f>SUMIF('창고1(실사표)'!B:B,재고차이!A:A,'창고1(실사표)'!E:E)*E75+SUMIF('창고2(실사표)'!B:B,재고차이!A:A,'창고2(실사표)'!E:E)*E75+SUMIF('믹스(잔량실사표)'!B:B,재고차이!A:A,'믹스(잔량실사표)'!E:E)*E75+SUMIF('창고3(실사표)'!B:B,재고차이!A:A,'창고3(실사표)'!E:E)*E75</f>
        <v/>
      </c>
      <c r="H7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7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75" s="245">
        <f>SUM(F75:I75)</f>
        <v/>
      </c>
      <c r="K75" s="245">
        <f>SUMIF('SAP(B117)'!B:B,재고차이!B:B,'SAP(B117)'!Q:Q)</f>
        <v/>
      </c>
      <c r="L75" s="245">
        <f>SUMIF(주간상차!A:A,재고차이!A:A,주간상차!E:E)</f>
        <v/>
      </c>
      <c r="M75" s="246">
        <f>J75-K75-L75-N75+O75+Q75</f>
        <v/>
      </c>
      <c r="N75" s="274" t="n"/>
      <c r="O75" s="275" t="n"/>
      <c r="P75" s="276" t="n"/>
      <c r="Q75" s="277">
        <f>SUMIF(파손품!D:D,재고차이!B:B,파손품!I:I)+SUMIF(동파파손!D:D,재고차이!B:B,동파파손!I:I)</f>
        <v/>
      </c>
      <c r="R75" s="0">
        <f>M75/E75</f>
        <v/>
      </c>
    </row>
    <row r="76" ht="18.75" customHeight="1" s="237">
      <c r="A76" s="9" t="n">
        <v>5201</v>
      </c>
      <c r="B76" s="9">
        <f>VLOOKUP(A:A,제품등록!A:B,2,0)</f>
        <v/>
      </c>
      <c r="C76" s="29">
        <f>VLOOKUP(B76,제품등록!B:C,2,0)</f>
        <v/>
      </c>
      <c r="D76" s="9" t="n"/>
      <c r="E76" s="9" t="n">
        <v>60</v>
      </c>
      <c r="F76" s="245">
        <f>SUMIF('창고1(실사표)'!B:B,재고차이!A:A,'창고1(실사표)'!F:F)*D76+SUMIF('창고2(실사표)'!B:B,재고차이!A:A,'창고2(실사표)'!F:F)*D76+SUMIF('믹스(잔량실사표)'!B:B,재고차이!A:A,'믹스(잔량실사표)'!F:F)*D76</f>
        <v/>
      </c>
      <c r="G76" s="245">
        <f>SUMIF('창고1(실사표)'!B:B,재고차이!A:A,'창고1(실사표)'!E:E)*E76+SUMIF('창고2(실사표)'!B:B,재고차이!A:A,'창고2(실사표)'!E:E)*E76+SUMIF('믹스(잔량실사표)'!B:B,재고차이!A:A,'믹스(잔량실사표)'!E:E)*E76+SUMIF('창고3(실사표)'!B:B,재고차이!A:A,'창고3(실사표)'!E:E)*E76</f>
        <v/>
      </c>
      <c r="H7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7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76" s="245">
        <f>SUM(F76:I76)</f>
        <v/>
      </c>
      <c r="K76" s="245">
        <f>SUMIF('SAP(B117)'!B:B,재고차이!B:B,'SAP(B117)'!Q:Q)</f>
        <v/>
      </c>
      <c r="L76" s="245">
        <f>SUMIF(주간상차!A:A,재고차이!A:A,주간상차!E:E)</f>
        <v/>
      </c>
      <c r="M76" s="246">
        <f>J76-K76-L76-N76+O76+Q76</f>
        <v/>
      </c>
      <c r="N76" s="274" t="n"/>
      <c r="O76" s="275" t="n"/>
      <c r="P76" s="276" t="n"/>
      <c r="Q76" s="277">
        <f>SUMIF(파손품!D:D,재고차이!B:B,파손품!I:I)+SUMIF(동파파손!D:D,재고차이!B:B,동파파손!I:I)</f>
        <v/>
      </c>
      <c r="R76" s="0">
        <f>M76/E76</f>
        <v/>
      </c>
    </row>
    <row r="77" ht="18.75" customHeight="1" s="237">
      <c r="A77" s="9" t="n">
        <v>5312</v>
      </c>
      <c r="B77" s="9">
        <f>VLOOKUP(A:A,제품등록!A:B,2,0)</f>
        <v/>
      </c>
      <c r="C77" s="29">
        <f>VLOOKUP(B77,제품등록!B:C,2,0)</f>
        <v/>
      </c>
      <c r="D77" s="9" t="n"/>
      <c r="E77" s="9" t="n">
        <v>132</v>
      </c>
      <c r="F77" s="245">
        <f>SUMIF('창고1(실사표)'!B:B,재고차이!A:A,'창고1(실사표)'!F:F)*D77+SUMIF('창고2(실사표)'!B:B,재고차이!A:A,'창고2(실사표)'!F:F)*D77+SUMIF('믹스(잔량실사표)'!B:B,재고차이!A:A,'믹스(잔량실사표)'!F:F)*D77</f>
        <v/>
      </c>
      <c r="G77" s="245">
        <f>SUMIF('창고1(실사표)'!B:B,재고차이!A:A,'창고1(실사표)'!E:E)*E77+SUMIF('창고2(실사표)'!B:B,재고차이!A:A,'창고2(실사표)'!E:E)*E77+SUMIF('믹스(잔량실사표)'!B:B,재고차이!A:A,'믹스(잔량실사표)'!E:E)*E77+SUMIF('창고3(실사표)'!B:B,재고차이!A:A,'창고3(실사표)'!E:E)*E77</f>
        <v/>
      </c>
      <c r="H7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7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77" s="245">
        <f>SUM(F77:I77)</f>
        <v/>
      </c>
      <c r="K77" s="245">
        <f>SUMIF('SAP(B117)'!B:B,재고차이!B:B,'SAP(B117)'!Q:Q)</f>
        <v/>
      </c>
      <c r="L77" s="245">
        <f>SUMIF(주간상차!A:A,재고차이!A:A,주간상차!E:E)</f>
        <v/>
      </c>
      <c r="M77" s="246">
        <f>J77-K77-L77-N77+O77+Q77</f>
        <v/>
      </c>
      <c r="N77" s="274" t="n"/>
      <c r="O77" s="275" t="n"/>
      <c r="P77" s="276" t="n"/>
      <c r="Q77" s="277">
        <f>SUMIF(파손품!D:D,재고차이!B:B,파손품!I:I)+SUMIF(동파파손!D:D,재고차이!B:B,동파파손!I:I)</f>
        <v/>
      </c>
      <c r="R77" s="0">
        <f>M77/E77</f>
        <v/>
      </c>
    </row>
    <row r="78" ht="18.75" customHeight="1" s="237">
      <c r="A78" s="9" t="n">
        <v>5375</v>
      </c>
      <c r="B78" s="9">
        <f>VLOOKUP(A:A,제품등록!A:B,2,0)</f>
        <v/>
      </c>
      <c r="C78" s="29">
        <f>VLOOKUP(B78,제품등록!B:C,2,0)</f>
        <v/>
      </c>
      <c r="D78" s="9" t="n"/>
      <c r="E78" s="9" t="n">
        <v>108</v>
      </c>
      <c r="F78" s="245">
        <f>SUMIF('창고1(실사표)'!B:B,재고차이!A:A,'창고1(실사표)'!F:F)*D78+SUMIF('창고2(실사표)'!B:B,재고차이!A:A,'창고2(실사표)'!F:F)*D78+SUMIF('믹스(잔량실사표)'!B:B,재고차이!A:A,'믹스(잔량실사표)'!F:F)*D78</f>
        <v/>
      </c>
      <c r="G78" s="245">
        <f>SUMIF('창고1(실사표)'!B:B,재고차이!A:A,'창고1(실사표)'!E:E)*E78+SUMIF('창고2(실사표)'!B:B,재고차이!A:A,'창고2(실사표)'!E:E)*E78+SUMIF('믹스(잔량실사표)'!B:B,재고차이!A:A,'믹스(잔량실사표)'!E:E)*E78+SUMIF('창고3(실사표)'!B:B,재고차이!A:A,'창고3(실사표)'!E:E)*E78</f>
        <v/>
      </c>
      <c r="H7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7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78" s="245">
        <f>SUM(F78:I78)</f>
        <v/>
      </c>
      <c r="K78" s="245">
        <f>SUMIF('SAP(B117)'!B:B,재고차이!B:B,'SAP(B117)'!Q:Q)</f>
        <v/>
      </c>
      <c r="L78" s="245">
        <f>SUMIF(주간상차!A:A,재고차이!A:A,주간상차!E:E)</f>
        <v/>
      </c>
      <c r="M78" s="246">
        <f>J78-K78-L78-N78+O78+Q78</f>
        <v/>
      </c>
      <c r="N78" s="274" t="n"/>
      <c r="O78" s="275" t="n"/>
      <c r="P78" s="276" t="n"/>
      <c r="Q78" s="277">
        <f>SUMIF(파손품!D:D,재고차이!B:B,파손품!I:I)+SUMIF(동파파손!D:D,재고차이!B:B,동파파손!I:I)</f>
        <v/>
      </c>
      <c r="R78" s="0">
        <f>M78/E78</f>
        <v/>
      </c>
    </row>
    <row r="79" ht="18.75" customHeight="1" s="237">
      <c r="A79" s="9" t="n">
        <v>5570</v>
      </c>
      <c r="B79" s="9">
        <f>VLOOKUP(A:A,제품등록!A:B,2,0)</f>
        <v/>
      </c>
      <c r="C79" s="29">
        <f>VLOOKUP(B79,제품등록!B:C,2,0)</f>
        <v/>
      </c>
      <c r="D79" s="9" t="n"/>
      <c r="E79" s="9" t="n">
        <v>96</v>
      </c>
      <c r="F79" s="245">
        <f>SUMIF('창고1(실사표)'!B:B,재고차이!A:A,'창고1(실사표)'!F:F)*D79+SUMIF('창고2(실사표)'!B:B,재고차이!A:A,'창고2(실사표)'!F:F)*D79+SUMIF('믹스(잔량실사표)'!B:B,재고차이!A:A,'믹스(잔량실사표)'!F:F)*D79</f>
        <v/>
      </c>
      <c r="G79" s="245">
        <f>SUMIF('창고1(실사표)'!B:B,재고차이!A:A,'창고1(실사표)'!E:E)*E79+SUMIF('창고2(실사표)'!B:B,재고차이!A:A,'창고2(실사표)'!E:E)*E79+SUMIF('믹스(잔량실사표)'!B:B,재고차이!A:A,'믹스(잔량실사표)'!E:E)*E79+SUMIF('창고3(실사표)'!B:B,재고차이!A:A,'창고3(실사표)'!E:E)*E79</f>
        <v/>
      </c>
      <c r="H7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7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79" s="245">
        <f>SUM(F79:I79)</f>
        <v/>
      </c>
      <c r="K79" s="245">
        <f>SUMIF('SAP(B117)'!B:B,재고차이!B:B,'SAP(B117)'!Q:Q)</f>
        <v/>
      </c>
      <c r="L79" s="245">
        <f>SUMIF(주간상차!A:A,재고차이!A:A,주간상차!E:E)</f>
        <v/>
      </c>
      <c r="M79" s="246">
        <f>J79-K79-L79-N79+O79+Q79</f>
        <v/>
      </c>
      <c r="N79" s="274" t="n"/>
      <c r="O79" s="275" t="n"/>
      <c r="P79" s="276" t="n"/>
      <c r="Q79" s="277">
        <f>SUMIF(파손품!D:D,재고차이!B:B,파손품!I:I)+SUMIF(동파파손!D:D,재고차이!B:B,동파파손!I:I)</f>
        <v/>
      </c>
      <c r="R79" s="0">
        <f>M79/E79</f>
        <v/>
      </c>
    </row>
    <row r="80" ht="18.75" customHeight="1" s="237">
      <c r="A80" s="9" t="n">
        <v>5571</v>
      </c>
      <c r="B80" s="9">
        <f>VLOOKUP(A:A,제품등록!A:B,2,0)</f>
        <v/>
      </c>
      <c r="C80" s="29">
        <f>VLOOKUP(B80,제품등록!B:C,2,0)</f>
        <v/>
      </c>
      <c r="D80" s="9" t="n"/>
      <c r="E80" s="9" t="n">
        <v>96</v>
      </c>
      <c r="F80" s="245">
        <f>SUMIF('창고1(실사표)'!B:B,재고차이!A:A,'창고1(실사표)'!F:F)*D80+SUMIF('창고2(실사표)'!B:B,재고차이!A:A,'창고2(실사표)'!F:F)*D80+SUMIF('믹스(잔량실사표)'!B:B,재고차이!A:A,'믹스(잔량실사표)'!F:F)*D80</f>
        <v/>
      </c>
      <c r="G80" s="245">
        <f>SUMIF('창고1(실사표)'!B:B,재고차이!A:A,'창고1(실사표)'!E:E)*E80+SUMIF('창고2(실사표)'!B:B,재고차이!A:A,'창고2(실사표)'!E:E)*E80+SUMIF('믹스(잔량실사표)'!B:B,재고차이!A:A,'믹스(잔량실사표)'!E:E)*E80+SUMIF('창고3(실사표)'!B:B,재고차이!A:A,'창고3(실사표)'!E:E)*E80</f>
        <v/>
      </c>
      <c r="H8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8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80" s="245">
        <f>SUM(F80:I80)</f>
        <v/>
      </c>
      <c r="K80" s="245">
        <f>SUMIF('SAP(B117)'!B:B,재고차이!B:B,'SAP(B117)'!Q:Q)</f>
        <v/>
      </c>
      <c r="L80" s="245">
        <f>SUMIF(주간상차!A:A,재고차이!A:A,주간상차!E:E)</f>
        <v/>
      </c>
      <c r="M80" s="246">
        <f>J80-K80-L80-N80+O80+Q80</f>
        <v/>
      </c>
      <c r="N80" s="274" t="n"/>
      <c r="O80" s="275" t="n"/>
      <c r="P80" s="276" t="n"/>
      <c r="Q80" s="277">
        <f>SUMIF(파손품!D:D,재고차이!B:B,파손품!I:I)+SUMIF(동파파손!D:D,재고차이!B:B,동파파손!I:I)</f>
        <v/>
      </c>
      <c r="R80" s="0">
        <f>M80/E80</f>
        <v/>
      </c>
    </row>
    <row r="81" ht="18.75" customHeight="1" s="237">
      <c r="A81" s="9" t="n">
        <v>5628</v>
      </c>
      <c r="B81" s="9">
        <f>VLOOKUP(A:A,제품등록!A:B,2,0)</f>
        <v/>
      </c>
      <c r="C81" s="29">
        <f>VLOOKUP(B81,제품등록!B:C,2,0)</f>
        <v/>
      </c>
      <c r="D81" s="9" t="n"/>
      <c r="E81" s="9" t="n">
        <v>108</v>
      </c>
      <c r="F81" s="245">
        <f>SUMIF('창고1(실사표)'!B:B,재고차이!A:A,'창고1(실사표)'!F:F)*D81+SUMIF('창고2(실사표)'!B:B,재고차이!A:A,'창고2(실사표)'!F:F)*D81+SUMIF('믹스(잔량실사표)'!B:B,재고차이!A:A,'믹스(잔량실사표)'!F:F)*D81</f>
        <v/>
      </c>
      <c r="G81" s="245">
        <f>SUMIF('창고1(실사표)'!B:B,재고차이!A:A,'창고1(실사표)'!E:E)*E81+SUMIF('창고2(실사표)'!B:B,재고차이!A:A,'창고2(실사표)'!E:E)*E81+SUMIF('믹스(잔량실사표)'!B:B,재고차이!A:A,'믹스(잔량실사표)'!E:E)*E81+SUMIF('창고3(실사표)'!B:B,재고차이!A:A,'창고3(실사표)'!E:E)*E81</f>
        <v/>
      </c>
      <c r="H8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8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81" s="245">
        <f>SUM(F81:I81)</f>
        <v/>
      </c>
      <c r="K81" s="245">
        <f>SUMIF('SAP(B117)'!B:B,재고차이!B:B,'SAP(B117)'!Q:Q)</f>
        <v/>
      </c>
      <c r="L81" s="245">
        <f>SUMIF(주간상차!A:A,재고차이!A:A,주간상차!E:E)</f>
        <v/>
      </c>
      <c r="M81" s="246">
        <f>J81-K81-L81-N81+O81+Q81</f>
        <v/>
      </c>
      <c r="N81" s="274" t="n"/>
      <c r="O81" s="275" t="n"/>
      <c r="P81" s="276" t="n"/>
      <c r="Q81" s="277">
        <f>SUMIF(파손품!D:D,재고차이!B:B,파손품!I:I)+SUMIF(동파파손!D:D,재고차이!B:B,동파파손!I:I)</f>
        <v/>
      </c>
      <c r="R81" s="0">
        <f>M81/E81</f>
        <v/>
      </c>
    </row>
    <row r="82" ht="18.75" customHeight="1" s="237">
      <c r="A82" s="9" t="n">
        <v>5636</v>
      </c>
      <c r="B82" s="9">
        <f>VLOOKUP(A:A,제품등록!A:B,2,0)</f>
        <v/>
      </c>
      <c r="C82" s="29">
        <f>VLOOKUP(B82,제품등록!B:C,2,0)</f>
        <v/>
      </c>
      <c r="D82" s="9" t="n"/>
      <c r="E82" s="9" t="n">
        <v>108</v>
      </c>
      <c r="F82" s="245">
        <f>SUMIF('창고1(실사표)'!B:B,재고차이!A:A,'창고1(실사표)'!F:F)*D82+SUMIF('창고2(실사표)'!B:B,재고차이!A:A,'창고2(실사표)'!F:F)*D82+SUMIF('믹스(잔량실사표)'!B:B,재고차이!A:A,'믹스(잔량실사표)'!F:F)*D82</f>
        <v/>
      </c>
      <c r="G82" s="245">
        <f>SUMIF('창고1(실사표)'!B:B,재고차이!A:A,'창고1(실사표)'!E:E)*E82+SUMIF('창고2(실사표)'!B:B,재고차이!A:A,'창고2(실사표)'!E:E)*E82+SUMIF('믹스(잔량실사표)'!B:B,재고차이!A:A,'믹스(잔량실사표)'!E:E)*E82+SUMIF('창고3(실사표)'!B:B,재고차이!A:A,'창고3(실사표)'!E:E)*E82</f>
        <v/>
      </c>
      <c r="H8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8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82" s="245">
        <f>SUM(F82:I82)</f>
        <v/>
      </c>
      <c r="K82" s="245">
        <f>SUMIF('SAP(B117)'!B:B,재고차이!B:B,'SAP(B117)'!Q:Q)</f>
        <v/>
      </c>
      <c r="L82" s="245">
        <f>SUMIF(주간상차!A:A,재고차이!A:A,주간상차!E:E)</f>
        <v/>
      </c>
      <c r="M82" s="246">
        <f>J82-K82-L82-N82+O82+Q82</f>
        <v/>
      </c>
      <c r="N82" s="274" t="n"/>
      <c r="O82" s="275" t="n"/>
      <c r="P82" s="276" t="n"/>
      <c r="Q82" s="277">
        <f>SUMIF(파손품!D:D,재고차이!B:B,파손품!I:I)+SUMIF(동파파손!D:D,재고차이!B:B,동파파손!I:I)</f>
        <v/>
      </c>
      <c r="R82" s="0">
        <f>M82/E82</f>
        <v/>
      </c>
    </row>
    <row r="83" ht="18.75" customHeight="1" s="237">
      <c r="A83" s="9" t="n">
        <v>5639</v>
      </c>
      <c r="B83" s="9">
        <f>VLOOKUP(A:A,제품등록!A:B,2,0)</f>
        <v/>
      </c>
      <c r="C83" s="29">
        <f>VLOOKUP(B83,제품등록!B:C,2,0)</f>
        <v/>
      </c>
      <c r="D83" s="9" t="n"/>
      <c r="E83" s="9" t="n">
        <v>108</v>
      </c>
      <c r="F83" s="245">
        <f>SUMIF('창고1(실사표)'!B:B,재고차이!A:A,'창고1(실사표)'!F:F)*D83+SUMIF('창고2(실사표)'!B:B,재고차이!A:A,'창고2(실사표)'!F:F)*D83+SUMIF('믹스(잔량실사표)'!B:B,재고차이!A:A,'믹스(잔량실사표)'!F:F)*D83</f>
        <v/>
      </c>
      <c r="G83" s="245">
        <f>SUMIF('창고1(실사표)'!B:B,재고차이!A:A,'창고1(실사표)'!E:E)*E83+SUMIF('창고2(실사표)'!B:B,재고차이!A:A,'창고2(실사표)'!E:E)*E83+SUMIF('믹스(잔량실사표)'!B:B,재고차이!A:A,'믹스(잔량실사표)'!E:E)*E83+SUMIF('창고3(실사표)'!B:B,재고차이!A:A,'창고3(실사표)'!E:E)*E83</f>
        <v/>
      </c>
      <c r="H8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8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83" s="245">
        <f>SUM(F83:I83)</f>
        <v/>
      </c>
      <c r="K83" s="245">
        <f>SUMIF('SAP(B117)'!B:B,재고차이!B:B,'SAP(B117)'!Q:Q)</f>
        <v/>
      </c>
      <c r="L83" s="245">
        <f>SUMIF(주간상차!A:A,재고차이!A:A,주간상차!E:E)</f>
        <v/>
      </c>
      <c r="M83" s="246">
        <f>J83-K83-L83-N83+O83+Q83</f>
        <v/>
      </c>
      <c r="N83" s="274" t="n"/>
      <c r="O83" s="275" t="n"/>
      <c r="P83" s="276" t="n"/>
      <c r="Q83" s="277">
        <f>SUMIF(파손품!D:D,재고차이!B:B,파손품!I:I)+SUMIF(동파파손!D:D,재고차이!B:B,동파파손!I:I)</f>
        <v/>
      </c>
      <c r="R83" s="0">
        <f>M83/E83</f>
        <v/>
      </c>
    </row>
    <row r="84" ht="18.75" customHeight="1" s="237">
      <c r="A84" s="9" t="n">
        <v>5640</v>
      </c>
      <c r="B84" s="9">
        <f>VLOOKUP(A:A,제품등록!A:B,2,0)</f>
        <v/>
      </c>
      <c r="C84" s="29">
        <f>VLOOKUP(B84,제품등록!B:C,2,0)</f>
        <v/>
      </c>
      <c r="D84" s="9" t="n"/>
      <c r="E84" s="9" t="n">
        <v>80</v>
      </c>
      <c r="F84" s="245">
        <f>SUMIF('창고1(실사표)'!B:B,재고차이!A:A,'창고1(실사표)'!F:F)*D84+SUMIF('창고2(실사표)'!B:B,재고차이!A:A,'창고2(실사표)'!F:F)*D84+SUMIF('믹스(잔량실사표)'!B:B,재고차이!A:A,'믹스(잔량실사표)'!F:F)*D84</f>
        <v/>
      </c>
      <c r="G84" s="245">
        <f>SUMIF('창고1(실사표)'!B:B,재고차이!A:A,'창고1(실사표)'!E:E)*E84+SUMIF('창고2(실사표)'!B:B,재고차이!A:A,'창고2(실사표)'!E:E)*E84+SUMIF('믹스(잔량실사표)'!B:B,재고차이!A:A,'믹스(잔량실사표)'!E:E)*E84+SUMIF('창고3(실사표)'!B:B,재고차이!A:A,'창고3(실사표)'!E:E)*E84</f>
        <v/>
      </c>
      <c r="H8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8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84" s="245">
        <f>SUM(F84:I84)</f>
        <v/>
      </c>
      <c r="K84" s="245">
        <f>SUMIF('SAP(B117)'!B:B,재고차이!B:B,'SAP(B117)'!Q:Q)</f>
        <v/>
      </c>
      <c r="L84" s="245">
        <f>SUMIF(주간상차!A:A,재고차이!A:A,주간상차!E:E)</f>
        <v/>
      </c>
      <c r="M84" s="246">
        <f>J84-K84-L84-N84+O84+Q84</f>
        <v/>
      </c>
      <c r="N84" s="274" t="n"/>
      <c r="O84" s="275" t="n"/>
      <c r="P84" s="276" t="n"/>
      <c r="Q84" s="277">
        <f>SUMIF(파손품!D:D,재고차이!B:B,파손품!I:I)+SUMIF(동파파손!D:D,재고차이!B:B,동파파손!I:I)</f>
        <v/>
      </c>
      <c r="R84" s="0">
        <f>M84/E84</f>
        <v/>
      </c>
    </row>
    <row r="85" ht="18.75" customHeight="1" s="237">
      <c r="A85" s="9" t="n">
        <v>5641</v>
      </c>
      <c r="B85" s="9">
        <f>VLOOKUP(A:A,제품등록!A:B,2,0)</f>
        <v/>
      </c>
      <c r="C85" s="29">
        <f>VLOOKUP(B85,제품등록!B:C,2,0)</f>
        <v/>
      </c>
      <c r="D85" s="9" t="n"/>
      <c r="E85" s="9" t="n">
        <v>108</v>
      </c>
      <c r="F85" s="245">
        <f>SUMIF('창고1(실사표)'!B:B,재고차이!A:A,'창고1(실사표)'!F:F)*D85+SUMIF('창고2(실사표)'!B:B,재고차이!A:A,'창고2(실사표)'!F:F)*D85+SUMIF('믹스(잔량실사표)'!B:B,재고차이!A:A,'믹스(잔량실사표)'!F:F)*D85</f>
        <v/>
      </c>
      <c r="G85" s="245">
        <f>SUMIF('창고1(실사표)'!B:B,재고차이!A:A,'창고1(실사표)'!E:E)*E85+SUMIF('창고2(실사표)'!B:B,재고차이!A:A,'창고2(실사표)'!E:E)*E85+SUMIF('믹스(잔량실사표)'!B:B,재고차이!A:A,'믹스(잔량실사표)'!E:E)*E85+SUMIF('창고3(실사표)'!B:B,재고차이!A:A,'창고3(실사표)'!E:E)*E85</f>
        <v/>
      </c>
      <c r="H8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8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85" s="245">
        <f>SUM(F85:I85)</f>
        <v/>
      </c>
      <c r="K85" s="245">
        <f>SUMIF('SAP(B117)'!B:B,재고차이!B:B,'SAP(B117)'!Q:Q)</f>
        <v/>
      </c>
      <c r="L85" s="245">
        <f>SUMIF(주간상차!A:A,재고차이!A:A,주간상차!E:E)</f>
        <v/>
      </c>
      <c r="M85" s="246">
        <f>J85-K85-L85-N85+O85+Q85</f>
        <v/>
      </c>
      <c r="N85" s="274" t="n"/>
      <c r="O85" s="275" t="n"/>
      <c r="P85" s="276" t="n"/>
      <c r="Q85" s="277">
        <f>SUMIF(파손품!D:D,재고차이!B:B,파손품!I:I)+SUMIF(동파파손!D:D,재고차이!B:B,동파파손!I:I)</f>
        <v/>
      </c>
      <c r="R85" s="0">
        <f>M85/E85</f>
        <v/>
      </c>
    </row>
    <row r="86" ht="18.75" customHeight="1" s="237">
      <c r="A86" s="9" t="n">
        <v>5643</v>
      </c>
      <c r="B86" s="9">
        <f>VLOOKUP(A:A,제품등록!A:B,2,0)</f>
        <v/>
      </c>
      <c r="C86" s="29">
        <f>VLOOKUP(B86,제품등록!B:C,2,0)</f>
        <v/>
      </c>
      <c r="D86" s="9" t="n"/>
      <c r="E86" s="9" t="n">
        <v>108</v>
      </c>
      <c r="F86" s="245">
        <f>SUMIF('창고1(실사표)'!B:B,재고차이!A:A,'창고1(실사표)'!F:F)*D86+SUMIF('창고2(실사표)'!B:B,재고차이!A:A,'창고2(실사표)'!F:F)*D86+SUMIF('믹스(잔량실사표)'!B:B,재고차이!A:A,'믹스(잔량실사표)'!F:F)*D86</f>
        <v/>
      </c>
      <c r="G86" s="245">
        <f>SUMIF('창고1(실사표)'!B:B,재고차이!A:A,'창고1(실사표)'!E:E)*E86+SUMIF('창고2(실사표)'!B:B,재고차이!A:A,'창고2(실사표)'!E:E)*E86+SUMIF('믹스(잔량실사표)'!B:B,재고차이!A:A,'믹스(잔량실사표)'!E:E)*E86+SUMIF('창고3(실사표)'!B:B,재고차이!A:A,'창고3(실사표)'!E:E)*E86</f>
        <v/>
      </c>
      <c r="H8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8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86" s="245">
        <f>SUM(F86:I86)</f>
        <v/>
      </c>
      <c r="K86" s="245">
        <f>SUMIF('SAP(B117)'!B:B,재고차이!B:B,'SAP(B117)'!Q:Q)</f>
        <v/>
      </c>
      <c r="L86" s="245">
        <f>SUMIF(주간상차!A:A,재고차이!A:A,주간상차!E:E)</f>
        <v/>
      </c>
      <c r="M86" s="246">
        <f>J86-K86-L86-N86+O86+Q86</f>
        <v/>
      </c>
      <c r="N86" s="274" t="n"/>
      <c r="O86" s="275" t="n"/>
      <c r="P86" s="276" t="n"/>
      <c r="Q86" s="277">
        <f>SUMIF(파손품!D:D,재고차이!B:B,파손품!I:I)+SUMIF(동파파손!D:D,재고차이!B:B,동파파손!I:I)</f>
        <v/>
      </c>
      <c r="R86" s="0">
        <f>M86/E86</f>
        <v/>
      </c>
    </row>
    <row r="87" ht="18.75" customHeight="1" s="237">
      <c r="A87" s="9" t="n">
        <v>5651</v>
      </c>
      <c r="B87" s="9">
        <f>VLOOKUP(A:A,제품등록!A:B,2,0)</f>
        <v/>
      </c>
      <c r="C87" s="29">
        <f>VLOOKUP(B87,제품등록!B:C,2,0)</f>
        <v/>
      </c>
      <c r="D87" s="9" t="n"/>
      <c r="E87" s="9" t="n">
        <v>96</v>
      </c>
      <c r="F87" s="245">
        <f>SUMIF('창고1(실사표)'!B:B,재고차이!A:A,'창고1(실사표)'!F:F)*D87+SUMIF('창고2(실사표)'!B:B,재고차이!A:A,'창고2(실사표)'!F:F)*D87+SUMIF('믹스(잔량실사표)'!B:B,재고차이!A:A,'믹스(잔량실사표)'!F:F)*D87</f>
        <v/>
      </c>
      <c r="G87" s="245">
        <f>SUMIF('창고1(실사표)'!B:B,재고차이!A:A,'창고1(실사표)'!E:E)*E87+SUMIF('창고2(실사표)'!B:B,재고차이!A:A,'창고2(실사표)'!E:E)*E87+SUMIF('믹스(잔량실사표)'!B:B,재고차이!A:A,'믹스(잔량실사표)'!E:E)*E87+SUMIF('창고3(실사표)'!B:B,재고차이!A:A,'창고3(실사표)'!E:E)*E87</f>
        <v/>
      </c>
      <c r="H8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8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87" s="245">
        <f>SUM(F87:I87)</f>
        <v/>
      </c>
      <c r="K87" s="245">
        <f>SUMIF('SAP(B117)'!B:B,재고차이!B:B,'SAP(B117)'!Q:Q)</f>
        <v/>
      </c>
      <c r="L87" s="245">
        <f>SUMIF(주간상차!A:A,재고차이!A:A,주간상차!E:E)</f>
        <v/>
      </c>
      <c r="M87" s="246">
        <f>J87-K87-L87-N87+O87+Q87</f>
        <v/>
      </c>
      <c r="N87" s="274" t="n"/>
      <c r="O87" s="275" t="n"/>
      <c r="P87" s="276" t="n"/>
      <c r="Q87" s="277">
        <f>SUMIF(파손품!D:D,재고차이!B:B,파손품!I:I)+SUMIF(동파파손!D:D,재고차이!B:B,동파파손!I:I)</f>
        <v/>
      </c>
      <c r="R87" s="0">
        <f>M87/E87</f>
        <v/>
      </c>
    </row>
    <row r="88" ht="18.75" customHeight="1" s="237">
      <c r="A88" s="9" t="n">
        <v>5654</v>
      </c>
      <c r="B88" s="9">
        <f>VLOOKUP(A:A,제품등록!A:B,2,0)</f>
        <v/>
      </c>
      <c r="C88" s="29">
        <f>VLOOKUP(B88,제품등록!B:C,2,0)</f>
        <v/>
      </c>
      <c r="D88" s="9" t="n"/>
      <c r="E88" s="9" t="n">
        <v>108</v>
      </c>
      <c r="F88" s="245">
        <f>SUMIF('창고1(실사표)'!B:B,재고차이!A:A,'창고1(실사표)'!F:F)*D88+SUMIF('창고2(실사표)'!B:B,재고차이!A:A,'창고2(실사표)'!F:F)*D88+SUMIF('믹스(잔량실사표)'!B:B,재고차이!A:A,'믹스(잔량실사표)'!F:F)*D88</f>
        <v/>
      </c>
      <c r="G88" s="245">
        <f>SUMIF('창고1(실사표)'!B:B,재고차이!A:A,'창고1(실사표)'!E:E)*E88+SUMIF('창고2(실사표)'!B:B,재고차이!A:A,'창고2(실사표)'!E:E)*E88+SUMIF('믹스(잔량실사표)'!B:B,재고차이!A:A,'믹스(잔량실사표)'!E:E)*E88+SUMIF('창고3(실사표)'!B:B,재고차이!A:A,'창고3(실사표)'!E:E)*E88</f>
        <v/>
      </c>
      <c r="H8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8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88" s="245">
        <f>SUM(F88:I88)</f>
        <v/>
      </c>
      <c r="K88" s="245">
        <f>SUMIF('SAP(B117)'!B:B,재고차이!B:B,'SAP(B117)'!Q:Q)</f>
        <v/>
      </c>
      <c r="L88" s="245">
        <f>SUMIF(주간상차!A:A,재고차이!A:A,주간상차!E:E)</f>
        <v/>
      </c>
      <c r="M88" s="246">
        <f>J88-K88-L88-N88+O88+Q88</f>
        <v/>
      </c>
      <c r="N88" s="274" t="n"/>
      <c r="O88" s="275" t="n"/>
      <c r="P88" s="276" t="n"/>
      <c r="Q88" s="277">
        <f>SUMIF(파손품!D:D,재고차이!B:B,파손품!I:I)+SUMIF(동파파손!D:D,재고차이!B:B,동파파손!I:I)</f>
        <v/>
      </c>
      <c r="R88" s="0">
        <f>M88/E88</f>
        <v/>
      </c>
    </row>
    <row r="89" ht="18.75" customHeight="1" s="237">
      <c r="A89" s="9" t="n">
        <v>5656</v>
      </c>
      <c r="B89" s="9">
        <f>VLOOKUP(A:A,제품등록!A:B,2,0)</f>
        <v/>
      </c>
      <c r="C89" s="29">
        <f>VLOOKUP(B89,제품등록!B:C,2,0)</f>
        <v/>
      </c>
      <c r="D89" s="9" t="n"/>
      <c r="E89" s="9" t="n">
        <v>108</v>
      </c>
      <c r="F89" s="245">
        <f>SUMIF('창고1(실사표)'!B:B,재고차이!A:A,'창고1(실사표)'!F:F)*D89+SUMIF('창고2(실사표)'!B:B,재고차이!A:A,'창고2(실사표)'!F:F)*D89+SUMIF('믹스(잔량실사표)'!B:B,재고차이!A:A,'믹스(잔량실사표)'!F:F)*D89</f>
        <v/>
      </c>
      <c r="G89" s="245">
        <f>SUMIF('창고1(실사표)'!B:B,재고차이!A:A,'창고1(실사표)'!E:E)*E89+SUMIF('창고2(실사표)'!B:B,재고차이!A:A,'창고2(실사표)'!E:E)*E89+SUMIF('믹스(잔량실사표)'!B:B,재고차이!A:A,'믹스(잔량실사표)'!E:E)*E89+SUMIF('창고3(실사표)'!B:B,재고차이!A:A,'창고3(실사표)'!E:E)*E89</f>
        <v/>
      </c>
      <c r="H8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8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89" s="245">
        <f>SUM(F89:I89)</f>
        <v/>
      </c>
      <c r="K89" s="245">
        <f>SUMIF('SAP(B117)'!B:B,재고차이!B:B,'SAP(B117)'!Q:Q)</f>
        <v/>
      </c>
      <c r="L89" s="245">
        <f>SUMIF(주간상차!A:A,재고차이!A:A,주간상차!E:E)</f>
        <v/>
      </c>
      <c r="M89" s="246">
        <f>J89-K89-L89-N89+O89+Q89</f>
        <v/>
      </c>
      <c r="N89" s="274" t="n"/>
      <c r="O89" s="275" t="n"/>
      <c r="P89" s="276" t="n"/>
      <c r="Q89" s="277">
        <f>SUMIF(파손품!D:D,재고차이!B:B,파손품!I:I)+SUMIF(동파파손!D:D,재고차이!B:B,동파파손!I:I)</f>
        <v/>
      </c>
      <c r="R89" s="0">
        <f>M89/E89</f>
        <v/>
      </c>
    </row>
    <row r="90" ht="18.75" customHeight="1" s="237">
      <c r="A90" s="9" t="n">
        <v>5662</v>
      </c>
      <c r="B90" s="9">
        <f>VLOOKUP(A:A,제품등록!A:B,2,0)</f>
        <v/>
      </c>
      <c r="C90" s="29">
        <f>VLOOKUP(B90,제품등록!B:C,2,0)</f>
        <v/>
      </c>
      <c r="D90" s="9" t="n"/>
      <c r="E90" s="9" t="n">
        <v>108</v>
      </c>
      <c r="F90" s="245">
        <f>SUMIF('창고1(실사표)'!B:B,재고차이!A:A,'창고1(실사표)'!F:F)*D90+SUMIF('창고2(실사표)'!B:B,재고차이!A:A,'창고2(실사표)'!F:F)*D90+SUMIF('믹스(잔량실사표)'!B:B,재고차이!A:A,'믹스(잔량실사표)'!F:F)*D90</f>
        <v/>
      </c>
      <c r="G90" s="245">
        <f>SUMIF('창고1(실사표)'!B:B,재고차이!A:A,'창고1(실사표)'!E:E)*E90+SUMIF('창고2(실사표)'!B:B,재고차이!A:A,'창고2(실사표)'!E:E)*E90+SUMIF('믹스(잔량실사표)'!B:B,재고차이!A:A,'믹스(잔량실사표)'!E:E)*E90+SUMIF('창고3(실사표)'!B:B,재고차이!A:A,'창고3(실사표)'!E:E)*E90</f>
        <v/>
      </c>
      <c r="H9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9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90" s="245">
        <f>SUM(F90:I90)</f>
        <v/>
      </c>
      <c r="K90" s="245">
        <f>SUMIF('SAP(B117)'!B:B,재고차이!B:B,'SAP(B117)'!Q:Q)</f>
        <v/>
      </c>
      <c r="L90" s="245">
        <f>SUMIF(주간상차!A:A,재고차이!A:A,주간상차!E:E)</f>
        <v/>
      </c>
      <c r="M90" s="246">
        <f>J90-K90-L90-N90+O90+Q90</f>
        <v/>
      </c>
      <c r="N90" s="274" t="n"/>
      <c r="O90" s="275" t="n"/>
      <c r="P90" s="276" t="n"/>
      <c r="Q90" s="277">
        <f>SUMIF(파손품!D:D,재고차이!B:B,파손품!I:I)+SUMIF(동파파손!D:D,재고차이!B:B,동파파손!I:I)</f>
        <v/>
      </c>
      <c r="R90" s="0">
        <f>M90/E90</f>
        <v/>
      </c>
    </row>
    <row r="91" ht="18.75" customHeight="1" s="237">
      <c r="A91" s="9" t="n">
        <v>5664</v>
      </c>
      <c r="B91" s="9">
        <f>VLOOKUP(A:A,제품등록!A:B,2,0)</f>
        <v/>
      </c>
      <c r="C91" s="29">
        <f>VLOOKUP(B91,제품등록!B:C,2,0)</f>
        <v/>
      </c>
      <c r="D91" s="9" t="n"/>
      <c r="E91" s="9" t="n">
        <v>108</v>
      </c>
      <c r="F91" s="245">
        <f>SUMIF('창고1(실사표)'!B:B,재고차이!A:A,'창고1(실사표)'!F:F)*D91+SUMIF('창고2(실사표)'!B:B,재고차이!A:A,'창고2(실사표)'!F:F)*D91+SUMIF('믹스(잔량실사표)'!B:B,재고차이!A:A,'믹스(잔량실사표)'!F:F)*D91</f>
        <v/>
      </c>
      <c r="G91" s="245">
        <f>SUMIF('창고1(실사표)'!B:B,재고차이!A:A,'창고1(실사표)'!E:E)*E91+SUMIF('창고2(실사표)'!B:B,재고차이!A:A,'창고2(실사표)'!E:E)*E91+SUMIF('믹스(잔량실사표)'!B:B,재고차이!A:A,'믹스(잔량실사표)'!E:E)*E91+SUMIF('창고3(실사표)'!B:B,재고차이!A:A,'창고3(실사표)'!E:E)*E91</f>
        <v/>
      </c>
      <c r="H9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9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91" s="245">
        <f>SUM(F91:I91)</f>
        <v/>
      </c>
      <c r="K91" s="245">
        <f>SUMIF('SAP(B117)'!B:B,재고차이!B:B,'SAP(B117)'!Q:Q)</f>
        <v/>
      </c>
      <c r="L91" s="245">
        <f>SUMIF(주간상차!A:A,재고차이!A:A,주간상차!E:E)</f>
        <v/>
      </c>
      <c r="M91" s="246">
        <f>J91-K91-L91-N91+O91+Q91</f>
        <v/>
      </c>
      <c r="N91" s="274" t="n"/>
      <c r="O91" s="275" t="n"/>
      <c r="P91" s="276" t="n"/>
      <c r="Q91" s="277">
        <f>SUMIF(파손품!D:D,재고차이!B:B,파손품!I:I)+SUMIF(동파파손!D:D,재고차이!B:B,동파파손!I:I)</f>
        <v/>
      </c>
      <c r="R91" s="0">
        <f>M91/E91</f>
        <v/>
      </c>
    </row>
    <row r="92" ht="18.75" customHeight="1" s="237">
      <c r="A92" s="9" t="n">
        <v>5668</v>
      </c>
      <c r="B92" s="9">
        <f>VLOOKUP(A:A,제품등록!A:B,2,0)</f>
        <v/>
      </c>
      <c r="C92" s="29">
        <f>VLOOKUP(B92,제품등록!B:C,2,0)</f>
        <v/>
      </c>
      <c r="D92" s="9" t="n"/>
      <c r="E92" s="9" t="n">
        <v>108</v>
      </c>
      <c r="F92" s="245">
        <f>SUMIF('창고1(실사표)'!B:B,재고차이!A:A,'창고1(실사표)'!F:F)*D92+SUMIF('창고2(실사표)'!B:B,재고차이!A:A,'창고2(실사표)'!F:F)*D92+SUMIF('믹스(잔량실사표)'!B:B,재고차이!A:A,'믹스(잔량실사표)'!F:F)*D92</f>
        <v/>
      </c>
      <c r="G92" s="245">
        <f>SUMIF('창고1(실사표)'!B:B,재고차이!A:A,'창고1(실사표)'!E:E)*E92+SUMIF('창고2(실사표)'!B:B,재고차이!A:A,'창고2(실사표)'!E:E)*E92+SUMIF('믹스(잔량실사표)'!B:B,재고차이!A:A,'믹스(잔량실사표)'!E:E)*E92+SUMIF('창고3(실사표)'!B:B,재고차이!A:A,'창고3(실사표)'!E:E)*E92</f>
        <v/>
      </c>
      <c r="H9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9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92" s="245">
        <f>SUM(F92:I92)</f>
        <v/>
      </c>
      <c r="K92" s="245">
        <f>SUMIF('SAP(B117)'!B:B,재고차이!B:B,'SAP(B117)'!Q:Q)</f>
        <v/>
      </c>
      <c r="L92" s="245">
        <f>SUMIF(주간상차!A:A,재고차이!A:A,주간상차!E:E)</f>
        <v/>
      </c>
      <c r="M92" s="246">
        <f>J92-K92-L92-N92+O92+Q92</f>
        <v/>
      </c>
      <c r="N92" s="274" t="n"/>
      <c r="O92" s="275" t="n"/>
      <c r="P92" s="276" t="n"/>
      <c r="Q92" s="277">
        <f>SUMIF(파손품!D:D,재고차이!B:B,파손품!I:I)+SUMIF(동파파손!D:D,재고차이!B:B,동파파손!I:I)</f>
        <v/>
      </c>
      <c r="R92" s="0">
        <f>M92/E92</f>
        <v/>
      </c>
    </row>
    <row r="93" ht="18.75" customHeight="1" s="237">
      <c r="A93" s="9" t="n">
        <v>5672</v>
      </c>
      <c r="B93" s="9">
        <f>VLOOKUP(A:A,제품등록!A:B,2,0)</f>
        <v/>
      </c>
      <c r="C93" s="29">
        <f>VLOOKUP(B93,제품등록!B:C,2,0)</f>
        <v/>
      </c>
      <c r="D93" s="9" t="n"/>
      <c r="E93" s="9" t="n">
        <v>70</v>
      </c>
      <c r="F93" s="245">
        <f>SUMIF('창고1(실사표)'!B:B,재고차이!A:A,'창고1(실사표)'!F:F)*D93+SUMIF('창고2(실사표)'!B:B,재고차이!A:A,'창고2(실사표)'!F:F)*D93+SUMIF('믹스(잔량실사표)'!B:B,재고차이!A:A,'믹스(잔량실사표)'!F:F)*D93</f>
        <v/>
      </c>
      <c r="G93" s="245">
        <f>SUMIF('창고1(실사표)'!B:B,재고차이!A:A,'창고1(실사표)'!E:E)*E93+SUMIF('창고2(실사표)'!B:B,재고차이!A:A,'창고2(실사표)'!E:E)*E93+SUMIF('믹스(잔량실사표)'!B:B,재고차이!A:A,'믹스(잔량실사표)'!E:E)*E93+SUMIF('창고3(실사표)'!B:B,재고차이!A:A,'창고3(실사표)'!E:E)*E93</f>
        <v/>
      </c>
      <c r="H9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9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93" s="245">
        <f>SUM(F93:I93)</f>
        <v/>
      </c>
      <c r="K93" s="245">
        <f>SUMIF('SAP(B117)'!B:B,재고차이!B:B,'SAP(B117)'!Q:Q)</f>
        <v/>
      </c>
      <c r="L93" s="245">
        <f>SUMIF(주간상차!A:A,재고차이!A:A,주간상차!E:E)</f>
        <v/>
      </c>
      <c r="M93" s="246">
        <f>J93-K93-L93-N93+O93+Q93</f>
        <v/>
      </c>
      <c r="N93" s="274" t="n"/>
      <c r="O93" s="275" t="n"/>
      <c r="P93" s="276" t="n"/>
      <c r="Q93" s="277">
        <f>SUMIF(파손품!D:D,재고차이!B:B,파손품!I:I)+SUMIF(동파파손!D:D,재고차이!B:B,동파파손!I:I)</f>
        <v/>
      </c>
      <c r="R93" s="0">
        <f>M93/E93</f>
        <v/>
      </c>
    </row>
    <row r="94" ht="18.75" customHeight="1" s="237">
      <c r="A94" s="9" t="n">
        <v>5673</v>
      </c>
      <c r="B94" s="9">
        <f>VLOOKUP(A:A,제품등록!A:B,2,0)</f>
        <v/>
      </c>
      <c r="C94" s="29">
        <f>VLOOKUP(B94,제품등록!B:C,2,0)</f>
        <v/>
      </c>
      <c r="D94" s="9" t="n"/>
      <c r="E94" s="9" t="n">
        <v>70</v>
      </c>
      <c r="F94" s="245">
        <f>SUMIF('창고1(실사표)'!B:B,재고차이!A:A,'창고1(실사표)'!F:F)*D94+SUMIF('창고2(실사표)'!B:B,재고차이!A:A,'창고2(실사표)'!F:F)*D94+SUMIF('믹스(잔량실사표)'!B:B,재고차이!A:A,'믹스(잔량실사표)'!F:F)*D94</f>
        <v/>
      </c>
      <c r="G94" s="245">
        <f>SUMIF('창고1(실사표)'!B:B,재고차이!A:A,'창고1(실사표)'!E:E)*E94+SUMIF('창고2(실사표)'!B:B,재고차이!A:A,'창고2(실사표)'!E:E)*E94+SUMIF('믹스(잔량실사표)'!B:B,재고차이!A:A,'믹스(잔량실사표)'!E:E)*E94+SUMIF('창고3(실사표)'!B:B,재고차이!A:A,'창고3(실사표)'!E:E)*E94</f>
        <v/>
      </c>
      <c r="H9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9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94" s="245">
        <f>SUM(F94:I94)</f>
        <v/>
      </c>
      <c r="K94" s="245">
        <f>SUMIF('SAP(B117)'!B:B,재고차이!B:B,'SAP(B117)'!Q:Q)</f>
        <v/>
      </c>
      <c r="L94" s="245">
        <f>SUMIF(주간상차!A:A,재고차이!A:A,주간상차!E:E)</f>
        <v/>
      </c>
      <c r="M94" s="246">
        <f>J94-K94-L94-N94+O94+Q94</f>
        <v/>
      </c>
      <c r="N94" s="274" t="n"/>
      <c r="O94" s="275" t="n"/>
      <c r="P94" s="276" t="n"/>
      <c r="Q94" s="277">
        <f>SUMIF(파손품!D:D,재고차이!B:B,파손품!I:I)+SUMIF(동파파손!D:D,재고차이!B:B,동파파손!I:I)</f>
        <v/>
      </c>
      <c r="R94" s="0">
        <f>M94/E94</f>
        <v/>
      </c>
    </row>
    <row r="95" ht="18.75" customHeight="1" s="237">
      <c r="A95" s="9" t="n">
        <v>5676</v>
      </c>
      <c r="B95" s="9" t="inlineStr">
        <is>
          <t>MO5676</t>
        </is>
      </c>
      <c r="C95" s="29">
        <f>VLOOKUP(B95,제품등록!B:C,2,0)</f>
        <v/>
      </c>
      <c r="D95" s="9" t="n"/>
      <c r="E95" s="9" t="n">
        <v>108</v>
      </c>
      <c r="F95" s="245">
        <f>SUMIF('창고1(실사표)'!B:B,재고차이!A:A,'창고1(실사표)'!F:F)*D95+SUMIF('창고2(실사표)'!B:B,재고차이!A:A,'창고2(실사표)'!F:F)*D95+SUMIF('믹스(잔량실사표)'!B:B,재고차이!A:A,'믹스(잔량실사표)'!F:F)*D95</f>
        <v/>
      </c>
      <c r="G95" s="245">
        <f>SUMIF('창고1(실사표)'!B:B,재고차이!A:A,'창고1(실사표)'!E:E)*E95+SUMIF('창고2(실사표)'!B:B,재고차이!A:A,'창고2(실사표)'!E:E)*E95+SUMIF('믹스(잔량실사표)'!B:B,재고차이!A:A,'믹스(잔량실사표)'!E:E)*E95+SUMIF('창고3(실사표)'!B:B,재고차이!A:A,'창고3(실사표)'!E:E)*E95</f>
        <v/>
      </c>
      <c r="H9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9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95" s="245">
        <f>SUM(F95:I95)</f>
        <v/>
      </c>
      <c r="K95" s="245">
        <f>SUMIF('SAP(B117)'!B:B,재고차이!B:B,'SAP(B117)'!Q:Q)</f>
        <v/>
      </c>
      <c r="L95" s="245">
        <f>SUMIF(주간상차!A:A,재고차이!A:A,주간상차!E:E)</f>
        <v/>
      </c>
      <c r="M95" s="246">
        <f>J95-K95-L95-N95+O95+Q95</f>
        <v/>
      </c>
      <c r="N95" s="274" t="n"/>
      <c r="O95" s="275" t="n"/>
      <c r="P95" s="276" t="n"/>
      <c r="Q95" s="277">
        <f>SUMIF(파손품!D:D,재고차이!B:B,파손품!I:I)+SUMIF(동파파손!D:D,재고차이!B:B,동파파손!I:I)</f>
        <v/>
      </c>
      <c r="R95" s="0">
        <f>M95/E95</f>
        <v/>
      </c>
    </row>
    <row r="96" ht="18.75" customHeight="1" s="237">
      <c r="A96" s="9" t="n">
        <v>5679</v>
      </c>
      <c r="B96" s="9">
        <f>VLOOKUP(A:A,제품등록!A:B,2,0)</f>
        <v/>
      </c>
      <c r="C96" s="29">
        <f>VLOOKUP(B96,제품등록!B:C,2,0)</f>
        <v/>
      </c>
      <c r="D96" s="9" t="n"/>
      <c r="E96" s="9" t="n">
        <v>108</v>
      </c>
      <c r="F96" s="245">
        <f>SUMIF('창고1(실사표)'!B:B,재고차이!A:A,'창고1(실사표)'!F:F)*D96+SUMIF('창고2(실사표)'!B:B,재고차이!A:A,'창고2(실사표)'!F:F)*D96+SUMIF('믹스(잔량실사표)'!B:B,재고차이!A:A,'믹스(잔량실사표)'!F:F)*D96</f>
        <v/>
      </c>
      <c r="G96" s="245">
        <f>SUMIF('창고1(실사표)'!B:B,재고차이!A:A,'창고1(실사표)'!E:E)*E96+SUMIF('창고2(실사표)'!B:B,재고차이!A:A,'창고2(실사표)'!E:E)*E96+SUMIF('믹스(잔량실사표)'!B:B,재고차이!A:A,'믹스(잔량실사표)'!E:E)*E96+SUMIF('창고3(실사표)'!B:B,재고차이!A:A,'창고3(실사표)'!E:E)*E96</f>
        <v/>
      </c>
      <c r="H9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9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96" s="245">
        <f>SUM(F96:I96)</f>
        <v/>
      </c>
      <c r="K96" s="245">
        <f>SUMIF('SAP(B117)'!B:B,재고차이!B:B,'SAP(B117)'!Q:Q)</f>
        <v/>
      </c>
      <c r="L96" s="245">
        <f>SUMIF(주간상차!A:A,재고차이!A:A,주간상차!E:E)</f>
        <v/>
      </c>
      <c r="M96" s="246">
        <f>J96-K96-L96-N96+O96+Q96</f>
        <v/>
      </c>
      <c r="N96" s="274" t="n"/>
      <c r="O96" s="275" t="n"/>
      <c r="P96" s="276" t="n"/>
      <c r="Q96" s="277">
        <f>SUMIF(파손품!D:D,재고차이!B:B,파손품!I:I)+SUMIF(동파파손!D:D,재고차이!B:B,동파파손!I:I)</f>
        <v/>
      </c>
      <c r="R96" s="0">
        <f>M96/E96</f>
        <v/>
      </c>
    </row>
    <row r="97" ht="18.75" customHeight="1" s="237">
      <c r="A97" s="9" t="n">
        <v>5700</v>
      </c>
      <c r="B97" s="9">
        <f>VLOOKUP(A:A,제품등록!A:B,2,0)</f>
        <v/>
      </c>
      <c r="C97" s="29">
        <f>VLOOKUP(B97,제품등록!B:C,2,0)</f>
        <v/>
      </c>
      <c r="D97" s="9" t="n">
        <v>72</v>
      </c>
      <c r="E97" s="9" t="n">
        <v>108</v>
      </c>
      <c r="F97" s="245">
        <f>SUMIF('창고1(실사표)'!B:B,재고차이!A:A,'창고1(실사표)'!F:F)*D97+SUMIF('창고2(실사표)'!B:B,재고차이!A:A,'창고2(실사표)'!F:F)*D97+SUMIF('믹스(잔량실사표)'!B:B,재고차이!A:A,'믹스(잔량실사표)'!F:F)*D97</f>
        <v/>
      </c>
      <c r="G97" s="245">
        <f>SUMIF('창고1(실사표)'!B:B,재고차이!A:A,'창고1(실사표)'!E:E)*E97+SUMIF('창고2(실사표)'!B:B,재고차이!A:A,'창고2(실사표)'!E:E)*E97+SUMIF('믹스(잔량실사표)'!B:B,재고차이!A:A,'믹스(잔량실사표)'!E:E)*E97+SUMIF('창고3(실사표)'!B:B,재고차이!A:A,'창고3(실사표)'!E:E)*E97</f>
        <v/>
      </c>
      <c r="H9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9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97" s="245">
        <f>SUM(F97:I97)</f>
        <v/>
      </c>
      <c r="K97" s="245">
        <f>SUMIF('SAP(B117)'!B:B,재고차이!B:B,'SAP(B117)'!Q:Q)</f>
        <v/>
      </c>
      <c r="L97" s="245">
        <f>SUMIF(주간상차!A:A,재고차이!A:A,주간상차!E:E)</f>
        <v/>
      </c>
      <c r="M97" s="246">
        <f>J97-K97-L97-N97+O97+Q97</f>
        <v/>
      </c>
      <c r="N97" s="274" t="n"/>
      <c r="O97" s="275" t="n"/>
      <c r="P97" s="276" t="n"/>
      <c r="Q97" s="277">
        <f>SUMIF(파손품!D:D,재고차이!B:B,파손품!I:I)+SUMIF(동파파손!D:D,재고차이!B:B,동파파손!I:I)</f>
        <v/>
      </c>
      <c r="R97" s="0">
        <f>M97/E97</f>
        <v/>
      </c>
    </row>
    <row r="98" ht="18.75" customHeight="1" s="237">
      <c r="A98" s="9" t="n">
        <v>5714</v>
      </c>
      <c r="B98" s="9">
        <f>VLOOKUP(A:A,제품등록!A:B,2,0)</f>
        <v/>
      </c>
      <c r="C98" s="29">
        <f>VLOOKUP(B98,제품등록!B:C,2,0)</f>
        <v/>
      </c>
      <c r="D98" s="9" t="n">
        <v>72</v>
      </c>
      <c r="E98" s="9" t="n">
        <v>108</v>
      </c>
      <c r="F98" s="245">
        <f>SUMIF('창고1(실사표)'!B:B,재고차이!A:A,'창고1(실사표)'!F:F)*D98+SUMIF('창고2(실사표)'!B:B,재고차이!A:A,'창고2(실사표)'!F:F)*D98+SUMIF('믹스(잔량실사표)'!B:B,재고차이!A:A,'믹스(잔량실사표)'!F:F)*D98</f>
        <v/>
      </c>
      <c r="G98" s="245">
        <f>SUMIF('창고1(실사표)'!B:B,재고차이!A:A,'창고1(실사표)'!E:E)*E98+SUMIF('창고2(실사표)'!B:B,재고차이!A:A,'창고2(실사표)'!E:E)*E98+SUMIF('믹스(잔량실사표)'!B:B,재고차이!A:A,'믹스(잔량실사표)'!E:E)*E98+SUMIF('창고3(실사표)'!B:B,재고차이!A:A,'창고3(실사표)'!E:E)*E98</f>
        <v/>
      </c>
      <c r="H9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9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98" s="245">
        <f>SUM(F98:I98)</f>
        <v/>
      </c>
      <c r="K98" s="245">
        <f>SUMIF('SAP(B117)'!B:B,재고차이!B:B,'SAP(B117)'!Q:Q)</f>
        <v/>
      </c>
      <c r="L98" s="245">
        <f>SUMIF(주간상차!A:A,재고차이!A:A,주간상차!E:E)</f>
        <v/>
      </c>
      <c r="M98" s="246">
        <f>J98-K98-L98-N98+O98+Q98</f>
        <v/>
      </c>
      <c r="N98" s="274" t="n"/>
      <c r="O98" s="275" t="n"/>
      <c r="P98" s="276" t="n"/>
      <c r="Q98" s="277">
        <f>SUMIF(파손품!D:D,재고차이!B:B,파손품!I:I)+SUMIF(동파파손!D:D,재고차이!B:B,동파파손!I:I)</f>
        <v/>
      </c>
      <c r="R98" s="0">
        <f>M98/E98</f>
        <v/>
      </c>
    </row>
    <row r="99" ht="18.75" customHeight="1" s="237">
      <c r="A99" s="9" t="n">
        <v>5748</v>
      </c>
      <c r="B99" s="9">
        <f>VLOOKUP(A:A,제품등록!A:B,2,0)</f>
        <v/>
      </c>
      <c r="C99" s="29">
        <f>VLOOKUP(B99,제품등록!B:C,2,0)</f>
        <v/>
      </c>
      <c r="D99" s="9" t="n">
        <v>24</v>
      </c>
      <c r="E99" s="9" t="n">
        <v>32</v>
      </c>
      <c r="F99" s="245">
        <f>SUMIF('창고1(실사표)'!B:B,재고차이!A:A,'창고1(실사표)'!F:F)*D99+SUMIF('창고2(실사표)'!B:B,재고차이!A:A,'창고2(실사표)'!F:F)*D99+SUMIF('믹스(잔량실사표)'!B:B,재고차이!A:A,'믹스(잔량실사표)'!F:F)*D99</f>
        <v/>
      </c>
      <c r="G99" s="245">
        <f>SUMIF('창고1(실사표)'!B:B,재고차이!A:A,'창고1(실사표)'!E:E)*E99+SUMIF('창고2(실사표)'!B:B,재고차이!A:A,'창고2(실사표)'!E:E)*E99+SUMIF('믹스(잔량실사표)'!B:B,재고차이!A:A,'믹스(잔량실사표)'!E:E)*E99+SUMIF('창고3(실사표)'!B:B,재고차이!A:A,'창고3(실사표)'!E:E)*E99</f>
        <v/>
      </c>
      <c r="H9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9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99" s="245">
        <f>SUM(F99:I99)</f>
        <v/>
      </c>
      <c r="K99" s="245">
        <f>SUMIF('SAP(B117)'!B:B,재고차이!B:B,'SAP(B117)'!Q:Q)</f>
        <v/>
      </c>
      <c r="L99" s="245">
        <f>SUMIF(주간상차!A:A,재고차이!A:A,주간상차!E:E)</f>
        <v/>
      </c>
      <c r="M99" s="246">
        <f>J99-K99-L99-N99+O99+Q99</f>
        <v/>
      </c>
      <c r="N99" s="274" t="n"/>
      <c r="O99" s="275" t="n"/>
      <c r="P99" s="276" t="n"/>
      <c r="Q99" s="277">
        <f>SUMIF(파손품!D:D,재고차이!B:B,파손품!I:I)+SUMIF(동파파손!D:D,재고차이!B:B,동파파손!I:I)</f>
        <v/>
      </c>
      <c r="R99" s="0">
        <f>M99/E99</f>
        <v/>
      </c>
    </row>
    <row r="100" ht="18.75" customHeight="1" s="237">
      <c r="A100" s="9" t="n">
        <v>5749</v>
      </c>
      <c r="B100" s="9">
        <f>VLOOKUP(A:A,제품등록!A:B,2,0)</f>
        <v/>
      </c>
      <c r="C100" s="29">
        <f>VLOOKUP(B100,제품등록!B:C,2,0)</f>
        <v/>
      </c>
      <c r="D100" s="9" t="n">
        <v>36</v>
      </c>
      <c r="E100" s="9" t="n">
        <v>32</v>
      </c>
      <c r="F100" s="245">
        <f>SUMIF('창고1(실사표)'!B:B,재고차이!A:A,'창고1(실사표)'!F:F)*D100+SUMIF('창고2(실사표)'!B:B,재고차이!A:A,'창고2(실사표)'!F:F)*D100+SUMIF('믹스(잔량실사표)'!B:B,재고차이!A:A,'믹스(잔량실사표)'!F:F)*D100</f>
        <v/>
      </c>
      <c r="G100" s="245">
        <f>SUMIF('창고1(실사표)'!B:B,재고차이!A:A,'창고1(실사표)'!E:E)*E100+SUMIF('창고2(실사표)'!B:B,재고차이!A:A,'창고2(실사표)'!E:E)*E100+SUMIF('믹스(잔량실사표)'!B:B,재고차이!A:A,'믹스(잔량실사표)'!E:E)*E100+SUMIF('창고3(실사표)'!B:B,재고차이!A:A,'창고3(실사표)'!E:E)*E100</f>
        <v/>
      </c>
      <c r="H10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0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00" s="245">
        <f>SUM(F100:I100)</f>
        <v/>
      </c>
      <c r="K100" s="245">
        <f>SUMIF('SAP(B117)'!B:B,재고차이!B:B,'SAP(B117)'!Q:Q)</f>
        <v/>
      </c>
      <c r="L100" s="245">
        <f>SUMIF(주간상차!A:A,재고차이!A:A,주간상차!E:E)</f>
        <v/>
      </c>
      <c r="M100" s="246">
        <f>J100-K100-L100-N100+O100+Q100</f>
        <v/>
      </c>
      <c r="N100" s="274" t="n"/>
      <c r="O100" s="275" t="n"/>
      <c r="P100" s="276" t="n"/>
      <c r="Q100" s="277">
        <f>SUMIF(파손품!D:D,재고차이!B:B,파손품!I:I)+SUMIF(동파파손!D:D,재고차이!B:B,동파파손!I:I)</f>
        <v/>
      </c>
      <c r="R100" s="0">
        <f>M100/E100</f>
        <v/>
      </c>
    </row>
    <row r="101" ht="18.75" customHeight="1" s="237">
      <c r="A101" s="9" t="n">
        <v>5769</v>
      </c>
      <c r="B101" s="9">
        <f>VLOOKUP(A:A,제품등록!A:B,2,0)</f>
        <v/>
      </c>
      <c r="C101" s="29">
        <f>VLOOKUP(B101,제품등록!B:C,2,0)</f>
        <v/>
      </c>
      <c r="D101" s="9" t="n"/>
      <c r="E101" s="9" t="n">
        <v>100</v>
      </c>
      <c r="F101" s="245">
        <f>SUMIF('창고1(실사표)'!B:B,재고차이!A:A,'창고1(실사표)'!F:F)*D101+SUMIF('창고2(실사표)'!B:B,재고차이!A:A,'창고2(실사표)'!F:F)*D101+SUMIF('믹스(잔량실사표)'!B:B,재고차이!A:A,'믹스(잔량실사표)'!F:F)*D101</f>
        <v/>
      </c>
      <c r="G101" s="245">
        <f>SUMIF('창고1(실사표)'!B:B,재고차이!A:A,'창고1(실사표)'!E:E)*E101+SUMIF('창고2(실사표)'!B:B,재고차이!A:A,'창고2(실사표)'!E:E)*E101+SUMIF('믹스(잔량실사표)'!B:B,재고차이!A:A,'믹스(잔량실사표)'!E:E)*E101+SUMIF('창고3(실사표)'!B:B,재고차이!A:A,'창고3(실사표)'!E:E)*E101</f>
        <v/>
      </c>
      <c r="H10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0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01" s="245">
        <f>SUM(F101:I101)</f>
        <v/>
      </c>
      <c r="K101" s="245">
        <f>SUMIF('SAP(B117)'!B:B,재고차이!B:B,'SAP(B117)'!Q:Q)</f>
        <v/>
      </c>
      <c r="L101" s="245">
        <f>SUMIF(주간상차!A:A,재고차이!A:A,주간상차!E:E)</f>
        <v/>
      </c>
      <c r="M101" s="246">
        <f>J101-K101-L101-N101+O101+Q101</f>
        <v/>
      </c>
      <c r="N101" s="274" t="n"/>
      <c r="O101" s="275" t="n"/>
      <c r="P101" s="276" t="n"/>
      <c r="Q101" s="277">
        <f>SUMIF(파손품!D:D,재고차이!B:B,파손품!I:I)+SUMIF(동파파손!D:D,재고차이!B:B,동파파손!I:I)</f>
        <v/>
      </c>
      <c r="R101" s="0">
        <f>M101/E101</f>
        <v/>
      </c>
    </row>
    <row r="102" ht="18.75" customHeight="1" s="237">
      <c r="A102" s="9" t="n">
        <v>5770</v>
      </c>
      <c r="B102" s="9">
        <f>VLOOKUP(A:A,제품등록!A:B,2,0)</f>
        <v/>
      </c>
      <c r="C102" s="29">
        <f>VLOOKUP(B102,제품등록!B:C,2,0)</f>
        <v/>
      </c>
      <c r="D102" s="9" t="n"/>
      <c r="E102" s="9" t="n">
        <v>100</v>
      </c>
      <c r="F102" s="245">
        <f>SUMIF('창고1(실사표)'!B:B,재고차이!A:A,'창고1(실사표)'!F:F)*D102+SUMIF('창고2(실사표)'!B:B,재고차이!A:A,'창고2(실사표)'!F:F)*D102+SUMIF('믹스(잔량실사표)'!B:B,재고차이!A:A,'믹스(잔량실사표)'!F:F)*D102</f>
        <v/>
      </c>
      <c r="G102" s="245">
        <f>SUMIF('창고1(실사표)'!B:B,재고차이!A:A,'창고1(실사표)'!E:E)*E102+SUMIF('창고2(실사표)'!B:B,재고차이!A:A,'창고2(실사표)'!E:E)*E102+SUMIF('믹스(잔량실사표)'!B:B,재고차이!A:A,'믹스(잔량실사표)'!E:E)*E102+SUMIF('창고3(실사표)'!B:B,재고차이!A:A,'창고3(실사표)'!E:E)*E102</f>
        <v/>
      </c>
      <c r="H10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0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02" s="245">
        <f>SUM(F102:I102)</f>
        <v/>
      </c>
      <c r="K102" s="245">
        <f>SUMIF('SAP(B117)'!B:B,재고차이!B:B,'SAP(B117)'!Q:Q)</f>
        <v/>
      </c>
      <c r="L102" s="245">
        <f>SUMIF(주간상차!A:A,재고차이!A:A,주간상차!E:E)</f>
        <v/>
      </c>
      <c r="M102" s="246">
        <f>J102-K102-L102-N102+O102+Q102</f>
        <v/>
      </c>
      <c r="N102" s="274" t="n"/>
      <c r="O102" s="275" t="n"/>
      <c r="P102" s="276" t="n"/>
      <c r="Q102" s="277">
        <f>SUMIF(파손품!D:D,재고차이!B:B,파손품!I:I)+SUMIF(동파파손!D:D,재고차이!B:B,동파파손!I:I)</f>
        <v/>
      </c>
      <c r="R102" s="0">
        <f>M102/E102</f>
        <v/>
      </c>
    </row>
    <row r="103" ht="18.75" customHeight="1" s="237">
      <c r="A103" s="9" t="n">
        <v>5771</v>
      </c>
      <c r="B103" s="9">
        <f>VLOOKUP(A:A,제품등록!A:B,2,0)</f>
        <v/>
      </c>
      <c r="C103" s="29">
        <f>VLOOKUP(B103,제품등록!B:C,2,0)</f>
        <v/>
      </c>
      <c r="D103" s="9" t="n">
        <v>99</v>
      </c>
      <c r="E103" s="9" t="n">
        <v>132</v>
      </c>
      <c r="F103" s="245">
        <f>SUMIF('창고1(실사표)'!B:B,재고차이!A:A,'창고1(실사표)'!F:F)*D103+SUMIF('창고2(실사표)'!B:B,재고차이!A:A,'창고2(실사표)'!F:F)*D103+SUMIF('믹스(잔량실사표)'!B:B,재고차이!A:A,'믹스(잔량실사표)'!F:F)*D103</f>
        <v/>
      </c>
      <c r="G103" s="245">
        <f>SUMIF('창고1(실사표)'!B:B,재고차이!A:A,'창고1(실사표)'!E:E)*E103+SUMIF('창고2(실사표)'!B:B,재고차이!A:A,'창고2(실사표)'!E:E)*E103+SUMIF('믹스(잔량실사표)'!B:B,재고차이!A:A,'믹스(잔량실사표)'!E:E)*E103+SUMIF('창고3(실사표)'!B:B,재고차이!A:A,'창고3(실사표)'!E:E)*E103</f>
        <v/>
      </c>
      <c r="H10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0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03" s="245">
        <f>SUM(F103:I103)</f>
        <v/>
      </c>
      <c r="K103" s="245">
        <f>SUMIF('SAP(B117)'!B:B,재고차이!B:B,'SAP(B117)'!Q:Q)</f>
        <v/>
      </c>
      <c r="L103" s="245">
        <f>SUMIF(주간상차!A:A,재고차이!A:A,주간상차!E:E)</f>
        <v/>
      </c>
      <c r="M103" s="246">
        <f>J103-K103-L103-N103+O103+Q103</f>
        <v/>
      </c>
      <c r="N103" s="274" t="n"/>
      <c r="O103" s="275" t="n"/>
      <c r="P103" s="276" t="n"/>
      <c r="Q103" s="277">
        <f>SUMIF(파손품!D:D,재고차이!B:B,파손품!I:I)+SUMIF(동파파손!D:D,재고차이!B:B,동파파손!I:I)</f>
        <v/>
      </c>
      <c r="R103" s="0">
        <f>M103/E103</f>
        <v/>
      </c>
    </row>
    <row r="104" ht="18.75" customHeight="1" s="237">
      <c r="A104" s="9" t="n">
        <v>5774</v>
      </c>
      <c r="B104" s="9">
        <f>VLOOKUP(A:A,제품등록!A:B,2,0)</f>
        <v/>
      </c>
      <c r="C104" s="29">
        <f>VLOOKUP(B104,제품등록!B:C,2,0)</f>
        <v/>
      </c>
      <c r="D104" s="9" t="n"/>
      <c r="E104" s="9" t="n">
        <v>80</v>
      </c>
      <c r="F104" s="245">
        <f>SUMIF('창고1(실사표)'!B:B,재고차이!A:A,'창고1(실사표)'!F:F)*D104+SUMIF('창고2(실사표)'!B:B,재고차이!A:A,'창고2(실사표)'!F:F)*D104+SUMIF('믹스(잔량실사표)'!B:B,재고차이!A:A,'믹스(잔량실사표)'!F:F)*D104</f>
        <v/>
      </c>
      <c r="G104" s="245">
        <f>SUMIF('창고1(실사표)'!B:B,재고차이!A:A,'창고1(실사표)'!E:E)*E104+SUMIF('창고2(실사표)'!B:B,재고차이!A:A,'창고2(실사표)'!E:E)*E104+SUMIF('믹스(잔량실사표)'!B:B,재고차이!A:A,'믹스(잔량실사표)'!E:E)*E104+SUMIF('창고3(실사표)'!B:B,재고차이!A:A,'창고3(실사표)'!E:E)*E104</f>
        <v/>
      </c>
      <c r="H10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0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04" s="245">
        <f>SUM(F104:I104)</f>
        <v/>
      </c>
      <c r="K104" s="245">
        <f>SUMIF('SAP(B117)'!B:B,재고차이!B:B,'SAP(B117)'!Q:Q)</f>
        <v/>
      </c>
      <c r="L104" s="245">
        <f>SUMIF(주간상차!A:A,재고차이!A:A,주간상차!E:E)</f>
        <v/>
      </c>
      <c r="M104" s="246">
        <f>J104-K104-L104-N104+O104+Q104</f>
        <v/>
      </c>
      <c r="N104" s="274" t="n"/>
      <c r="O104" s="275" t="n"/>
      <c r="P104" s="276" t="n"/>
      <c r="Q104" s="277">
        <f>SUMIF(파손품!D:D,재고차이!B:B,파손품!I:I)+SUMIF(동파파손!D:D,재고차이!B:B,동파파손!I:I)</f>
        <v/>
      </c>
      <c r="R104" s="0">
        <f>M104/E104</f>
        <v/>
      </c>
    </row>
    <row r="105" ht="18.75" customHeight="1" s="237">
      <c r="A105" s="9" t="n">
        <v>5777</v>
      </c>
      <c r="B105" s="9">
        <f>VLOOKUP(A:A,제품등록!A:B,2,0)</f>
        <v/>
      </c>
      <c r="C105" s="29">
        <f>VLOOKUP(B105,제품등록!B:C,2,0)</f>
        <v/>
      </c>
      <c r="D105" s="9" t="n"/>
      <c r="E105" s="9" t="n">
        <v>100</v>
      </c>
      <c r="F105" s="245">
        <f>SUMIF('창고1(실사표)'!B:B,재고차이!A:A,'창고1(실사표)'!F:F)*D105+SUMIF('창고2(실사표)'!B:B,재고차이!A:A,'창고2(실사표)'!F:F)*D105+SUMIF('믹스(잔량실사표)'!B:B,재고차이!A:A,'믹스(잔량실사표)'!F:F)*D105</f>
        <v/>
      </c>
      <c r="G105" s="245">
        <f>SUMIF('창고1(실사표)'!B:B,재고차이!A:A,'창고1(실사표)'!E:E)*E105+SUMIF('창고2(실사표)'!B:B,재고차이!A:A,'창고2(실사표)'!E:E)*E105+SUMIF('믹스(잔량실사표)'!B:B,재고차이!A:A,'믹스(잔량실사표)'!E:E)*E105+SUMIF('창고3(실사표)'!B:B,재고차이!A:A,'창고3(실사표)'!E:E)*E105</f>
        <v/>
      </c>
      <c r="H10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0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05" s="245">
        <f>SUM(F105:I105)</f>
        <v/>
      </c>
      <c r="K105" s="245">
        <f>SUMIF('SAP(B117)'!B:B,재고차이!B:B,'SAP(B117)'!Q:Q)</f>
        <v/>
      </c>
      <c r="L105" s="245">
        <f>SUMIF(주간상차!A:A,재고차이!A:A,주간상차!E:E)</f>
        <v/>
      </c>
      <c r="M105" s="246">
        <f>J105-K105-L105-N105+O105+Q105</f>
        <v/>
      </c>
      <c r="N105" s="274" t="n"/>
      <c r="O105" s="275" t="n"/>
      <c r="P105" s="276" t="n"/>
      <c r="Q105" s="277">
        <f>SUMIF(파손품!D:D,재고차이!B:B,파손품!I:I)+SUMIF(동파파손!D:D,재고차이!B:B,동파파손!I:I)</f>
        <v/>
      </c>
      <c r="R105" s="0">
        <f>M105/E105</f>
        <v/>
      </c>
    </row>
    <row r="106" ht="18.75" customHeight="1" s="237">
      <c r="A106" s="9" t="n">
        <v>5778</v>
      </c>
      <c r="B106" s="9">
        <f>VLOOKUP(A:A,제품등록!A:B,2,0)</f>
        <v/>
      </c>
      <c r="C106" s="29">
        <f>VLOOKUP(B106,제품등록!B:C,2,0)</f>
        <v/>
      </c>
      <c r="D106" s="9" t="n"/>
      <c r="E106" s="9" t="n">
        <v>100</v>
      </c>
      <c r="F106" s="245">
        <f>SUMIF('창고1(실사표)'!B:B,재고차이!A:A,'창고1(실사표)'!F:F)*D106+SUMIF('창고2(실사표)'!B:B,재고차이!A:A,'창고2(실사표)'!F:F)*D106+SUMIF('믹스(잔량실사표)'!B:B,재고차이!A:A,'믹스(잔량실사표)'!F:F)*D106</f>
        <v/>
      </c>
      <c r="G106" s="245">
        <f>SUMIF('창고1(실사표)'!B:B,재고차이!A:A,'창고1(실사표)'!E:E)*E106+SUMIF('창고2(실사표)'!B:B,재고차이!A:A,'창고2(실사표)'!E:E)*E106+SUMIF('믹스(잔량실사표)'!B:B,재고차이!A:A,'믹스(잔량실사표)'!E:E)*E106+SUMIF('창고3(실사표)'!B:B,재고차이!A:A,'창고3(실사표)'!E:E)*E106</f>
        <v/>
      </c>
      <c r="H10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0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06" s="245">
        <f>SUM(F106:I106)</f>
        <v/>
      </c>
      <c r="K106" s="245">
        <f>SUMIF('SAP(B117)'!B:B,재고차이!B:B,'SAP(B117)'!Q:Q)</f>
        <v/>
      </c>
      <c r="L106" s="245">
        <f>SUMIF(주간상차!A:A,재고차이!A:A,주간상차!E:E)</f>
        <v/>
      </c>
      <c r="M106" s="246">
        <f>J106-K106-L106-N106+O106+Q106</f>
        <v/>
      </c>
      <c r="N106" s="274" t="n"/>
      <c r="O106" s="275" t="n"/>
      <c r="P106" s="276" t="n"/>
      <c r="Q106" s="277">
        <f>SUMIF(파손품!D:D,재고차이!B:B,파손품!I:I)+SUMIF(동파파손!D:D,재고차이!B:B,동파파손!I:I)</f>
        <v/>
      </c>
      <c r="R106" s="0">
        <f>M106/E106</f>
        <v/>
      </c>
    </row>
    <row r="107" ht="18.75" customHeight="1" s="237">
      <c r="A107" s="9" t="n">
        <v>5782</v>
      </c>
      <c r="B107" s="9">
        <f>VLOOKUP(A:A,제품등록!A:B,2,0)</f>
        <v/>
      </c>
      <c r="C107" s="29">
        <f>VLOOKUP(B107,제품등록!B:C,2,0)</f>
        <v/>
      </c>
      <c r="D107" s="9" t="n">
        <v>40</v>
      </c>
      <c r="E107" s="9" t="n">
        <v>60</v>
      </c>
      <c r="F107" s="245">
        <f>SUMIF('창고1(실사표)'!B:B,재고차이!A:A,'창고1(실사표)'!F:F)*D107+SUMIF('창고2(실사표)'!B:B,재고차이!A:A,'창고2(실사표)'!F:F)*D107+SUMIF('믹스(잔량실사표)'!B:B,재고차이!A:A,'믹스(잔량실사표)'!F:F)*D107</f>
        <v/>
      </c>
      <c r="G107" s="245">
        <f>SUMIF('창고1(실사표)'!B:B,재고차이!A:A,'창고1(실사표)'!E:E)*E107+SUMIF('창고2(실사표)'!B:B,재고차이!A:A,'창고2(실사표)'!E:E)*E107+SUMIF('믹스(잔량실사표)'!B:B,재고차이!A:A,'믹스(잔량실사표)'!E:E)*E107+SUMIF('창고3(실사표)'!B:B,재고차이!A:A,'창고3(실사표)'!E:E)*E107</f>
        <v/>
      </c>
      <c r="H10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0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07" s="245">
        <f>SUM(F107:I107)</f>
        <v/>
      </c>
      <c r="K107" s="245">
        <f>SUMIF('SAP(B117)'!B:B,재고차이!B:B,'SAP(B117)'!Q:Q)</f>
        <v/>
      </c>
      <c r="L107" s="245">
        <f>SUMIF(주간상차!A:A,재고차이!A:A,주간상차!E:E)</f>
        <v/>
      </c>
      <c r="M107" s="246">
        <f>J107-K107-L107-N107+O107+Q107</f>
        <v/>
      </c>
      <c r="N107" s="274" t="n">
        <v>10</v>
      </c>
      <c r="O107" s="275" t="n"/>
      <c r="P107" s="276" t="inlineStr">
        <is>
          <t>12/12 G원주 배송분 역순입고로 인한 본두리 물류 회송.</t>
        </is>
      </c>
      <c r="Q107" s="277">
        <f>SUMIF(파손품!D:D,재고차이!B:B,파손품!I:I)+SUMIF(동파파손!D:D,재고차이!B:B,동파파손!I:I)</f>
        <v/>
      </c>
      <c r="R107" s="0">
        <f>M107/E107</f>
        <v/>
      </c>
    </row>
    <row r="108" ht="18.75" customHeight="1" s="237">
      <c r="A108" s="9" t="n">
        <v>6098</v>
      </c>
      <c r="B108" s="9">
        <f>VLOOKUP(A:A,제품등록!A:B,2,0)</f>
        <v/>
      </c>
      <c r="C108" s="29">
        <f>VLOOKUP(B108,제품등록!B:C,2,0)</f>
        <v/>
      </c>
      <c r="D108" s="9" t="n"/>
      <c r="E108" s="9" t="n">
        <v>48</v>
      </c>
      <c r="F108" s="245">
        <f>SUMIF('창고1(실사표)'!B:B,재고차이!A:A,'창고1(실사표)'!F:F)*D108+SUMIF('창고2(실사표)'!B:B,재고차이!A:A,'창고2(실사표)'!F:F)*D108+SUMIF('믹스(잔량실사표)'!B:B,재고차이!A:A,'믹스(잔량실사표)'!F:F)*D108</f>
        <v/>
      </c>
      <c r="G108" s="245">
        <f>SUMIF('창고1(실사표)'!B:B,재고차이!A:A,'창고1(실사표)'!E:E)*E108+SUMIF('창고2(실사표)'!B:B,재고차이!A:A,'창고2(실사표)'!E:E)*E108+SUMIF('믹스(잔량실사표)'!B:B,재고차이!A:A,'믹스(잔량실사표)'!E:E)*E108+SUMIF('창고3(실사표)'!B:B,재고차이!A:A,'창고3(실사표)'!E:E)*E108</f>
        <v/>
      </c>
      <c r="H10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0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08" s="245">
        <f>SUM(F108:I108)</f>
        <v/>
      </c>
      <c r="K108" s="245">
        <f>SUMIF('SAP(B117)'!B:B,재고차이!B:B,'SAP(B117)'!Q:Q)</f>
        <v/>
      </c>
      <c r="L108" s="245">
        <f>SUMIF(주간상차!A:A,재고차이!A:A,주간상차!E:E)</f>
        <v/>
      </c>
      <c r="M108" s="246">
        <f>J108-K108-L108-N108+O108+Q108</f>
        <v/>
      </c>
      <c r="N108" s="274" t="n"/>
      <c r="O108" s="275" t="n"/>
      <c r="P108" s="276" t="n"/>
      <c r="Q108" s="277">
        <f>SUMIF(파손품!D:D,재고차이!B:B,파손품!I:I)+SUMIF(동파파손!D:D,재고차이!B:B,동파파손!I:I)</f>
        <v/>
      </c>
      <c r="R108" s="0">
        <f>M108/E108</f>
        <v/>
      </c>
    </row>
    <row r="109" ht="18.75" customHeight="1" s="237">
      <c r="A109" s="9" t="n">
        <v>6103</v>
      </c>
      <c r="B109" s="9">
        <f>VLOOKUP(A:A,제품등록!A:B,2,0)</f>
        <v/>
      </c>
      <c r="C109" s="29">
        <f>VLOOKUP(B109,제품등록!B:C,2,0)</f>
        <v/>
      </c>
      <c r="D109" s="9" t="n">
        <v>40</v>
      </c>
      <c r="E109" s="9" t="n">
        <v>60</v>
      </c>
      <c r="F109" s="245">
        <f>SUMIF('창고1(실사표)'!B:B,재고차이!A:A,'창고1(실사표)'!F:F)*D109+SUMIF('창고2(실사표)'!B:B,재고차이!A:A,'창고2(실사표)'!F:F)*D109+SUMIF('믹스(잔량실사표)'!B:B,재고차이!A:A,'믹스(잔량실사표)'!F:F)*D109</f>
        <v/>
      </c>
      <c r="G109" s="245">
        <f>SUMIF('창고1(실사표)'!B:B,재고차이!A:A,'창고1(실사표)'!E:E)*E109+SUMIF('창고2(실사표)'!B:B,재고차이!A:A,'창고2(실사표)'!E:E)*E109+SUMIF('믹스(잔량실사표)'!B:B,재고차이!A:A,'믹스(잔량실사표)'!E:E)*E109+SUMIF('창고3(실사표)'!B:B,재고차이!A:A,'창고3(실사표)'!E:E)*E109</f>
        <v/>
      </c>
      <c r="H10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0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09" s="245">
        <f>SUM(F109:I109)</f>
        <v/>
      </c>
      <c r="K109" s="245">
        <f>SUMIF('SAP(B117)'!B:B,재고차이!B:B,'SAP(B117)'!Q:Q)</f>
        <v/>
      </c>
      <c r="L109" s="245">
        <f>SUMIF(주간상차!A:A,재고차이!A:A,주간상차!E:E)</f>
        <v/>
      </c>
      <c r="M109" s="246">
        <f>J109-K109-L109-N109+O109+Q109</f>
        <v/>
      </c>
      <c r="N109" s="274" t="n"/>
      <c r="O109" s="275" t="n"/>
      <c r="P109" s="276" t="n"/>
      <c r="Q109" s="277">
        <f>SUMIF(파손품!D:D,재고차이!B:B,파손품!I:I)+SUMIF(동파파손!D:D,재고차이!B:B,동파파손!I:I)</f>
        <v/>
      </c>
      <c r="R109" s="0">
        <f>M109/E109</f>
        <v/>
      </c>
    </row>
    <row r="110" ht="18.75" customHeight="1" s="237">
      <c r="A110" s="9" t="n">
        <v>6108</v>
      </c>
      <c r="B110" s="9">
        <f>VLOOKUP(A:A,제품등록!A:B,2,0)</f>
        <v/>
      </c>
      <c r="C110" s="29">
        <f>VLOOKUP(B110,제품등록!B:C,2,0)</f>
        <v/>
      </c>
      <c r="D110" s="9" t="n">
        <v>88</v>
      </c>
      <c r="E110" s="9" t="n">
        <v>100</v>
      </c>
      <c r="F110" s="245">
        <f>SUMIF('창고1(실사표)'!B:B,재고차이!A:A,'창고1(실사표)'!F:F)*D110+SUMIF('창고2(실사표)'!B:B,재고차이!A:A,'창고2(실사표)'!F:F)*D110+SUMIF('믹스(잔량실사표)'!B:B,재고차이!A:A,'믹스(잔량실사표)'!F:F)*D110</f>
        <v/>
      </c>
      <c r="G110" s="245">
        <f>SUMIF('창고1(실사표)'!B:B,재고차이!A:A,'창고1(실사표)'!E:E)*E110+SUMIF('창고2(실사표)'!B:B,재고차이!A:A,'창고2(실사표)'!E:E)*E110+SUMIF('믹스(잔량실사표)'!B:B,재고차이!A:A,'믹스(잔량실사표)'!E:E)*E110+SUMIF('창고3(실사표)'!B:B,재고차이!A:A,'창고3(실사표)'!E:E)*E110</f>
        <v/>
      </c>
      <c r="H11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1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10" s="245">
        <f>SUM(F110:I110)</f>
        <v/>
      </c>
      <c r="K110" s="245">
        <f>SUMIF('SAP(B117)'!B:B,재고차이!B:B,'SAP(B117)'!Q:Q)</f>
        <v/>
      </c>
      <c r="L110" s="245">
        <f>SUMIF(주간상차!A:A,재고차이!A:A,주간상차!E:E)</f>
        <v/>
      </c>
      <c r="M110" s="246">
        <f>J110-K110-L110-N110+O110+Q110</f>
        <v/>
      </c>
      <c r="N110" s="274" t="n"/>
      <c r="O110" s="275" t="n"/>
      <c r="P110" s="276" t="n"/>
      <c r="Q110" s="277">
        <f>SUMIF(파손품!D:D,재고차이!B:B,파손품!I:I)+SUMIF(동파파손!D:D,재고차이!B:B,동파파손!I:I)</f>
        <v/>
      </c>
      <c r="R110" s="0">
        <f>M110/E110</f>
        <v/>
      </c>
    </row>
    <row r="111" ht="18.75" customHeight="1" s="237">
      <c r="A111" s="9" t="n">
        <v>6111</v>
      </c>
      <c r="B111" s="9">
        <f>VLOOKUP(A:A,제품등록!A:B,2,0)</f>
        <v/>
      </c>
      <c r="C111" s="29">
        <f>VLOOKUP(B111,제품등록!B:C,2,0)</f>
        <v/>
      </c>
      <c r="D111" s="9" t="n">
        <v>99</v>
      </c>
      <c r="E111" s="9" t="n">
        <v>132</v>
      </c>
      <c r="F111" s="245">
        <f>SUMIF('창고1(실사표)'!B:B,재고차이!A:A,'창고1(실사표)'!F:F)*D111+SUMIF('창고2(실사표)'!B:B,재고차이!A:A,'창고2(실사표)'!F:F)*D111+SUMIF('믹스(잔량실사표)'!B:B,재고차이!A:A,'믹스(잔량실사표)'!F:F)*D111</f>
        <v/>
      </c>
      <c r="G111" s="245">
        <f>SUMIF('창고1(실사표)'!B:B,재고차이!A:A,'창고1(실사표)'!E:E)*E111+SUMIF('창고2(실사표)'!B:B,재고차이!A:A,'창고2(실사표)'!E:E)*E111+SUMIF('믹스(잔량실사표)'!B:B,재고차이!A:A,'믹스(잔량실사표)'!E:E)*E111+SUMIF('창고3(실사표)'!B:B,재고차이!A:A,'창고3(실사표)'!E:E)*E111</f>
        <v/>
      </c>
      <c r="H11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1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11" s="245">
        <f>SUM(F111:I111)</f>
        <v/>
      </c>
      <c r="K111" s="245">
        <f>SUMIF('SAP(B117)'!B:B,재고차이!B:B,'SAP(B117)'!Q:Q)</f>
        <v/>
      </c>
      <c r="L111" s="245">
        <f>SUMIF(주간상차!A:A,재고차이!A:A,주간상차!E:E)</f>
        <v/>
      </c>
      <c r="M111" s="246">
        <f>J111-K111-L111-N111+O111+Q111</f>
        <v/>
      </c>
      <c r="N111" s="274" t="n"/>
      <c r="O111" s="275" t="n"/>
      <c r="P111" s="276" t="n"/>
      <c r="Q111" s="277">
        <f>SUMIF(파손품!D:D,재고차이!B:B,파손품!I:I)+SUMIF(동파파손!D:D,재고차이!B:B,동파파손!I:I)</f>
        <v/>
      </c>
      <c r="R111" s="0">
        <f>M111/E111</f>
        <v/>
      </c>
    </row>
    <row r="112" ht="18" customHeight="1" s="237">
      <c r="A112" s="9" t="n">
        <v>6114</v>
      </c>
      <c r="B112" s="9">
        <f>VLOOKUP(A:A,제품등록!A:B,2,0)</f>
        <v/>
      </c>
      <c r="C112" s="29">
        <f>VLOOKUP(B112,제품등록!B:C,2,0)</f>
        <v/>
      </c>
      <c r="D112" s="9" t="n">
        <v>88</v>
      </c>
      <c r="E112" s="9" t="n">
        <v>100</v>
      </c>
      <c r="F112" s="245">
        <f>SUMIF('창고1(실사표)'!B:B,재고차이!A:A,'창고1(실사표)'!F:F)*D112+SUMIF('창고2(실사표)'!B:B,재고차이!A:A,'창고2(실사표)'!F:F)*D112+SUMIF('믹스(잔량실사표)'!B:B,재고차이!A:A,'믹스(잔량실사표)'!F:F)*D112</f>
        <v/>
      </c>
      <c r="G112" s="245">
        <f>SUMIF('창고1(실사표)'!B:B,재고차이!A:A,'창고1(실사표)'!E:E)*E112+SUMIF('창고2(실사표)'!B:B,재고차이!A:A,'창고2(실사표)'!E:E)*E112+SUMIF('믹스(잔량실사표)'!B:B,재고차이!A:A,'믹스(잔량실사표)'!E:E)*E112+SUMIF('창고3(실사표)'!B:B,재고차이!A:A,'창고3(실사표)'!E:E)*E112</f>
        <v/>
      </c>
      <c r="H11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1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12" s="245">
        <f>SUM(F112:I112)</f>
        <v/>
      </c>
      <c r="K112" s="245">
        <f>SUMIF('SAP(B117)'!B:B,재고차이!B:B,'SAP(B117)'!Q:Q)</f>
        <v/>
      </c>
      <c r="L112" s="245">
        <f>SUMIF(주간상차!A:A,재고차이!A:A,주간상차!E:E)</f>
        <v/>
      </c>
      <c r="M112" s="246">
        <f>J112-K112-L112-N112+O112+Q112</f>
        <v/>
      </c>
      <c r="N112" s="274" t="n"/>
      <c r="O112" s="275" t="n"/>
      <c r="P112" s="276" t="n"/>
      <c r="Q112" s="277">
        <f>SUMIF(파손품!D:D,재고차이!B:B,파손품!I:I)+SUMIF(동파파손!D:D,재고차이!B:B,동파파손!I:I)</f>
        <v/>
      </c>
      <c r="R112" s="0">
        <f>M112/E112</f>
        <v/>
      </c>
    </row>
    <row r="113" ht="18.75" customHeight="1" s="237">
      <c r="A113" s="9" t="n">
        <v>6117</v>
      </c>
      <c r="B113" s="9">
        <f>VLOOKUP(A:A,제품등록!A:B,2,0)</f>
        <v/>
      </c>
      <c r="C113" s="29">
        <f>VLOOKUP(B113,제품등록!B:C,2,0)</f>
        <v/>
      </c>
      <c r="D113" s="9" t="n">
        <v>40</v>
      </c>
      <c r="E113" s="9" t="n">
        <v>60</v>
      </c>
      <c r="F113" s="245">
        <f>SUMIF('창고1(실사표)'!B:B,재고차이!A:A,'창고1(실사표)'!F:F)*D113+SUMIF('창고2(실사표)'!B:B,재고차이!A:A,'창고2(실사표)'!F:F)*D113+SUMIF('믹스(잔량실사표)'!B:B,재고차이!A:A,'믹스(잔량실사표)'!F:F)*D113</f>
        <v/>
      </c>
      <c r="G113" s="245">
        <f>SUMIF('창고1(실사표)'!B:B,재고차이!A:A,'창고1(실사표)'!E:E)*E113+SUMIF('창고2(실사표)'!B:B,재고차이!A:A,'창고2(실사표)'!E:E)*E113+SUMIF('믹스(잔량실사표)'!B:B,재고차이!A:A,'믹스(잔량실사표)'!E:E)*E113+SUMIF('창고3(실사표)'!B:B,재고차이!A:A,'창고3(실사표)'!E:E)*E113</f>
        <v/>
      </c>
      <c r="H11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1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13" s="245">
        <f>SUM(F113:I113)</f>
        <v/>
      </c>
      <c r="K113" s="245">
        <f>SUMIF('SAP(B117)'!B:B,재고차이!B:B,'SAP(B117)'!Q:Q)</f>
        <v/>
      </c>
      <c r="L113" s="245">
        <f>SUMIF(주간상차!A:A,재고차이!A:A,주간상차!E:E)</f>
        <v/>
      </c>
      <c r="M113" s="246">
        <f>J113-K113-L113-N113+O113+Q113</f>
        <v/>
      </c>
      <c r="N113" s="274" t="n"/>
      <c r="O113" s="275" t="n"/>
      <c r="P113" s="276" t="n"/>
      <c r="Q113" s="277">
        <f>SUMIF(파손품!D:D,재고차이!B:B,파손품!I:I)+SUMIF(동파파손!D:D,재고차이!B:B,동파파손!I:I)</f>
        <v/>
      </c>
      <c r="R113" s="0">
        <f>M113/E113</f>
        <v/>
      </c>
    </row>
    <row r="114" ht="18.75" customHeight="1" s="237">
      <c r="A114" s="9" t="n">
        <v>6120</v>
      </c>
      <c r="B114" s="9">
        <f>VLOOKUP(A:A,제품등록!A:B,2,0)</f>
        <v/>
      </c>
      <c r="C114" s="29">
        <f>VLOOKUP(B114,제품등록!B:C,2,0)</f>
        <v/>
      </c>
      <c r="D114" s="9" t="n">
        <v>32</v>
      </c>
      <c r="E114" s="9" t="n">
        <v>44</v>
      </c>
      <c r="F114" s="245">
        <f>SUMIF('창고1(실사표)'!B:B,재고차이!A:A,'창고1(실사표)'!F:F)*D114+SUMIF('창고2(실사표)'!B:B,재고차이!A:A,'창고2(실사표)'!F:F)*D114+SUMIF('믹스(잔량실사표)'!B:B,재고차이!A:A,'믹스(잔량실사표)'!F:F)*D114</f>
        <v/>
      </c>
      <c r="G114" s="245">
        <f>SUMIF('창고1(실사표)'!B:B,재고차이!A:A,'창고1(실사표)'!E:E)*E114+SUMIF('창고2(실사표)'!B:B,재고차이!A:A,'창고2(실사표)'!E:E)*E114+SUMIF('믹스(잔량실사표)'!B:B,재고차이!A:A,'믹스(잔량실사표)'!E:E)*E114+SUMIF('창고3(실사표)'!B:B,재고차이!A:A,'창고3(실사표)'!E:E)*E114</f>
        <v/>
      </c>
      <c r="H11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1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14" s="245">
        <f>SUM(F114:I114)</f>
        <v/>
      </c>
      <c r="K114" s="245">
        <f>SUMIF('SAP(B117)'!B:B,재고차이!B:B,'SAP(B117)'!Q:Q)</f>
        <v/>
      </c>
      <c r="L114" s="245">
        <f>SUMIF(주간상차!A:A,재고차이!A:A,주간상차!E:E)</f>
        <v/>
      </c>
      <c r="M114" s="246">
        <f>J114-K114-L114-N114+O114+Q114</f>
        <v/>
      </c>
      <c r="N114" s="274" t="n"/>
      <c r="O114" s="275" t="n"/>
      <c r="P114" s="276" t="n"/>
      <c r="Q114" s="277">
        <f>SUMIF(파손품!D:D,재고차이!B:B,파손품!I:I)+SUMIF(동파파손!D:D,재고차이!B:B,동파파손!I:I)</f>
        <v/>
      </c>
      <c r="R114" s="0">
        <f>M114/E114</f>
        <v/>
      </c>
    </row>
    <row r="115" ht="18.75" customHeight="1" s="237">
      <c r="A115" s="9" t="n">
        <v>6134</v>
      </c>
      <c r="B115" s="9">
        <f>VLOOKUP(A:A,제품등록!A:B,2,0)</f>
        <v/>
      </c>
      <c r="C115" s="29">
        <f>VLOOKUP(B115,제품등록!B:C,2,0)</f>
        <v/>
      </c>
      <c r="D115" s="9" t="n"/>
      <c r="E115" s="9" t="n">
        <v>48</v>
      </c>
      <c r="F115" s="245">
        <f>SUMIF('창고1(실사표)'!B:B,재고차이!A:A,'창고1(실사표)'!F:F)*D115+SUMIF('창고2(실사표)'!B:B,재고차이!A:A,'창고2(실사표)'!F:F)*D115+SUMIF('믹스(잔량실사표)'!B:B,재고차이!A:A,'믹스(잔량실사표)'!F:F)*D115</f>
        <v/>
      </c>
      <c r="G115" s="245">
        <f>SUMIF('창고1(실사표)'!B:B,재고차이!A:A,'창고1(실사표)'!E:E)*E115+SUMIF('창고2(실사표)'!B:B,재고차이!A:A,'창고2(실사표)'!E:E)*E115+SUMIF('믹스(잔량실사표)'!B:B,재고차이!A:A,'믹스(잔량실사표)'!E:E)*E115+SUMIF('창고3(실사표)'!B:B,재고차이!A:A,'창고3(실사표)'!E:E)*E115</f>
        <v/>
      </c>
      <c r="H11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1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15" s="245">
        <f>SUM(F115:I115)</f>
        <v/>
      </c>
      <c r="K115" s="245">
        <f>SUMIF('SAP(B117)'!B:B,재고차이!B:B,'SAP(B117)'!Q:Q)</f>
        <v/>
      </c>
      <c r="L115" s="245">
        <f>SUMIF(주간상차!A:A,재고차이!A:A,주간상차!E:E)</f>
        <v/>
      </c>
      <c r="M115" s="246">
        <f>J115-K115-L115-N115+O115+Q115</f>
        <v/>
      </c>
      <c r="N115" s="274" t="n"/>
      <c r="O115" s="275" t="n"/>
      <c r="P115" s="276" t="n"/>
      <c r="Q115" s="277">
        <f>SUMIF(파손품!D:D,재고차이!B:B,파손품!I:I)+SUMIF(동파파손!D:D,재고차이!B:B,동파파손!I:I)</f>
        <v/>
      </c>
      <c r="R115" s="0">
        <f>M115/E115</f>
        <v/>
      </c>
    </row>
    <row r="116" ht="18.75" customHeight="1" s="237">
      <c r="A116" s="9" t="n">
        <v>6138</v>
      </c>
      <c r="B116" s="9">
        <f>VLOOKUP(A:A,제품등록!A:B,2,0)</f>
        <v/>
      </c>
      <c r="C116" s="29">
        <f>VLOOKUP(B116,제품등록!B:C,2,0)</f>
        <v/>
      </c>
      <c r="D116" s="9" t="n"/>
      <c r="E116" s="9" t="n">
        <v>70</v>
      </c>
      <c r="F116" s="245">
        <f>SUMIF('창고1(실사표)'!B:B,재고차이!A:A,'창고1(실사표)'!F:F)*D116+SUMIF('창고2(실사표)'!B:B,재고차이!A:A,'창고2(실사표)'!F:F)*D116+SUMIF('믹스(잔량실사표)'!B:B,재고차이!A:A,'믹스(잔량실사표)'!F:F)*D116</f>
        <v/>
      </c>
      <c r="G116" s="245">
        <f>SUMIF('창고1(실사표)'!B:B,재고차이!A:A,'창고1(실사표)'!E:E)*E116+SUMIF('창고2(실사표)'!B:B,재고차이!A:A,'창고2(실사표)'!E:E)*E116+SUMIF('믹스(잔량실사표)'!B:B,재고차이!A:A,'믹스(잔량실사표)'!E:E)*E116+SUMIF('창고3(실사표)'!B:B,재고차이!A:A,'창고3(실사표)'!E:E)*E116</f>
        <v/>
      </c>
      <c r="H11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1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16" s="245">
        <f>SUM(F116:I116)</f>
        <v/>
      </c>
      <c r="K116" s="245">
        <f>SUMIF('SAP(B117)'!B:B,재고차이!B:B,'SAP(B117)'!Q:Q)</f>
        <v/>
      </c>
      <c r="L116" s="245">
        <f>SUMIF(주간상차!A:A,재고차이!A:A,주간상차!E:E)</f>
        <v/>
      </c>
      <c r="M116" s="246">
        <f>J116-K116-L116-N116+O116+Q116</f>
        <v/>
      </c>
      <c r="N116" s="274" t="n"/>
      <c r="O116" s="275" t="n"/>
      <c r="P116" s="276" t="n"/>
      <c r="Q116" s="277">
        <f>SUMIF(파손품!D:D,재고차이!B:B,파손품!I:I)+SUMIF(동파파손!D:D,재고차이!B:B,동파파손!I:I)</f>
        <v/>
      </c>
      <c r="R116" s="0">
        <f>M116/E116</f>
        <v/>
      </c>
    </row>
    <row r="117" ht="18.75" customHeight="1" s="237">
      <c r="A117" s="9" t="n">
        <v>6195</v>
      </c>
      <c r="B117" s="9">
        <f>VLOOKUP(A:A,제품등록!A:B,2,0)</f>
        <v/>
      </c>
      <c r="C117" s="29">
        <f>VLOOKUP(B117,제품등록!B:C,2,0)</f>
        <v/>
      </c>
      <c r="D117" s="9" t="n">
        <v>36</v>
      </c>
      <c r="E117" s="9" t="n">
        <v>36</v>
      </c>
      <c r="F117" s="245">
        <f>SUMIF('창고1(실사표)'!B:B,재고차이!A:A,'창고1(실사표)'!F:F)*D117+SUMIF('창고2(실사표)'!B:B,재고차이!A:A,'창고2(실사표)'!F:F)*D117+SUMIF('믹스(잔량실사표)'!B:B,재고차이!A:A,'믹스(잔량실사표)'!F:F)*D117</f>
        <v/>
      </c>
      <c r="G117" s="245">
        <f>SUMIF('창고1(실사표)'!B:B,재고차이!A:A,'창고1(실사표)'!E:E)*E117+SUMIF('창고2(실사표)'!B:B,재고차이!A:A,'창고2(실사표)'!E:E)*E117+SUMIF('믹스(잔량실사표)'!B:B,재고차이!A:A,'믹스(잔량실사표)'!E:E)*E117+SUMIF('창고3(실사표)'!B:B,재고차이!A:A,'창고3(실사표)'!E:E)*E117</f>
        <v/>
      </c>
      <c r="H11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1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17" s="245">
        <f>SUM(F117:I117)</f>
        <v/>
      </c>
      <c r="K117" s="245">
        <f>SUMIF('SAP(B117)'!B:B,재고차이!B:B,'SAP(B117)'!Q:Q)</f>
        <v/>
      </c>
      <c r="L117" s="245">
        <f>SUMIF(주간상차!A:A,재고차이!A:A,주간상차!E:E)</f>
        <v/>
      </c>
      <c r="M117" s="246">
        <f>J117-K117-L117-N117+O117+Q117</f>
        <v/>
      </c>
      <c r="N117" s="274" t="n"/>
      <c r="O117" s="275" t="n"/>
      <c r="P117" s="276" t="n"/>
      <c r="Q117" s="277">
        <f>SUMIF(파손품!D:D,재고차이!B:B,파손품!I:I)+SUMIF(동파파손!D:D,재고차이!B:B,동파파손!I:I)</f>
        <v/>
      </c>
      <c r="R117" s="0">
        <f>M117/E117</f>
        <v/>
      </c>
    </row>
    <row r="118" ht="18.75" customHeight="1" s="237">
      <c r="A118" s="9" t="n">
        <v>6277</v>
      </c>
      <c r="B118" s="9">
        <f>VLOOKUP(A:A,제품등록!A:B,2,0)</f>
        <v/>
      </c>
      <c r="C118" s="29">
        <f>VLOOKUP(B118,제품등록!B:C,2,0)</f>
        <v/>
      </c>
      <c r="D118" s="9" t="n"/>
      <c r="E118" s="9" t="n">
        <v>48</v>
      </c>
      <c r="F118" s="245">
        <f>SUMIF('창고1(실사표)'!B:B,재고차이!A:A,'창고1(실사표)'!F:F)*D118+SUMIF('창고2(실사표)'!B:B,재고차이!A:A,'창고2(실사표)'!F:F)*D118+SUMIF('믹스(잔량실사표)'!B:B,재고차이!A:A,'믹스(잔량실사표)'!F:F)*D118</f>
        <v/>
      </c>
      <c r="G118" s="245">
        <f>SUMIF('창고1(실사표)'!B:B,재고차이!A:A,'창고1(실사표)'!E:E)*E118+SUMIF('창고2(실사표)'!B:B,재고차이!A:A,'창고2(실사표)'!E:E)*E118+SUMIF('믹스(잔량실사표)'!B:B,재고차이!A:A,'믹스(잔량실사표)'!E:E)*E118+SUMIF('창고3(실사표)'!B:B,재고차이!A:A,'창고3(실사표)'!E:E)*E118</f>
        <v/>
      </c>
      <c r="H11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1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18" s="245">
        <f>SUM(F118:I118)</f>
        <v/>
      </c>
      <c r="K118" s="245">
        <f>SUMIF('SAP(B117)'!B:B,재고차이!B:B,'SAP(B117)'!Q:Q)</f>
        <v/>
      </c>
      <c r="L118" s="245">
        <f>SUMIF(주간상차!A:A,재고차이!A:A,주간상차!E:E)</f>
        <v/>
      </c>
      <c r="M118" s="246">
        <f>J118-K118-L118-N118+O118+Q118</f>
        <v/>
      </c>
      <c r="N118" s="274" t="n"/>
      <c r="O118" s="275" t="n"/>
      <c r="P118" s="276" t="n"/>
      <c r="Q118" s="277">
        <f>SUMIF(파손품!D:D,재고차이!B:B,파손품!I:I)+SUMIF(동파파손!D:D,재고차이!B:B,동파파손!I:I)</f>
        <v/>
      </c>
      <c r="R118" s="0">
        <f>M118/E118</f>
        <v/>
      </c>
    </row>
    <row r="119">
      <c r="A119" s="9" t="n">
        <v>6279</v>
      </c>
      <c r="B119" s="9">
        <f>VLOOKUP(A:A,제품등록!A:B,2,0)</f>
        <v/>
      </c>
      <c r="C119" s="29">
        <f>VLOOKUP(B119,제품등록!B:C,2,0)</f>
        <v/>
      </c>
      <c r="D119" s="9" t="n"/>
      <c r="E119" s="9" t="n">
        <v>48</v>
      </c>
      <c r="F119" s="245">
        <f>SUMIF('창고1(실사표)'!B:B,재고차이!A:A,'창고1(실사표)'!F:F)*D119+SUMIF('창고2(실사표)'!B:B,재고차이!A:A,'창고2(실사표)'!F:F)*D119+SUMIF('믹스(잔량실사표)'!B:B,재고차이!A:A,'믹스(잔량실사표)'!F:F)*D119</f>
        <v/>
      </c>
      <c r="G119" s="245">
        <f>SUMIF('창고1(실사표)'!B:B,재고차이!A:A,'창고1(실사표)'!E:E)*E119+SUMIF('창고2(실사표)'!B:B,재고차이!A:A,'창고2(실사표)'!E:E)*E119+SUMIF('믹스(잔량실사표)'!B:B,재고차이!A:A,'믹스(잔량실사표)'!E:E)*E119+SUMIF('창고3(실사표)'!B:B,재고차이!A:A,'창고3(실사표)'!E:E)*E119</f>
        <v/>
      </c>
      <c r="H11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1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19" s="245">
        <f>SUM(F119:I119)</f>
        <v/>
      </c>
      <c r="K119" s="245">
        <f>SUMIF('SAP(B117)'!B:B,재고차이!B:B,'SAP(B117)'!Q:Q)</f>
        <v/>
      </c>
      <c r="L119" s="245">
        <f>SUMIF(주간상차!A:A,재고차이!A:A,주간상차!E:E)</f>
        <v/>
      </c>
      <c r="M119" s="246">
        <f>J119-K119-L119-N119+O119+Q119</f>
        <v/>
      </c>
      <c r="N119" s="274" t="n"/>
      <c r="O119" s="275" t="n"/>
      <c r="P119" s="276" t="n"/>
      <c r="Q119" s="277">
        <f>SUMIF(파손품!D:D,재고차이!B:B,파손품!I:I)+SUMIF(동파파손!D:D,재고차이!B:B,동파파손!I:I)</f>
        <v/>
      </c>
      <c r="R119" s="0">
        <f>M119/E119</f>
        <v/>
      </c>
    </row>
    <row r="120" ht="18.75" customHeight="1" s="237">
      <c r="A120" s="9" t="n">
        <v>6280</v>
      </c>
      <c r="B120" s="9">
        <f>VLOOKUP(A:A,제품등록!A:B,2,0)</f>
        <v/>
      </c>
      <c r="C120" s="29">
        <f>VLOOKUP(B120,제품등록!B:C,2,0)</f>
        <v/>
      </c>
      <c r="D120" s="9" t="n"/>
      <c r="E120" s="9" t="n">
        <v>80</v>
      </c>
      <c r="F120" s="245">
        <f>SUMIF('창고1(실사표)'!B:B,재고차이!A:A,'창고1(실사표)'!F:F)*D120+SUMIF('창고2(실사표)'!B:B,재고차이!A:A,'창고2(실사표)'!F:F)*D120+SUMIF('믹스(잔량실사표)'!B:B,재고차이!A:A,'믹스(잔량실사표)'!F:F)*D120</f>
        <v/>
      </c>
      <c r="G120" s="245">
        <f>SUMIF('창고1(실사표)'!B:B,재고차이!A:A,'창고1(실사표)'!E:E)*E120+SUMIF('창고2(실사표)'!B:B,재고차이!A:A,'창고2(실사표)'!E:E)*E120+SUMIF('믹스(잔량실사표)'!B:B,재고차이!A:A,'믹스(잔량실사표)'!E:E)*E120+SUMIF('창고3(실사표)'!B:B,재고차이!A:A,'창고3(실사표)'!E:E)*E120</f>
        <v/>
      </c>
      <c r="H12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2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20" s="245">
        <f>SUM(F120:I120)</f>
        <v/>
      </c>
      <c r="K120" s="245">
        <f>SUMIF('SAP(B117)'!B:B,재고차이!B:B,'SAP(B117)'!Q:Q)</f>
        <v/>
      </c>
      <c r="L120" s="245">
        <f>SUMIF(주간상차!A:A,재고차이!A:A,주간상차!E:E)</f>
        <v/>
      </c>
      <c r="M120" s="246">
        <f>J120-K120-L120-N120+O120+Q120</f>
        <v/>
      </c>
      <c r="N120" s="274" t="n"/>
      <c r="O120" s="275" t="n"/>
      <c r="P120" s="276" t="n"/>
      <c r="Q120" s="277">
        <f>SUMIF(파손품!D:D,재고차이!B:B,파손품!I:I)+SUMIF(동파파손!D:D,재고차이!B:B,동파파손!I:I)</f>
        <v/>
      </c>
      <c r="R120" s="0">
        <f>M120/E120</f>
        <v/>
      </c>
    </row>
    <row r="121" ht="18.75" customHeight="1" s="237">
      <c r="A121" s="9" t="n">
        <v>6285</v>
      </c>
      <c r="B121" s="9">
        <f>VLOOKUP(A:A,제품등록!A:B,2,0)</f>
        <v/>
      </c>
      <c r="C121" s="29">
        <f>VLOOKUP(B121,제품등록!B:C,2,0)</f>
        <v/>
      </c>
      <c r="D121" s="9" t="n"/>
      <c r="E121" s="9" t="n">
        <v>48</v>
      </c>
      <c r="F121" s="245">
        <f>SUMIF('창고1(실사표)'!B:B,재고차이!A:A,'창고1(실사표)'!F:F)*D121+SUMIF('창고2(실사표)'!B:B,재고차이!A:A,'창고2(실사표)'!F:F)*D121+SUMIF('믹스(잔량실사표)'!B:B,재고차이!A:A,'믹스(잔량실사표)'!F:F)*D121</f>
        <v/>
      </c>
      <c r="G121" s="245">
        <f>SUMIF('창고1(실사표)'!B:B,재고차이!A:A,'창고1(실사표)'!E:E)*E121+SUMIF('창고2(실사표)'!B:B,재고차이!A:A,'창고2(실사표)'!E:E)*E121+SUMIF('믹스(잔량실사표)'!B:B,재고차이!A:A,'믹스(잔량실사표)'!E:E)*E121+SUMIF('창고3(실사표)'!B:B,재고차이!A:A,'창고3(실사표)'!E:E)*E121</f>
        <v/>
      </c>
      <c r="H12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2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21" s="245">
        <f>SUM(F121:I121)</f>
        <v/>
      </c>
      <c r="K121" s="245">
        <f>SUMIF('SAP(B117)'!B:B,재고차이!B:B,'SAP(B117)'!Q:Q)</f>
        <v/>
      </c>
      <c r="L121" s="245">
        <f>SUMIF(주간상차!A:A,재고차이!A:A,주간상차!E:E)</f>
        <v/>
      </c>
      <c r="M121" s="246">
        <f>J121-K121-L121-N121+O121+Q121</f>
        <v/>
      </c>
      <c r="N121" s="274" t="n"/>
      <c r="O121" s="275" t="n"/>
      <c r="P121" s="276" t="n"/>
      <c r="Q121" s="277">
        <f>SUMIF(파손품!D:D,재고차이!B:B,파손품!I:I)+SUMIF(동파파손!D:D,재고차이!B:B,동파파손!I:I)</f>
        <v/>
      </c>
      <c r="R121" s="0">
        <f>M121/E121</f>
        <v/>
      </c>
    </row>
    <row r="122" ht="18.75" customHeight="1" s="237">
      <c r="A122" s="9" t="n">
        <v>6349</v>
      </c>
      <c r="B122" s="9">
        <f>VLOOKUP(A:A,제품등록!A:B,2,0)</f>
        <v/>
      </c>
      <c r="C122" s="29">
        <f>VLOOKUP(B122,제품등록!B:C,2,0)</f>
        <v/>
      </c>
      <c r="D122" s="9" t="n">
        <v>32</v>
      </c>
      <c r="E122" s="9" t="n">
        <v>33</v>
      </c>
      <c r="F122" s="245">
        <f>SUMIF('창고1(실사표)'!B:B,재고차이!A:A,'창고1(실사표)'!F:F)*D122+SUMIF('창고2(실사표)'!B:B,재고차이!A:A,'창고2(실사표)'!F:F)*D122+SUMIF('믹스(잔량실사표)'!B:B,재고차이!A:A,'믹스(잔량실사표)'!F:F)*D122</f>
        <v/>
      </c>
      <c r="G122" s="245">
        <f>SUMIF('창고1(실사표)'!B:B,재고차이!A:A,'창고1(실사표)'!E:E)*E122+SUMIF('창고2(실사표)'!B:B,재고차이!A:A,'창고2(실사표)'!E:E)*E122+SUMIF('믹스(잔량실사표)'!B:B,재고차이!A:A,'믹스(잔량실사표)'!E:E)*E122+SUMIF('창고3(실사표)'!B:B,재고차이!A:A,'창고3(실사표)'!E:E)*E122</f>
        <v/>
      </c>
      <c r="H12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2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22" s="245">
        <f>SUM(F122:I122)</f>
        <v/>
      </c>
      <c r="K122" s="245">
        <f>SUMIF('SAP(B117)'!B:B,재고차이!B:B,'SAP(B117)'!Q:Q)</f>
        <v/>
      </c>
      <c r="L122" s="245">
        <f>SUMIF(주간상차!A:A,재고차이!A:A,주간상차!E:E)</f>
        <v/>
      </c>
      <c r="M122" s="246">
        <f>J122-K122-L122-N122+O122+Q122</f>
        <v/>
      </c>
      <c r="N122" s="274" t="n"/>
      <c r="O122" s="275" t="n"/>
      <c r="P122" s="276" t="n"/>
      <c r="Q122" s="277">
        <f>SUMIF(파손품!D:D,재고차이!B:B,파손품!I:I)+SUMIF(동파파손!D:D,재고차이!B:B,동파파손!I:I)</f>
        <v/>
      </c>
      <c r="R122" s="0">
        <f>M122/E122</f>
        <v/>
      </c>
    </row>
    <row r="123" ht="18.75" customHeight="1" s="237">
      <c r="A123" s="9" t="n">
        <v>6509</v>
      </c>
      <c r="B123" s="9">
        <f>VLOOKUP(A:A,제품등록!A:B,2,0)</f>
        <v/>
      </c>
      <c r="C123" s="29">
        <f>VLOOKUP(B123,제품등록!B:C,2,0)</f>
        <v/>
      </c>
      <c r="D123" s="9" t="n">
        <v>32</v>
      </c>
      <c r="E123" s="9" t="n">
        <v>44</v>
      </c>
      <c r="F123" s="245">
        <f>SUMIF('창고1(실사표)'!B:B,재고차이!A:A,'창고1(실사표)'!F:F)*D123+SUMIF('창고2(실사표)'!B:B,재고차이!A:A,'창고2(실사표)'!F:F)*D123+SUMIF('믹스(잔량실사표)'!B:B,재고차이!A:A,'믹스(잔량실사표)'!F:F)*D123</f>
        <v/>
      </c>
      <c r="G123" s="245">
        <f>SUMIF('창고1(실사표)'!B:B,재고차이!A:A,'창고1(실사표)'!E:E)*E123+SUMIF('창고2(실사표)'!B:B,재고차이!A:A,'창고2(실사표)'!E:E)*E123+SUMIF('믹스(잔량실사표)'!B:B,재고차이!A:A,'믹스(잔량실사표)'!E:E)*E123+SUMIF('창고3(실사표)'!B:B,재고차이!A:A,'창고3(실사표)'!E:E)*E123</f>
        <v/>
      </c>
      <c r="H12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2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23" s="245">
        <f>SUM(F123:I123)</f>
        <v/>
      </c>
      <c r="K123" s="245">
        <f>SUMIF('SAP(B117)'!B:B,재고차이!B:B,'SAP(B117)'!Q:Q)</f>
        <v/>
      </c>
      <c r="L123" s="245">
        <f>SUMIF(주간상차!A:A,재고차이!A:A,주간상차!E:E)</f>
        <v/>
      </c>
      <c r="M123" s="246">
        <f>J123-K123-L123-N123+O123+Q123</f>
        <v/>
      </c>
      <c r="N123" s="274" t="n"/>
      <c r="O123" s="275" t="n"/>
      <c r="P123" s="276" t="n"/>
      <c r="Q123" s="277">
        <f>SUMIF(파손품!D:D,재고차이!B:B,파손품!I:I)+SUMIF(동파파손!D:D,재고차이!B:B,동파파손!I:I)</f>
        <v/>
      </c>
      <c r="R123" s="0">
        <f>M123/E123</f>
        <v/>
      </c>
    </row>
    <row r="124" ht="18.75" customHeight="1" s="237">
      <c r="A124" s="9" t="n">
        <v>6676</v>
      </c>
      <c r="B124" s="9">
        <f>VLOOKUP(A:A,제품등록!A:B,2,0)</f>
        <v/>
      </c>
      <c r="C124" s="29">
        <f>VLOOKUP(B124,제품등록!B:C,2,0)</f>
        <v/>
      </c>
      <c r="D124" s="9" t="n">
        <v>40</v>
      </c>
      <c r="E124" s="9" t="n">
        <v>60</v>
      </c>
      <c r="F124" s="245">
        <f>SUMIF('창고1(실사표)'!B:B,재고차이!A:A,'창고1(실사표)'!F:F)*D124+SUMIF('창고2(실사표)'!B:B,재고차이!A:A,'창고2(실사표)'!F:F)*D124+SUMIF('믹스(잔량실사표)'!B:B,재고차이!A:A,'믹스(잔량실사표)'!F:F)*D124</f>
        <v/>
      </c>
      <c r="G124" s="245">
        <f>SUMIF('창고1(실사표)'!B:B,재고차이!A:A,'창고1(실사표)'!E:E)*E124+SUMIF('창고2(실사표)'!B:B,재고차이!A:A,'창고2(실사표)'!E:E)*E124+SUMIF('믹스(잔량실사표)'!B:B,재고차이!A:A,'믹스(잔량실사표)'!E:E)*E124+SUMIF('창고3(실사표)'!B:B,재고차이!A:A,'창고3(실사표)'!E:E)*E124</f>
        <v/>
      </c>
      <c r="H12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2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24" s="245">
        <f>SUM(F124:I124)</f>
        <v/>
      </c>
      <c r="K124" s="245">
        <f>SUMIF('SAP(B117)'!B:B,재고차이!B:B,'SAP(B117)'!Q:Q)</f>
        <v/>
      </c>
      <c r="L124" s="245">
        <f>SUMIF(주간상차!A:A,재고차이!A:A,주간상차!E:E)</f>
        <v/>
      </c>
      <c r="M124" s="246">
        <f>J124-K124-L124-N124+O124+Q124</f>
        <v/>
      </c>
      <c r="N124" s="274" t="n"/>
      <c r="O124" s="275" t="n"/>
      <c r="P124" s="276" t="n"/>
      <c r="Q124" s="277">
        <f>SUMIF(파손품!D:D,재고차이!B:B,파손품!I:I)+SUMIF(동파파손!D:D,재고차이!B:B,동파파손!I:I)</f>
        <v/>
      </c>
      <c r="R124" s="0">
        <f>M124/E124</f>
        <v/>
      </c>
    </row>
    <row r="125" ht="18.75" customHeight="1" s="237">
      <c r="A125" s="9" t="n">
        <v>6705</v>
      </c>
      <c r="B125" s="9">
        <f>VLOOKUP(A:A,제품등록!A:B,2,0)</f>
        <v/>
      </c>
      <c r="C125" s="29">
        <f>VLOOKUP(B125,제품등록!B:C,2,0)</f>
        <v/>
      </c>
      <c r="D125" s="9" t="n">
        <v>64</v>
      </c>
      <c r="E125" s="9" t="n">
        <v>60</v>
      </c>
      <c r="F125" s="245">
        <f>SUMIF('창고1(실사표)'!B:B,재고차이!A:A,'창고1(실사표)'!F:F)*D125+SUMIF('창고2(실사표)'!B:B,재고차이!A:A,'창고2(실사표)'!F:F)*D125+SUMIF('믹스(잔량실사표)'!B:B,재고차이!A:A,'믹스(잔량실사표)'!F:F)*D125</f>
        <v/>
      </c>
      <c r="G125" s="245">
        <f>SUMIF('창고1(실사표)'!B:B,재고차이!A:A,'창고1(실사표)'!E:E)*E125+SUMIF('창고2(실사표)'!B:B,재고차이!A:A,'창고2(실사표)'!E:E)*E125+SUMIF('믹스(잔량실사표)'!B:B,재고차이!A:A,'믹스(잔량실사표)'!E:E)*E125+SUMIF('창고3(실사표)'!B:B,재고차이!A:A,'창고3(실사표)'!E:E)*E125</f>
        <v/>
      </c>
      <c r="H12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2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25" s="245">
        <f>SUM(F125:I125)</f>
        <v/>
      </c>
      <c r="K125" s="245">
        <f>SUMIF('SAP(B117)'!B:B,재고차이!B:B,'SAP(B117)'!Q:Q)</f>
        <v/>
      </c>
      <c r="L125" s="245">
        <f>SUMIF(주간상차!A:A,재고차이!A:A,주간상차!E:E)</f>
        <v/>
      </c>
      <c r="M125" s="246">
        <f>J125-K125-L125-N125+O125+Q125</f>
        <v/>
      </c>
      <c r="N125" s="274" t="n"/>
      <c r="O125" s="275" t="n"/>
      <c r="P125" s="276" t="n"/>
      <c r="Q125" s="277">
        <f>SUMIF(파손품!D:D,재고차이!B:B,파손품!I:I)+SUMIF(동파파손!D:D,재고차이!B:B,동파파손!I:I)</f>
        <v/>
      </c>
      <c r="R125" s="0">
        <f>M125/E125</f>
        <v/>
      </c>
    </row>
    <row r="126" ht="18.75" customHeight="1" s="237">
      <c r="A126" s="9" t="n">
        <v>6706</v>
      </c>
      <c r="B126" s="9">
        <f>VLOOKUP(A:A,제품등록!A:B,2,0)</f>
        <v/>
      </c>
      <c r="C126" s="29">
        <f>VLOOKUP(B126,제품등록!B:C,2,0)</f>
        <v/>
      </c>
      <c r="D126" s="9" t="n">
        <v>64</v>
      </c>
      <c r="E126" s="9" t="n">
        <v>60</v>
      </c>
      <c r="F126" s="245">
        <f>SUMIF('창고1(실사표)'!B:B,재고차이!A:A,'창고1(실사표)'!F:F)*D126+SUMIF('창고2(실사표)'!B:B,재고차이!A:A,'창고2(실사표)'!F:F)*D126+SUMIF('믹스(잔량실사표)'!B:B,재고차이!A:A,'믹스(잔량실사표)'!F:F)*D126</f>
        <v/>
      </c>
      <c r="G126" s="245">
        <f>SUMIF('창고1(실사표)'!B:B,재고차이!A:A,'창고1(실사표)'!E:E)*E126+SUMIF('창고2(실사표)'!B:B,재고차이!A:A,'창고2(실사표)'!E:E)*E126+SUMIF('믹스(잔량실사표)'!B:B,재고차이!A:A,'믹스(잔량실사표)'!E:E)*E126+SUMIF('창고3(실사표)'!B:B,재고차이!A:A,'창고3(실사표)'!E:E)*E126</f>
        <v/>
      </c>
      <c r="H12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2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26" s="245">
        <f>SUM(F126:I126)</f>
        <v/>
      </c>
      <c r="K126" s="245">
        <f>SUMIF('SAP(B117)'!B:B,재고차이!B:B,'SAP(B117)'!Q:Q)</f>
        <v/>
      </c>
      <c r="L126" s="245">
        <f>SUMIF(주간상차!A:A,재고차이!A:A,주간상차!E:E)</f>
        <v/>
      </c>
      <c r="M126" s="246">
        <f>J126-K126-L126-N126+O126+Q126</f>
        <v/>
      </c>
      <c r="N126" s="274" t="n"/>
      <c r="O126" s="275" t="n"/>
      <c r="P126" s="276" t="n"/>
      <c r="Q126" s="277">
        <f>SUMIF(파손품!D:D,재고차이!B:B,파손품!I:I)+SUMIF(동파파손!D:D,재고차이!B:B,동파파손!I:I)</f>
        <v/>
      </c>
      <c r="R126" s="0">
        <f>M126/E126</f>
        <v/>
      </c>
    </row>
    <row r="127" ht="18.75" customHeight="1" s="237">
      <c r="A127" s="9" t="n">
        <v>6871</v>
      </c>
      <c r="B127" s="9">
        <f>VLOOKUP(A:A,제품등록!A:B,2,0)</f>
        <v/>
      </c>
      <c r="C127" s="29">
        <f>VLOOKUP(B127,제품등록!B:C,2,0)</f>
        <v/>
      </c>
      <c r="D127" s="9" t="n"/>
      <c r="E127" s="9" t="n">
        <v>48</v>
      </c>
      <c r="F127" s="245">
        <f>SUMIF('창고1(실사표)'!B:B,재고차이!A:A,'창고1(실사표)'!F:F)*D127+SUMIF('창고2(실사표)'!B:B,재고차이!A:A,'창고2(실사표)'!F:F)*D127+SUMIF('믹스(잔량실사표)'!B:B,재고차이!A:A,'믹스(잔량실사표)'!F:F)*D127</f>
        <v/>
      </c>
      <c r="G127" s="245">
        <f>SUMIF('창고1(실사표)'!B:B,재고차이!A:A,'창고1(실사표)'!E:E)*E127+SUMIF('창고2(실사표)'!B:B,재고차이!A:A,'창고2(실사표)'!E:E)*E127+SUMIF('믹스(잔량실사표)'!B:B,재고차이!A:A,'믹스(잔량실사표)'!E:E)*E127+SUMIF('창고3(실사표)'!B:B,재고차이!A:A,'창고3(실사표)'!E:E)*E127</f>
        <v/>
      </c>
      <c r="H12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2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27" s="245">
        <f>SUM(F127:I127)</f>
        <v/>
      </c>
      <c r="K127" s="245">
        <f>SUMIF('SAP(B117)'!B:B,재고차이!B:B,'SAP(B117)'!Q:Q)</f>
        <v/>
      </c>
      <c r="L127" s="245">
        <f>SUMIF(주간상차!A:A,재고차이!A:A,주간상차!E:E)</f>
        <v/>
      </c>
      <c r="M127" s="246">
        <f>J127-K127-L127-N127+O127+Q127</f>
        <v/>
      </c>
      <c r="N127" s="274" t="n"/>
      <c r="O127" s="275" t="n"/>
      <c r="P127" s="276" t="n"/>
      <c r="Q127" s="277">
        <f>SUMIF(파손품!D:D,재고차이!B:B,파손품!I:I)+SUMIF(동파파손!D:D,재고차이!B:B,동파파손!I:I)</f>
        <v/>
      </c>
      <c r="R127" s="0">
        <f>M127/E127</f>
        <v/>
      </c>
    </row>
    <row r="128" ht="18.75" customHeight="1" s="237">
      <c r="A128" s="9" t="n">
        <v>7532</v>
      </c>
      <c r="B128" s="9">
        <f>VLOOKUP(A:A,제품등록!A:B,2,0)</f>
        <v/>
      </c>
      <c r="C128" s="29">
        <f>VLOOKUP(B128,제품등록!B:C,2,0)</f>
        <v/>
      </c>
      <c r="D128" s="9" t="n">
        <v>40</v>
      </c>
      <c r="E128" s="9" t="n">
        <v>44</v>
      </c>
      <c r="F128" s="245">
        <f>SUMIF('창고1(실사표)'!B:B,재고차이!A:A,'창고1(실사표)'!F:F)*D128+SUMIF('창고2(실사표)'!B:B,재고차이!A:A,'창고2(실사표)'!F:F)*D128+SUMIF('믹스(잔량실사표)'!B:B,재고차이!A:A,'믹스(잔량실사표)'!F:F)*D128</f>
        <v/>
      </c>
      <c r="G128" s="245">
        <f>SUMIF('창고1(실사표)'!B:B,재고차이!A:A,'창고1(실사표)'!E:E)*E128+SUMIF('창고2(실사표)'!B:B,재고차이!A:A,'창고2(실사표)'!E:E)*E128+SUMIF('믹스(잔량실사표)'!B:B,재고차이!A:A,'믹스(잔량실사표)'!E:E)*E128+SUMIF('창고3(실사표)'!B:B,재고차이!A:A,'창고3(실사표)'!E:E)*E128</f>
        <v/>
      </c>
      <c r="H12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2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28" s="245">
        <f>SUM(F128:I128)</f>
        <v/>
      </c>
      <c r="K128" s="245">
        <f>SUMIF('SAP(B117)'!B:B,재고차이!B:B,'SAP(B117)'!Q:Q)</f>
        <v/>
      </c>
      <c r="L128" s="245">
        <f>SUMIF(주간상차!A:A,재고차이!A:A,주간상차!E:E)</f>
        <v/>
      </c>
      <c r="M128" s="246">
        <f>J128-K128-L128-N128+O128+Q128</f>
        <v/>
      </c>
      <c r="N128" s="274" t="n"/>
      <c r="O128" s="275" t="n"/>
      <c r="P128" s="276" t="n"/>
      <c r="Q128" s="277">
        <f>SUMIF(파손품!D:D,재고차이!B:B,파손품!I:I)+SUMIF(동파파손!D:D,재고차이!B:B,동파파손!I:I)</f>
        <v/>
      </c>
      <c r="R128" s="0">
        <f>M128/E128</f>
        <v/>
      </c>
    </row>
    <row r="129" ht="18" customHeight="1" s="237">
      <c r="A129" s="9" t="n">
        <v>7539</v>
      </c>
      <c r="B129" s="9">
        <f>VLOOKUP(A:A,제품등록!A:B,2,0)</f>
        <v/>
      </c>
      <c r="C129" s="29">
        <f>VLOOKUP(B129,제품등록!B:C,2,0)</f>
        <v/>
      </c>
      <c r="D129" s="9" t="n"/>
      <c r="E129" s="9" t="n">
        <v>100</v>
      </c>
      <c r="F129" s="245">
        <f>SUMIF('창고1(실사표)'!B:B,재고차이!A:A,'창고1(실사표)'!F:F)*D129+SUMIF('창고2(실사표)'!B:B,재고차이!A:A,'창고2(실사표)'!F:F)*D129+SUMIF('믹스(잔량실사표)'!B:B,재고차이!A:A,'믹스(잔량실사표)'!F:F)*D129</f>
        <v/>
      </c>
      <c r="G129" s="245">
        <f>SUMIF('창고1(실사표)'!B:B,재고차이!A:A,'창고1(실사표)'!E:E)*E129+SUMIF('창고2(실사표)'!B:B,재고차이!A:A,'창고2(실사표)'!E:E)*E129+SUMIF('믹스(잔량실사표)'!B:B,재고차이!A:A,'믹스(잔량실사표)'!E:E)*E129+SUMIF('창고3(실사표)'!B:B,재고차이!A:A,'창고3(실사표)'!E:E)*E129</f>
        <v/>
      </c>
      <c r="H12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2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29" s="245">
        <f>SUM(F129:I129)</f>
        <v/>
      </c>
      <c r="K129" s="245">
        <f>SUMIF('SAP(B117)'!B:B,재고차이!B:B,'SAP(B117)'!Q:Q)</f>
        <v/>
      </c>
      <c r="L129" s="245">
        <f>SUMIF(주간상차!A:A,재고차이!A:A,주간상차!E:E)</f>
        <v/>
      </c>
      <c r="M129" s="246">
        <f>J129-K129-L129-N129+O129+Q129</f>
        <v/>
      </c>
      <c r="N129" s="274" t="n"/>
      <c r="O129" s="275" t="n"/>
      <c r="P129" s="276" t="n"/>
      <c r="Q129" s="277">
        <f>SUMIF(파손품!D:D,재고차이!B:B,파손품!I:I)+SUMIF(동파파손!D:D,재고차이!B:B,동파파손!I:I)</f>
        <v/>
      </c>
      <c r="R129" s="0">
        <f>M129/E129</f>
        <v/>
      </c>
    </row>
    <row r="130" ht="19.5" customHeight="1" s="237">
      <c r="A130" s="9" t="n">
        <v>7719</v>
      </c>
      <c r="B130" s="9">
        <f>VLOOKUP(A:A,제품등록!A:B,2,0)</f>
        <v/>
      </c>
      <c r="C130" s="29">
        <f>VLOOKUP(B130,제품등록!B:C,2,0)</f>
        <v/>
      </c>
      <c r="D130" s="9" t="n"/>
      <c r="E130" s="9" t="n">
        <v>100</v>
      </c>
      <c r="F130" s="245">
        <f>SUMIF('창고1(실사표)'!B:B,재고차이!A:A,'창고1(실사표)'!F:F)*D130+SUMIF('창고2(실사표)'!B:B,재고차이!A:A,'창고2(실사표)'!F:F)*D130+SUMIF('믹스(잔량실사표)'!B:B,재고차이!A:A,'믹스(잔량실사표)'!F:F)*D130</f>
        <v/>
      </c>
      <c r="G130" s="245">
        <f>SUMIF('창고1(실사표)'!B:B,재고차이!A:A,'창고1(실사표)'!E:E)*E130+SUMIF('창고2(실사표)'!B:B,재고차이!A:A,'창고2(실사표)'!E:E)*E130+SUMIF('믹스(잔량실사표)'!B:B,재고차이!A:A,'믹스(잔량실사표)'!E:E)*E130+SUMIF('창고3(실사표)'!B:B,재고차이!A:A,'창고3(실사표)'!E:E)*E130</f>
        <v/>
      </c>
      <c r="H13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3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30" s="245">
        <f>SUM(F130:I130)</f>
        <v/>
      </c>
      <c r="K130" s="245">
        <f>SUMIF('SAP(B117)'!B:B,재고차이!B:B,'SAP(B117)'!Q:Q)</f>
        <v/>
      </c>
      <c r="L130" s="245">
        <f>SUMIF(주간상차!A:A,재고차이!A:A,주간상차!E:E)</f>
        <v/>
      </c>
      <c r="M130" s="246">
        <f>J130-K130-L130-N130+O130+Q130</f>
        <v/>
      </c>
      <c r="N130" s="274" t="n"/>
      <c r="O130" s="275" t="n"/>
      <c r="P130" s="276" t="n"/>
      <c r="Q130" s="277">
        <f>SUMIF(파손품!D:D,재고차이!B:B,파손품!I:I)+SUMIF(동파파손!D:D,재고차이!B:B,동파파손!I:I)</f>
        <v/>
      </c>
      <c r="R130" s="0">
        <f>M130/E130</f>
        <v/>
      </c>
    </row>
    <row r="131" ht="18.75" customHeight="1" s="237">
      <c r="A131" s="9" t="n">
        <v>7721</v>
      </c>
      <c r="B131" s="9">
        <f>VLOOKUP(A:A,제품등록!A:B,2,0)</f>
        <v/>
      </c>
      <c r="C131" s="29">
        <f>VLOOKUP(B131,제품등록!B:C,2,0)</f>
        <v/>
      </c>
      <c r="D131" s="9" t="n"/>
      <c r="E131" s="9" t="n">
        <v>70</v>
      </c>
      <c r="F131" s="245">
        <f>SUMIF('창고1(실사표)'!B:B,재고차이!A:A,'창고1(실사표)'!F:F)*D131+SUMIF('창고2(실사표)'!B:B,재고차이!A:A,'창고2(실사표)'!F:F)*D131+SUMIF('믹스(잔량실사표)'!B:B,재고차이!A:A,'믹스(잔량실사표)'!F:F)*D131</f>
        <v/>
      </c>
      <c r="G131" s="245">
        <f>SUMIF('창고1(실사표)'!B:B,재고차이!A:A,'창고1(실사표)'!E:E)*E131+SUMIF('창고2(실사표)'!B:B,재고차이!A:A,'창고2(실사표)'!E:E)*E131+SUMIF('믹스(잔량실사표)'!B:B,재고차이!A:A,'믹스(잔량실사표)'!E:E)*E131+SUMIF('창고3(실사표)'!B:B,재고차이!A:A,'창고3(실사표)'!E:E)*E131</f>
        <v/>
      </c>
      <c r="H13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3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31" s="245">
        <f>SUM(F131:I131)</f>
        <v/>
      </c>
      <c r="K131" s="245">
        <f>SUMIF('SAP(B117)'!B:B,재고차이!B:B,'SAP(B117)'!Q:Q)</f>
        <v/>
      </c>
      <c r="L131" s="245">
        <f>SUMIF(주간상차!A:A,재고차이!A:A,주간상차!E:E)</f>
        <v/>
      </c>
      <c r="M131" s="246">
        <f>J131-K131-L131-N131+O131+Q131</f>
        <v/>
      </c>
      <c r="N131" s="274" t="n"/>
      <c r="O131" s="275" t="n"/>
      <c r="P131" s="276" t="n"/>
      <c r="Q131" s="277">
        <f>SUMIF(파손품!D:D,재고차이!B:B,파손품!I:I)+SUMIF(동파파손!D:D,재고차이!B:B,동파파손!I:I)</f>
        <v/>
      </c>
      <c r="R131" s="0">
        <f>M131/E131</f>
        <v/>
      </c>
    </row>
    <row r="132" ht="18.75" customHeight="1" s="237">
      <c r="A132" s="9" t="n">
        <v>7724</v>
      </c>
      <c r="B132" s="9">
        <f>VLOOKUP(A:A,제품등록!A:B,2,0)</f>
        <v/>
      </c>
      <c r="C132" s="29">
        <f>VLOOKUP(B132,제품등록!B:C,2,0)</f>
        <v/>
      </c>
      <c r="D132" s="9" t="n"/>
      <c r="E132" s="9" t="n">
        <v>60</v>
      </c>
      <c r="F132" s="245">
        <f>SUMIF('창고1(실사표)'!B:B,재고차이!A:A,'창고1(실사표)'!F:F)*D132+SUMIF('창고2(실사표)'!B:B,재고차이!A:A,'창고2(실사표)'!F:F)*D132+SUMIF('믹스(잔량실사표)'!B:B,재고차이!A:A,'믹스(잔량실사표)'!F:F)*D132</f>
        <v/>
      </c>
      <c r="G132" s="245">
        <f>SUMIF('창고1(실사표)'!B:B,재고차이!A:A,'창고1(실사표)'!E:E)*E132+SUMIF('창고2(실사표)'!B:B,재고차이!A:A,'창고2(실사표)'!E:E)*E132+SUMIF('믹스(잔량실사표)'!B:B,재고차이!A:A,'믹스(잔량실사표)'!E:E)*E132+SUMIF('창고3(실사표)'!B:B,재고차이!A:A,'창고3(실사표)'!E:E)*E132</f>
        <v/>
      </c>
      <c r="H13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3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32" s="245">
        <f>SUM(F132:I132)</f>
        <v/>
      </c>
      <c r="K132" s="245">
        <f>SUMIF('SAP(B117)'!B:B,재고차이!B:B,'SAP(B117)'!Q:Q)</f>
        <v/>
      </c>
      <c r="L132" s="245">
        <f>SUMIF(주간상차!A:A,재고차이!A:A,주간상차!E:E)</f>
        <v/>
      </c>
      <c r="M132" s="246">
        <f>J132-K132-L132-N132+O132+Q132</f>
        <v/>
      </c>
      <c r="N132" s="274" t="n"/>
      <c r="O132" s="275" t="n"/>
      <c r="P132" s="276" t="n"/>
      <c r="Q132" s="277">
        <f>SUMIF(파손품!D:D,재고차이!B:B,파손품!I:I)+SUMIF(동파파손!D:D,재고차이!B:B,동파파손!I:I)</f>
        <v/>
      </c>
      <c r="R132" s="0">
        <f>M132/E132</f>
        <v/>
      </c>
    </row>
    <row r="133" ht="18.75" customHeight="1" s="237">
      <c r="A133" s="9" t="n">
        <v>7877</v>
      </c>
      <c r="B133" s="9">
        <f>VLOOKUP(A:A,제품등록!A:B,2,0)</f>
        <v/>
      </c>
      <c r="C133" s="29">
        <f>VLOOKUP(B133,제품등록!B:C,2,0)</f>
        <v/>
      </c>
      <c r="D133" s="9" t="n"/>
      <c r="E133" s="9" t="n">
        <v>72</v>
      </c>
      <c r="F133" s="245">
        <f>SUMIF('창고1(실사표)'!B:B,재고차이!A:A,'창고1(실사표)'!F:F)*D133+SUMIF('창고2(실사표)'!B:B,재고차이!A:A,'창고2(실사표)'!F:F)*D133+SUMIF('믹스(잔량실사표)'!B:B,재고차이!A:A,'믹스(잔량실사표)'!F:F)*D133</f>
        <v/>
      </c>
      <c r="G133" s="245">
        <f>SUMIF('창고1(실사표)'!B:B,재고차이!A:A,'창고1(실사표)'!E:E)*E133+SUMIF('창고2(실사표)'!B:B,재고차이!A:A,'창고2(실사표)'!E:E)*E133+SUMIF('믹스(잔량실사표)'!B:B,재고차이!A:A,'믹스(잔량실사표)'!E:E)*E133+SUMIF('창고3(실사표)'!B:B,재고차이!A:A,'창고3(실사표)'!E:E)*E133</f>
        <v/>
      </c>
      <c r="H13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3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33" s="245">
        <f>SUM(F133:I133)</f>
        <v/>
      </c>
      <c r="K133" s="245">
        <f>SUMIF('SAP(B117)'!B:B,재고차이!B:B,'SAP(B117)'!Q:Q)</f>
        <v/>
      </c>
      <c r="L133" s="245">
        <f>SUMIF(주간상차!A:A,재고차이!A:A,주간상차!E:E)</f>
        <v/>
      </c>
      <c r="M133" s="246">
        <f>J133-K133-L133-N133+O133+Q133</f>
        <v/>
      </c>
      <c r="N133" s="274" t="n"/>
      <c r="O133" s="275" t="n"/>
      <c r="P133" s="276" t="n"/>
      <c r="Q133" s="277">
        <f>SUMIF(파손품!D:D,재고차이!B:B,파손품!I:I)+SUMIF(동파파손!D:D,재고차이!B:B,동파파손!I:I)</f>
        <v/>
      </c>
      <c r="R133" s="0">
        <f>M133/E133</f>
        <v/>
      </c>
    </row>
    <row r="134" ht="18.75" customHeight="1" s="237">
      <c r="A134" s="9" t="n">
        <v>7923</v>
      </c>
      <c r="B134" s="9">
        <f>VLOOKUP(A:A,제품등록!A:B,2,0)</f>
        <v/>
      </c>
      <c r="C134" s="29">
        <f>VLOOKUP(B134,제품등록!B:C,2,0)</f>
        <v/>
      </c>
      <c r="D134" s="9" t="n">
        <v>32</v>
      </c>
      <c r="E134" s="9" t="n">
        <v>44</v>
      </c>
      <c r="F134" s="245">
        <f>SUMIF('창고1(실사표)'!B:B,재고차이!A:A,'창고1(실사표)'!F:F)*D134+SUMIF('창고2(실사표)'!B:B,재고차이!A:A,'창고2(실사표)'!F:F)*D134+SUMIF('믹스(잔량실사표)'!B:B,재고차이!A:A,'믹스(잔량실사표)'!F:F)*D134</f>
        <v/>
      </c>
      <c r="G134" s="245">
        <f>SUMIF('창고1(실사표)'!B:B,재고차이!A:A,'창고1(실사표)'!E:E)*E134+SUMIF('창고2(실사표)'!B:B,재고차이!A:A,'창고2(실사표)'!E:E)*E134+SUMIF('믹스(잔량실사표)'!B:B,재고차이!A:A,'믹스(잔량실사표)'!E:E)*E134+SUMIF('창고3(실사표)'!B:B,재고차이!A:A,'창고3(실사표)'!E:E)*E134</f>
        <v/>
      </c>
      <c r="H13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3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34" s="245">
        <f>SUM(F134:I134)</f>
        <v/>
      </c>
      <c r="K134" s="245">
        <f>SUMIF('SAP(B117)'!B:B,재고차이!B:B,'SAP(B117)'!Q:Q)</f>
        <v/>
      </c>
      <c r="L134" s="245">
        <f>SUMIF(주간상차!A:A,재고차이!A:A,주간상차!E:E)</f>
        <v/>
      </c>
      <c r="M134" s="246">
        <f>J134-K134-L134-N134+O134+Q134</f>
        <v/>
      </c>
      <c r="N134" s="274" t="n"/>
      <c r="O134" s="275" t="n">
        <v>44</v>
      </c>
      <c r="P134" s="276" t="inlineStr">
        <is>
          <t>12/16 BGF서인천 1판 맞교환건 입고 예정</t>
        </is>
      </c>
      <c r="Q134" s="277">
        <f>SUMIF(파손품!D:D,재고차이!B:B,파손품!I:I)+SUMIF(동파파손!D:D,재고차이!B:B,동파파손!I:I)</f>
        <v/>
      </c>
      <c r="R134" s="0">
        <f>M134/E134</f>
        <v/>
      </c>
    </row>
    <row r="135" ht="18.75" customHeight="1" s="237">
      <c r="A135" s="9" t="n">
        <v>7928</v>
      </c>
      <c r="B135" s="9">
        <f>VLOOKUP(A:A,제품등록!A:B,2,0)</f>
        <v/>
      </c>
      <c r="C135" s="29">
        <f>VLOOKUP(B135,제품등록!B:C,2,0)</f>
        <v/>
      </c>
      <c r="D135" s="9" t="n"/>
      <c r="E135" s="9" t="n">
        <v>32</v>
      </c>
      <c r="F135" s="245">
        <f>SUMIF('창고1(실사표)'!B:B,재고차이!A:A,'창고1(실사표)'!F:F)*D135+SUMIF('창고2(실사표)'!B:B,재고차이!A:A,'창고2(실사표)'!F:F)*D135+SUMIF('믹스(잔량실사표)'!B:B,재고차이!A:A,'믹스(잔량실사표)'!F:F)*D135</f>
        <v/>
      </c>
      <c r="G135" s="245">
        <f>SUMIF('창고1(실사표)'!B:B,재고차이!A:A,'창고1(실사표)'!E:E)*E135+SUMIF('창고2(실사표)'!B:B,재고차이!A:A,'창고2(실사표)'!E:E)*E135+SUMIF('믹스(잔량실사표)'!B:B,재고차이!A:A,'믹스(잔량실사표)'!E:E)*E135+SUMIF('창고3(실사표)'!B:B,재고차이!A:A,'창고3(실사표)'!E:E)*E135</f>
        <v/>
      </c>
      <c r="H13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3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35" s="245">
        <f>SUM(F135:I135)</f>
        <v/>
      </c>
      <c r="K135" s="245">
        <f>SUMIF('SAP(B117)'!B:B,재고차이!B:B,'SAP(B117)'!Q:Q)</f>
        <v/>
      </c>
      <c r="L135" s="245">
        <f>SUMIF(주간상차!A:A,재고차이!A:A,주간상차!E:E)</f>
        <v/>
      </c>
      <c r="M135" s="246">
        <f>J135-K135-L135-N135+O135+Q135</f>
        <v/>
      </c>
      <c r="N135" s="274" t="n"/>
      <c r="O135" s="275" t="n"/>
      <c r="P135" s="276" t="n"/>
      <c r="Q135" s="277">
        <f>SUMIF(파손품!D:D,재고차이!B:B,파손품!I:I)+SUMIF(동파파손!D:D,재고차이!B:B,동파파손!I:I)</f>
        <v/>
      </c>
      <c r="R135" s="0">
        <f>M135/E135</f>
        <v/>
      </c>
    </row>
    <row r="136" ht="18.75" customHeight="1" s="237">
      <c r="A136" s="9" t="n">
        <v>7941</v>
      </c>
      <c r="B136" s="9">
        <f>VLOOKUP(A:A,제품등록!A:B,2,0)</f>
        <v/>
      </c>
      <c r="C136" s="29">
        <f>VLOOKUP(B136,제품등록!B:C,2,0)</f>
        <v/>
      </c>
      <c r="D136" s="9" t="n"/>
      <c r="E136" s="9" t="n">
        <v>72</v>
      </c>
      <c r="F136" s="245">
        <f>SUMIF('창고1(실사표)'!B:B,재고차이!A:A,'창고1(실사표)'!F:F)*D136+SUMIF('창고2(실사표)'!B:B,재고차이!A:A,'창고2(실사표)'!F:F)*D136+SUMIF('믹스(잔량실사표)'!B:B,재고차이!A:A,'믹스(잔량실사표)'!F:F)*D136</f>
        <v/>
      </c>
      <c r="G136" s="245">
        <f>SUMIF('창고1(실사표)'!B:B,재고차이!A:A,'창고1(실사표)'!E:E)*E136+SUMIF('창고2(실사표)'!B:B,재고차이!A:A,'창고2(실사표)'!E:E)*E136+SUMIF('믹스(잔량실사표)'!B:B,재고차이!A:A,'믹스(잔량실사표)'!E:E)*E136+SUMIF('창고3(실사표)'!B:B,재고차이!A:A,'창고3(실사표)'!E:E)*E136</f>
        <v/>
      </c>
      <c r="H13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3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36" s="245">
        <f>SUM(F136:I136)</f>
        <v/>
      </c>
      <c r="K136" s="245">
        <f>SUMIF('SAP(B117)'!B:B,재고차이!B:B,'SAP(B117)'!Q:Q)</f>
        <v/>
      </c>
      <c r="L136" s="245">
        <f>SUMIF(주간상차!A:A,재고차이!A:A,주간상차!E:E)</f>
        <v/>
      </c>
      <c r="M136" s="246">
        <f>J136-K136-L136-N136+O136+Q136</f>
        <v/>
      </c>
      <c r="N136" s="274" t="n"/>
      <c r="O136" s="275" t="n"/>
      <c r="P136" s="276" t="n"/>
      <c r="Q136" s="277">
        <f>SUMIF(파손품!D:D,재고차이!B:B,파손품!I:I)+SUMIF(동파파손!D:D,재고차이!B:B,동파파손!I:I)</f>
        <v/>
      </c>
      <c r="R136" s="0">
        <f>M136/E136</f>
        <v/>
      </c>
    </row>
    <row r="137" ht="18.75" customHeight="1" s="237">
      <c r="A137" s="9" t="n">
        <v>7942</v>
      </c>
      <c r="B137" s="9">
        <f>VLOOKUP(A:A,제품등록!A:B,2,0)</f>
        <v/>
      </c>
      <c r="C137" s="29">
        <f>VLOOKUP(B137,제품등록!B:C,2,0)</f>
        <v/>
      </c>
      <c r="D137" s="9" t="n"/>
      <c r="E137" s="9" t="n">
        <v>72</v>
      </c>
      <c r="F137" s="245">
        <f>SUMIF('창고1(실사표)'!B:B,재고차이!A:A,'창고1(실사표)'!F:F)*D137+SUMIF('창고2(실사표)'!B:B,재고차이!A:A,'창고2(실사표)'!F:F)*D137+SUMIF('믹스(잔량실사표)'!B:B,재고차이!A:A,'믹스(잔량실사표)'!F:F)*D137</f>
        <v/>
      </c>
      <c r="G137" s="245">
        <f>SUMIF('창고1(실사표)'!B:B,재고차이!A:A,'창고1(실사표)'!E:E)*E137+SUMIF('창고2(실사표)'!B:B,재고차이!A:A,'창고2(실사표)'!E:E)*E137+SUMIF('믹스(잔량실사표)'!B:B,재고차이!A:A,'믹스(잔량실사표)'!E:E)*E137+SUMIF('창고3(실사표)'!B:B,재고차이!A:A,'창고3(실사표)'!E:E)*E137</f>
        <v/>
      </c>
      <c r="H13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3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37" s="245">
        <f>SUM(F137:I137)</f>
        <v/>
      </c>
      <c r="K137" s="245">
        <f>SUMIF('SAP(B117)'!B:B,재고차이!B:B,'SAP(B117)'!Q:Q)</f>
        <v/>
      </c>
      <c r="L137" s="245">
        <f>SUMIF(주간상차!A:A,재고차이!A:A,주간상차!E:E)</f>
        <v/>
      </c>
      <c r="M137" s="246">
        <f>J137-K137-L137-N137+O137+Q137</f>
        <v/>
      </c>
      <c r="N137" s="274" t="n"/>
      <c r="O137" s="275" t="n"/>
      <c r="P137" s="276" t="n"/>
      <c r="Q137" s="277">
        <f>SUMIF(파손품!D:D,재고차이!B:B,파손품!I:I)+SUMIF(동파파손!D:D,재고차이!B:B,동파파손!I:I)</f>
        <v/>
      </c>
      <c r="R137" s="0">
        <f>M137/E137</f>
        <v/>
      </c>
    </row>
    <row r="138" ht="18.75" customHeight="1" s="237">
      <c r="A138" s="9" t="n">
        <v>7944</v>
      </c>
      <c r="B138" s="9">
        <f>VLOOKUP(A:A,제품등록!A:B,2,0)</f>
        <v/>
      </c>
      <c r="C138" s="29">
        <f>VLOOKUP(B138,제품등록!B:C,2,0)</f>
        <v/>
      </c>
      <c r="D138" s="9" t="n"/>
      <c r="E138" s="9" t="n">
        <v>72</v>
      </c>
      <c r="F138" s="245">
        <f>SUMIF('창고1(실사표)'!B:B,재고차이!A:A,'창고1(실사표)'!F:F)*D138+SUMIF('창고2(실사표)'!B:B,재고차이!A:A,'창고2(실사표)'!F:F)*D138+SUMIF('믹스(잔량실사표)'!B:B,재고차이!A:A,'믹스(잔량실사표)'!F:F)*D138</f>
        <v/>
      </c>
      <c r="G138" s="245">
        <f>SUMIF('창고1(실사표)'!B:B,재고차이!A:A,'창고1(실사표)'!E:E)*E138+SUMIF('창고2(실사표)'!B:B,재고차이!A:A,'창고2(실사표)'!E:E)*E138+SUMIF('믹스(잔량실사표)'!B:B,재고차이!A:A,'믹스(잔량실사표)'!E:E)*E138+SUMIF('창고3(실사표)'!B:B,재고차이!A:A,'창고3(실사표)'!E:E)*E138</f>
        <v/>
      </c>
      <c r="H13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3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38" s="245">
        <f>SUM(F138:I138)</f>
        <v/>
      </c>
      <c r="K138" s="245">
        <f>SUMIF('SAP(B117)'!B:B,재고차이!B:B,'SAP(B117)'!Q:Q)</f>
        <v/>
      </c>
      <c r="L138" s="245">
        <f>SUMIF(주간상차!A:A,재고차이!A:A,주간상차!E:E)</f>
        <v/>
      </c>
      <c r="M138" s="246">
        <f>J138-K138-L138-N138+O138+Q138</f>
        <v/>
      </c>
      <c r="N138" s="274" t="n"/>
      <c r="O138" s="275" t="n"/>
      <c r="P138" s="276" t="n"/>
      <c r="Q138" s="277">
        <f>SUMIF(파손품!D:D,재고차이!B:B,파손품!I:I)+SUMIF(동파파손!D:D,재고차이!B:B,동파파손!I:I)</f>
        <v/>
      </c>
      <c r="R138" s="0">
        <f>M138/E138</f>
        <v/>
      </c>
    </row>
    <row r="139" ht="18.75" customHeight="1" s="237">
      <c r="A139" s="9" t="n">
        <v>7945</v>
      </c>
      <c r="B139" s="9">
        <f>VLOOKUP(A:A,제품등록!A:B,2,0)</f>
        <v/>
      </c>
      <c r="C139" s="29">
        <f>VLOOKUP(B139,제품등록!B:C,2,0)</f>
        <v/>
      </c>
      <c r="D139" s="9" t="n"/>
      <c r="E139" s="9" t="n">
        <v>72</v>
      </c>
      <c r="F139" s="245">
        <f>SUMIF('창고1(실사표)'!B:B,재고차이!A:A,'창고1(실사표)'!F:F)*D139+SUMIF('창고2(실사표)'!B:B,재고차이!A:A,'창고2(실사표)'!F:F)*D139+SUMIF('믹스(잔량실사표)'!B:B,재고차이!A:A,'믹스(잔량실사표)'!F:F)*D139</f>
        <v/>
      </c>
      <c r="G139" s="245">
        <f>SUMIF('창고1(실사표)'!B:B,재고차이!A:A,'창고1(실사표)'!E:E)*E139+SUMIF('창고2(실사표)'!B:B,재고차이!A:A,'창고2(실사표)'!E:E)*E139+SUMIF('믹스(잔량실사표)'!B:B,재고차이!A:A,'믹스(잔량실사표)'!E:E)*E139+SUMIF('창고3(실사표)'!B:B,재고차이!A:A,'창고3(실사표)'!E:E)*E139</f>
        <v/>
      </c>
      <c r="H13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3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39" s="245">
        <f>SUM(F139:I139)</f>
        <v/>
      </c>
      <c r="K139" s="245">
        <f>SUMIF('SAP(B117)'!B:B,재고차이!B:B,'SAP(B117)'!Q:Q)</f>
        <v/>
      </c>
      <c r="L139" s="245">
        <f>SUMIF(주간상차!A:A,재고차이!A:A,주간상차!E:E)</f>
        <v/>
      </c>
      <c r="M139" s="246">
        <f>J139-K139-L139-N139+O139+Q139</f>
        <v/>
      </c>
      <c r="N139" s="274" t="n"/>
      <c r="O139" s="275" t="n"/>
      <c r="P139" s="276" t="n"/>
      <c r="Q139" s="277">
        <f>SUMIF(파손품!D:D,재고차이!B:B,파손품!I:I)+SUMIF(동파파손!D:D,재고차이!B:B,동파파손!I:I)</f>
        <v/>
      </c>
      <c r="R139" s="0">
        <f>M139/E139</f>
        <v/>
      </c>
    </row>
    <row r="140" ht="18.75" customHeight="1" s="237">
      <c r="A140" s="9" t="n">
        <v>7947</v>
      </c>
      <c r="B140" s="9">
        <f>VLOOKUP(A:A,제품등록!A:B,2,0)</f>
        <v/>
      </c>
      <c r="C140" s="29">
        <f>VLOOKUP(B140,제품등록!B:C,2,0)</f>
        <v/>
      </c>
      <c r="D140" s="9" t="n"/>
      <c r="E140" s="9" t="n">
        <v>72</v>
      </c>
      <c r="F140" s="245">
        <f>SUMIF('창고1(실사표)'!B:B,재고차이!A:A,'창고1(실사표)'!F:F)*D140+SUMIF('창고2(실사표)'!B:B,재고차이!A:A,'창고2(실사표)'!F:F)*D140+SUMIF('믹스(잔량실사표)'!B:B,재고차이!A:A,'믹스(잔량실사표)'!F:F)*D140</f>
        <v/>
      </c>
      <c r="G140" s="245">
        <f>SUMIF('창고1(실사표)'!B:B,재고차이!A:A,'창고1(실사표)'!E:E)*E140+SUMIF('창고2(실사표)'!B:B,재고차이!A:A,'창고2(실사표)'!E:E)*E140+SUMIF('믹스(잔량실사표)'!B:B,재고차이!A:A,'믹스(잔량실사표)'!E:E)*E140+SUMIF('창고3(실사표)'!B:B,재고차이!A:A,'창고3(실사표)'!E:E)*E140</f>
        <v/>
      </c>
      <c r="H14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4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40" s="245">
        <f>SUM(F140:I140)</f>
        <v/>
      </c>
      <c r="K140" s="245">
        <f>SUMIF('SAP(B117)'!B:B,재고차이!B:B,'SAP(B117)'!Q:Q)</f>
        <v/>
      </c>
      <c r="L140" s="245">
        <f>SUMIF(주간상차!A:A,재고차이!A:A,주간상차!E:E)</f>
        <v/>
      </c>
      <c r="M140" s="246">
        <f>J140-K140-L140-N140+O140+Q140</f>
        <v/>
      </c>
      <c r="N140" s="274" t="n"/>
      <c r="O140" s="275" t="n"/>
      <c r="P140" s="276" t="n"/>
      <c r="Q140" s="277">
        <f>SUMIF(파손품!D:D,재고차이!B:B,파손품!I:I)+SUMIF(동파파손!D:D,재고차이!B:B,동파파손!I:I)</f>
        <v/>
      </c>
      <c r="R140" s="0">
        <f>M140/E140</f>
        <v/>
      </c>
    </row>
    <row r="141" ht="18.75" customHeight="1" s="237">
      <c r="A141" s="9" t="n">
        <v>7949</v>
      </c>
      <c r="B141" s="9">
        <f>VLOOKUP(A:A,제품등록!A:B,2,0)</f>
        <v/>
      </c>
      <c r="C141" s="29">
        <f>VLOOKUP(B141,제품등록!B:C,2,0)</f>
        <v/>
      </c>
      <c r="D141" s="9" t="n"/>
      <c r="E141" s="9" t="n">
        <v>72</v>
      </c>
      <c r="F141" s="245">
        <f>SUMIF('창고1(실사표)'!B:B,재고차이!A:A,'창고1(실사표)'!F:F)*D141+SUMIF('창고2(실사표)'!B:B,재고차이!A:A,'창고2(실사표)'!F:F)*D141+SUMIF('믹스(잔량실사표)'!B:B,재고차이!A:A,'믹스(잔량실사표)'!F:F)*D141</f>
        <v/>
      </c>
      <c r="G141" s="245">
        <f>SUMIF('창고1(실사표)'!B:B,재고차이!A:A,'창고1(실사표)'!E:E)*E141+SUMIF('창고2(실사표)'!B:B,재고차이!A:A,'창고2(실사표)'!E:E)*E141+SUMIF('믹스(잔량실사표)'!B:B,재고차이!A:A,'믹스(잔량실사표)'!E:E)*E141+SUMIF('창고3(실사표)'!B:B,재고차이!A:A,'창고3(실사표)'!E:E)*E141</f>
        <v/>
      </c>
      <c r="H14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4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41" s="245">
        <f>SUM(F141:I141)</f>
        <v/>
      </c>
      <c r="K141" s="245">
        <f>SUMIF('SAP(B117)'!B:B,재고차이!B:B,'SAP(B117)'!Q:Q)</f>
        <v/>
      </c>
      <c r="L141" s="245">
        <f>SUMIF(주간상차!A:A,재고차이!A:A,주간상차!E:E)</f>
        <v/>
      </c>
      <c r="M141" s="246">
        <f>J141-K141-L141-N141+O141+Q141</f>
        <v/>
      </c>
      <c r="N141" s="274" t="n"/>
      <c r="O141" s="275" t="n"/>
      <c r="P141" s="276" t="n"/>
      <c r="Q141" s="277">
        <f>SUMIF(파손품!D:D,재고차이!B:B,파손품!I:I)+SUMIF(동파파손!D:D,재고차이!B:B,동파파손!I:I)</f>
        <v/>
      </c>
      <c r="R141" s="0">
        <f>M141/E141</f>
        <v/>
      </c>
    </row>
    <row r="142" ht="18.75" customHeight="1" s="237">
      <c r="A142" s="9" t="n">
        <v>7984</v>
      </c>
      <c r="B142" s="9">
        <f>VLOOKUP(A:A,제품등록!A:B,2,0)</f>
        <v/>
      </c>
      <c r="C142" s="29">
        <f>VLOOKUP(B142,제품등록!B:C,2,0)</f>
        <v/>
      </c>
      <c r="D142" s="9" t="n">
        <v>88</v>
      </c>
      <c r="E142" s="9" t="n">
        <v>100</v>
      </c>
      <c r="F142" s="245">
        <f>SUMIF('창고1(실사표)'!B:B,재고차이!A:A,'창고1(실사표)'!F:F)*D142+SUMIF('창고2(실사표)'!B:B,재고차이!A:A,'창고2(실사표)'!F:F)*D142+SUMIF('믹스(잔량실사표)'!B:B,재고차이!A:A,'믹스(잔량실사표)'!F:F)*D142</f>
        <v/>
      </c>
      <c r="G142" s="245">
        <f>SUMIF('창고1(실사표)'!B:B,재고차이!A:A,'창고1(실사표)'!E:E)*E142+SUMIF('창고2(실사표)'!B:B,재고차이!A:A,'창고2(실사표)'!E:E)*E142+SUMIF('믹스(잔량실사표)'!B:B,재고차이!A:A,'믹스(잔량실사표)'!E:E)*E142+SUMIF('창고3(실사표)'!B:B,재고차이!A:A,'창고3(실사표)'!E:E)*E142</f>
        <v/>
      </c>
      <c r="H14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4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42" s="245">
        <f>SUM(F142:I142)</f>
        <v/>
      </c>
      <c r="K142" s="245">
        <f>SUMIF('SAP(B117)'!B:B,재고차이!B:B,'SAP(B117)'!Q:Q)</f>
        <v/>
      </c>
      <c r="L142" s="245">
        <f>SUMIF(주간상차!A:A,재고차이!A:A,주간상차!E:E)</f>
        <v/>
      </c>
      <c r="M142" s="246">
        <f>J142-K142-L142-N142+O142+Q142</f>
        <v/>
      </c>
      <c r="N142" s="274" t="n"/>
      <c r="O142" s="275" t="n"/>
      <c r="P142" s="276" t="n"/>
      <c r="Q142" s="277">
        <f>SUMIF(파손품!D:D,재고차이!B:B,파손품!I:I)+SUMIF(동파파손!D:D,재고차이!B:B,동파파손!I:I)</f>
        <v/>
      </c>
      <c r="R142" s="0">
        <f>M142/E142</f>
        <v/>
      </c>
    </row>
    <row r="143" ht="18.75" customHeight="1" s="237">
      <c r="A143" s="9" t="n">
        <v>7988</v>
      </c>
      <c r="B143" s="9">
        <f>VLOOKUP(A:A,제품등록!A:B,2,0)</f>
        <v/>
      </c>
      <c r="C143" s="29">
        <f>VLOOKUP(B143,제품등록!B:C,2,0)</f>
        <v/>
      </c>
      <c r="D143" s="9" t="n"/>
      <c r="E143" s="9" t="n">
        <v>60</v>
      </c>
      <c r="F143" s="245">
        <f>SUMIF('창고1(실사표)'!B:B,재고차이!A:A,'창고1(실사표)'!F:F)*D143+SUMIF('창고2(실사표)'!B:B,재고차이!A:A,'창고2(실사표)'!F:F)*D143+SUMIF('믹스(잔량실사표)'!B:B,재고차이!A:A,'믹스(잔량실사표)'!F:F)*D143</f>
        <v/>
      </c>
      <c r="G143" s="245">
        <f>SUMIF('창고1(실사표)'!B:B,재고차이!A:A,'창고1(실사표)'!E:E)*E143+SUMIF('창고2(실사표)'!B:B,재고차이!A:A,'창고2(실사표)'!E:E)*E143+SUMIF('믹스(잔량실사표)'!B:B,재고차이!A:A,'믹스(잔량실사표)'!E:E)*E143+SUMIF('창고3(실사표)'!B:B,재고차이!A:A,'창고3(실사표)'!E:E)*E143</f>
        <v/>
      </c>
      <c r="H14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4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43" s="245">
        <f>SUM(F143:I143)</f>
        <v/>
      </c>
      <c r="K143" s="245">
        <f>SUMIF('SAP(B117)'!B:B,재고차이!B:B,'SAP(B117)'!Q:Q)</f>
        <v/>
      </c>
      <c r="L143" s="245">
        <f>SUMIF(주간상차!A:A,재고차이!A:A,주간상차!E:E)</f>
        <v/>
      </c>
      <c r="M143" s="246">
        <f>J143-K143-L143-N143+O143+Q143</f>
        <v/>
      </c>
      <c r="N143" s="274" t="n"/>
      <c r="O143" s="275" t="n"/>
      <c r="P143" s="276" t="n"/>
      <c r="Q143" s="277">
        <f>SUMIF(파손품!D:D,재고차이!B:B,파손품!I:I)+SUMIF(동파파손!D:D,재고차이!B:B,동파파손!I:I)</f>
        <v/>
      </c>
      <c r="R143" s="0">
        <f>M143/E143</f>
        <v/>
      </c>
    </row>
    <row r="144" ht="18.75" customHeight="1" s="237">
      <c r="A144" s="9" t="n">
        <v>7994</v>
      </c>
      <c r="B144" s="9">
        <f>VLOOKUP(A:A,제품등록!A:B,2,0)</f>
        <v/>
      </c>
      <c r="C144" s="29">
        <f>VLOOKUP(B144,제품등록!B:C,2,0)</f>
        <v/>
      </c>
      <c r="D144" s="9" t="n">
        <v>88</v>
      </c>
      <c r="E144" s="9" t="n">
        <v>100</v>
      </c>
      <c r="F144" s="245">
        <f>SUMIF('창고1(실사표)'!B:B,재고차이!A:A,'창고1(실사표)'!F:F)*D144+SUMIF('창고2(실사표)'!B:B,재고차이!A:A,'창고2(실사표)'!F:F)*D144+SUMIF('믹스(잔량실사표)'!B:B,재고차이!A:A,'믹스(잔량실사표)'!F:F)*D144</f>
        <v/>
      </c>
      <c r="G144" s="245">
        <f>SUMIF('창고1(실사표)'!B:B,재고차이!A:A,'창고1(실사표)'!E:E)*E144+SUMIF('창고2(실사표)'!B:B,재고차이!A:A,'창고2(실사표)'!E:E)*E144+SUMIF('믹스(잔량실사표)'!B:B,재고차이!A:A,'믹스(잔량실사표)'!E:E)*E144+SUMIF('창고3(실사표)'!B:B,재고차이!A:A,'창고3(실사표)'!E:E)*E144</f>
        <v/>
      </c>
      <c r="H14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4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44" s="245">
        <f>SUM(F144:I144)</f>
        <v/>
      </c>
      <c r="K144" s="245">
        <f>SUMIF('SAP(B117)'!B:B,재고차이!B:B,'SAP(B117)'!Q:Q)</f>
        <v/>
      </c>
      <c r="L144" s="245">
        <f>SUMIF(주간상차!A:A,재고차이!A:A,주간상차!E:E)</f>
        <v/>
      </c>
      <c r="M144" s="246">
        <f>J144-K144-L144-N144+O144+Q144</f>
        <v/>
      </c>
      <c r="N144" s="274" t="n"/>
      <c r="O144" s="275" t="n"/>
      <c r="P144" s="276" t="n"/>
      <c r="Q144" s="277">
        <f>SUMIF(파손품!D:D,재고차이!B:B,파손품!I:I)+SUMIF(동파파손!D:D,재고차이!B:B,동파파손!I:I)</f>
        <v/>
      </c>
      <c r="R144" s="0">
        <f>M144/E144</f>
        <v/>
      </c>
    </row>
    <row r="145" ht="18.75" customHeight="1" s="237">
      <c r="A145" s="9" t="n">
        <v>8051</v>
      </c>
      <c r="B145" s="9">
        <f>VLOOKUP(A:A,제품등록!A:B,2,0)</f>
        <v/>
      </c>
      <c r="C145" s="29">
        <f>VLOOKUP(B145,제품등록!B:C,2,0)</f>
        <v/>
      </c>
      <c r="D145" s="9" t="n"/>
      <c r="E145" s="9" t="n">
        <v>70</v>
      </c>
      <c r="F145" s="245">
        <f>SUMIF('창고1(실사표)'!B:B,재고차이!A:A,'창고1(실사표)'!F:F)*D145+SUMIF('창고2(실사표)'!B:B,재고차이!A:A,'창고2(실사표)'!F:F)*D145+SUMIF('믹스(잔량실사표)'!B:B,재고차이!A:A,'믹스(잔량실사표)'!F:F)*D145</f>
        <v/>
      </c>
      <c r="G145" s="245">
        <f>SUMIF('창고1(실사표)'!B:B,재고차이!A:A,'창고1(실사표)'!E:E)*E145+SUMIF('창고2(실사표)'!B:B,재고차이!A:A,'창고2(실사표)'!E:E)*E145+SUMIF('믹스(잔량실사표)'!B:B,재고차이!A:A,'믹스(잔량실사표)'!E:E)*E145+SUMIF('창고3(실사표)'!B:B,재고차이!A:A,'창고3(실사표)'!E:E)*E145</f>
        <v/>
      </c>
      <c r="H14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4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45" s="245">
        <f>SUM(F145:I145)</f>
        <v/>
      </c>
      <c r="K145" s="245">
        <f>SUMIF('SAP(B117)'!B:B,재고차이!B:B,'SAP(B117)'!Q:Q)</f>
        <v/>
      </c>
      <c r="L145" s="245">
        <f>SUMIF(주간상차!A:A,재고차이!A:A,주간상차!E:E)</f>
        <v/>
      </c>
      <c r="M145" s="246">
        <f>J145-K145-L145-N145+O145+Q145</f>
        <v/>
      </c>
      <c r="N145" s="274" t="n"/>
      <c r="O145" s="275" t="n"/>
      <c r="P145" s="276" t="n"/>
      <c r="Q145" s="277">
        <f>SUMIF(파손품!D:D,재고차이!B:B,파손품!I:I)+SUMIF(동파파손!D:D,재고차이!B:B,동파파손!I:I)</f>
        <v/>
      </c>
      <c r="R145" s="0">
        <f>M145/E145</f>
        <v/>
      </c>
    </row>
    <row r="146" ht="18.75" customHeight="1" s="237">
      <c r="A146" s="9" t="n">
        <v>8052</v>
      </c>
      <c r="B146" s="9">
        <f>VLOOKUP(A:A,제품등록!A:B,2,0)</f>
        <v/>
      </c>
      <c r="C146" s="29">
        <f>VLOOKUP(B146,제품등록!B:C,2,0)</f>
        <v/>
      </c>
      <c r="D146" s="9" t="n"/>
      <c r="E146" s="9" t="n">
        <v>70</v>
      </c>
      <c r="F146" s="245">
        <f>SUMIF('창고1(실사표)'!B:B,재고차이!A:A,'창고1(실사표)'!F:F)*D146+SUMIF('창고2(실사표)'!B:B,재고차이!A:A,'창고2(실사표)'!F:F)*D146+SUMIF('믹스(잔량실사표)'!B:B,재고차이!A:A,'믹스(잔량실사표)'!F:F)*D146</f>
        <v/>
      </c>
      <c r="G146" s="245">
        <f>SUMIF('창고1(실사표)'!B:B,재고차이!A:A,'창고1(실사표)'!E:E)*E146+SUMIF('창고2(실사표)'!B:B,재고차이!A:A,'창고2(실사표)'!E:E)*E146+SUMIF('믹스(잔량실사표)'!B:B,재고차이!A:A,'믹스(잔량실사표)'!E:E)*E146+SUMIF('창고3(실사표)'!B:B,재고차이!A:A,'창고3(실사표)'!E:E)*E146</f>
        <v/>
      </c>
      <c r="H14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4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46" s="245">
        <f>SUM(F146:I146)</f>
        <v/>
      </c>
      <c r="K146" s="245">
        <f>SUMIF('SAP(B117)'!B:B,재고차이!B:B,'SAP(B117)'!Q:Q)</f>
        <v/>
      </c>
      <c r="L146" s="245">
        <f>SUMIF(주간상차!A:A,재고차이!A:A,주간상차!E:E)</f>
        <v/>
      </c>
      <c r="M146" s="246">
        <f>J146-K146-L146-N146+O146+Q146</f>
        <v/>
      </c>
      <c r="N146" s="274" t="n"/>
      <c r="O146" s="275" t="n"/>
      <c r="P146" s="276" t="n"/>
      <c r="Q146" s="277">
        <f>SUMIF(파손품!D:D,재고차이!B:B,파손품!I:I)+SUMIF(동파파손!D:D,재고차이!B:B,동파파손!I:I)</f>
        <v/>
      </c>
      <c r="R146" s="0">
        <f>M146/E146</f>
        <v/>
      </c>
    </row>
    <row r="147" ht="18.75" customHeight="1" s="237">
      <c r="A147" s="9" t="n">
        <v>8057</v>
      </c>
      <c r="B147" s="9">
        <f>VLOOKUP(A:A,제품등록!A:B,2,0)</f>
        <v/>
      </c>
      <c r="C147" s="29">
        <f>VLOOKUP(B147,제품등록!B:C,2,0)</f>
        <v/>
      </c>
      <c r="D147" s="9" t="n"/>
      <c r="E147" s="9" t="n">
        <v>56</v>
      </c>
      <c r="F147" s="245">
        <f>SUMIF('창고1(실사표)'!B:B,재고차이!A:A,'창고1(실사표)'!F:F)*D147+SUMIF('창고2(실사표)'!B:B,재고차이!A:A,'창고2(실사표)'!F:F)*D147+SUMIF('믹스(잔량실사표)'!B:B,재고차이!A:A,'믹스(잔량실사표)'!F:F)*D147</f>
        <v/>
      </c>
      <c r="G147" s="245">
        <f>SUMIF('창고1(실사표)'!B:B,재고차이!A:A,'창고1(실사표)'!E:E)*E147+SUMIF('창고2(실사표)'!B:B,재고차이!A:A,'창고2(실사표)'!E:E)*E147+SUMIF('믹스(잔량실사표)'!B:B,재고차이!A:A,'믹스(잔량실사표)'!E:E)*E147+SUMIF('창고3(실사표)'!B:B,재고차이!A:A,'창고3(실사표)'!E:E)*E147</f>
        <v/>
      </c>
      <c r="H14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4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47" s="245">
        <f>SUM(F147:I147)</f>
        <v/>
      </c>
      <c r="K147" s="245">
        <f>SUMIF('SAP(B117)'!B:B,재고차이!B:B,'SAP(B117)'!Q:Q)</f>
        <v/>
      </c>
      <c r="L147" s="245">
        <f>SUMIF(주간상차!A:A,재고차이!A:A,주간상차!E:E)</f>
        <v/>
      </c>
      <c r="M147" s="246">
        <f>J147-K147-L147-N147+O147+Q147</f>
        <v/>
      </c>
      <c r="N147" s="274" t="n"/>
      <c r="O147" s="275" t="n"/>
      <c r="P147" s="276" t="n"/>
      <c r="Q147" s="277">
        <f>SUMIF(파손품!D:D,재고차이!B:B,파손품!I:I)+SUMIF(동파파손!D:D,재고차이!B:B,동파파손!I:I)</f>
        <v/>
      </c>
      <c r="R147" s="0">
        <f>M147/E147</f>
        <v/>
      </c>
    </row>
    <row r="148" ht="18.75" customHeight="1" s="237">
      <c r="A148" s="9" t="n">
        <v>8058</v>
      </c>
      <c r="B148" s="9">
        <f>VLOOKUP(A:A,제품등록!A:B,2,0)</f>
        <v/>
      </c>
      <c r="C148" s="29">
        <f>VLOOKUP(B148,제품등록!B:C,2,0)</f>
        <v/>
      </c>
      <c r="D148" s="9" t="n"/>
      <c r="E148" s="9" t="n">
        <v>56</v>
      </c>
      <c r="F148" s="245">
        <f>SUMIF('창고1(실사표)'!B:B,재고차이!A:A,'창고1(실사표)'!F:F)*D148+SUMIF('창고2(실사표)'!B:B,재고차이!A:A,'창고2(실사표)'!F:F)*D148+SUMIF('믹스(잔량실사표)'!B:B,재고차이!A:A,'믹스(잔량실사표)'!F:F)*D148</f>
        <v/>
      </c>
      <c r="G148" s="245">
        <f>SUMIF('창고1(실사표)'!B:B,재고차이!A:A,'창고1(실사표)'!E:E)*E148+SUMIF('창고2(실사표)'!B:B,재고차이!A:A,'창고2(실사표)'!E:E)*E148+SUMIF('믹스(잔량실사표)'!B:B,재고차이!A:A,'믹스(잔량실사표)'!E:E)*E148+SUMIF('창고3(실사표)'!B:B,재고차이!A:A,'창고3(실사표)'!E:E)*E148</f>
        <v/>
      </c>
      <c r="H14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4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48" s="245">
        <f>SUM(F148:I148)</f>
        <v/>
      </c>
      <c r="K148" s="245">
        <f>SUMIF('SAP(B117)'!B:B,재고차이!B:B,'SAP(B117)'!Q:Q)</f>
        <v/>
      </c>
      <c r="L148" s="245">
        <f>SUMIF(주간상차!A:A,재고차이!A:A,주간상차!E:E)</f>
        <v/>
      </c>
      <c r="M148" s="246">
        <f>J148-K148-L148-N148+O148+Q148</f>
        <v/>
      </c>
      <c r="N148" s="274" t="n"/>
      <c r="O148" s="275" t="n"/>
      <c r="P148" s="276" t="n"/>
      <c r="Q148" s="277">
        <f>SUMIF(파손품!D:D,재고차이!B:B,파손품!I:I)+SUMIF(동파파손!D:D,재고차이!B:B,동파파손!I:I)</f>
        <v/>
      </c>
      <c r="R148" s="0">
        <f>M148/E148</f>
        <v/>
      </c>
    </row>
    <row r="149" ht="18.75" customHeight="1" s="237">
      <c r="A149" s="9" t="n">
        <v>8065</v>
      </c>
      <c r="B149" s="9">
        <f>VLOOKUP(A:A,제품등록!A:B,2,0)</f>
        <v/>
      </c>
      <c r="C149" s="29">
        <f>VLOOKUP(B149,제품등록!B:C,2,0)</f>
        <v/>
      </c>
      <c r="D149" s="9" t="n"/>
      <c r="E149" s="9" t="n">
        <v>56</v>
      </c>
      <c r="F149" s="245">
        <f>SUMIF('창고1(실사표)'!B:B,재고차이!A:A,'창고1(실사표)'!F:F)*D149+SUMIF('창고2(실사표)'!B:B,재고차이!A:A,'창고2(실사표)'!F:F)*D149+SUMIF('믹스(잔량실사표)'!B:B,재고차이!A:A,'믹스(잔량실사표)'!F:F)*D149</f>
        <v/>
      </c>
      <c r="G149" s="245">
        <f>SUMIF('창고1(실사표)'!B:B,재고차이!A:A,'창고1(실사표)'!E:E)*E149+SUMIF('창고2(실사표)'!B:B,재고차이!A:A,'창고2(실사표)'!E:E)*E149+SUMIF('믹스(잔량실사표)'!B:B,재고차이!A:A,'믹스(잔량실사표)'!E:E)*E149+SUMIF('창고3(실사표)'!B:B,재고차이!A:A,'창고3(실사표)'!E:E)*E149</f>
        <v/>
      </c>
      <c r="H14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4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49" s="245">
        <f>SUM(F149:I149)</f>
        <v/>
      </c>
      <c r="K149" s="245">
        <f>SUMIF('SAP(B117)'!B:B,재고차이!B:B,'SAP(B117)'!Q:Q)</f>
        <v/>
      </c>
      <c r="L149" s="245">
        <f>SUMIF(주간상차!A:A,재고차이!A:A,주간상차!E:E)</f>
        <v/>
      </c>
      <c r="M149" s="246">
        <f>J149-K149-L149-N149+O149+Q149</f>
        <v/>
      </c>
      <c r="N149" s="274" t="n"/>
      <c r="O149" s="275" t="n"/>
      <c r="P149" s="276" t="n"/>
      <c r="Q149" s="277">
        <f>SUMIF(파손품!D:D,재고차이!B:B,파손품!I:I)+SUMIF(동파파손!D:D,재고차이!B:B,동파파손!I:I)</f>
        <v/>
      </c>
      <c r="R149" s="0">
        <f>M149/E149</f>
        <v/>
      </c>
    </row>
    <row r="150" ht="18.75" customHeight="1" s="237">
      <c r="A150" s="9" t="n">
        <v>8066</v>
      </c>
      <c r="B150" s="9">
        <f>VLOOKUP(A:A,제품등록!A:B,2,0)</f>
        <v/>
      </c>
      <c r="C150" s="29">
        <f>VLOOKUP(B150,제품등록!B:C,2,0)</f>
        <v/>
      </c>
      <c r="D150" s="9" t="n"/>
      <c r="E150" s="9" t="n">
        <v>56</v>
      </c>
      <c r="F150" s="245">
        <f>SUMIF('창고1(실사표)'!B:B,재고차이!A:A,'창고1(실사표)'!F:F)*D150+SUMIF('창고2(실사표)'!B:B,재고차이!A:A,'창고2(실사표)'!F:F)*D150+SUMIF('믹스(잔량실사표)'!B:B,재고차이!A:A,'믹스(잔량실사표)'!F:F)*D150</f>
        <v/>
      </c>
      <c r="G150" s="245">
        <f>SUMIF('창고1(실사표)'!B:B,재고차이!A:A,'창고1(실사표)'!E:E)*E150+SUMIF('창고2(실사표)'!B:B,재고차이!A:A,'창고2(실사표)'!E:E)*E150+SUMIF('믹스(잔량실사표)'!B:B,재고차이!A:A,'믹스(잔량실사표)'!E:E)*E150+SUMIF('창고3(실사표)'!B:B,재고차이!A:A,'창고3(실사표)'!E:E)*E150</f>
        <v/>
      </c>
      <c r="H15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5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50" s="245">
        <f>SUM(F150:I150)</f>
        <v/>
      </c>
      <c r="K150" s="245">
        <f>SUMIF('SAP(B117)'!B:B,재고차이!B:B,'SAP(B117)'!Q:Q)</f>
        <v/>
      </c>
      <c r="L150" s="245">
        <f>SUMIF(주간상차!A:A,재고차이!A:A,주간상차!E:E)</f>
        <v/>
      </c>
      <c r="M150" s="246">
        <f>J150-K150-L150-N150+O150+Q150</f>
        <v/>
      </c>
      <c r="N150" s="274" t="n"/>
      <c r="O150" s="275" t="n"/>
      <c r="P150" s="276" t="n"/>
      <c r="Q150" s="277">
        <f>SUMIF(파손품!D:D,재고차이!B:B,파손품!I:I)+SUMIF(동파파손!D:D,재고차이!B:B,동파파손!I:I)</f>
        <v/>
      </c>
      <c r="R150" s="0">
        <f>M150/E150</f>
        <v/>
      </c>
    </row>
    <row r="151" ht="18.75" customHeight="1" s="237">
      <c r="A151" s="9" t="n">
        <v>8067</v>
      </c>
      <c r="B151" s="9">
        <f>VLOOKUP(A:A,제품등록!A:B,2,0)</f>
        <v/>
      </c>
      <c r="C151" s="29">
        <f>VLOOKUP(B151,제품등록!B:C,2,0)</f>
        <v/>
      </c>
      <c r="D151" s="9" t="n"/>
      <c r="E151" s="9" t="n">
        <v>132</v>
      </c>
      <c r="F151" s="245">
        <f>SUMIF('창고1(실사표)'!B:B,재고차이!A:A,'창고1(실사표)'!F:F)*D151+SUMIF('창고2(실사표)'!B:B,재고차이!A:A,'창고2(실사표)'!F:F)*D151+SUMIF('믹스(잔량실사표)'!B:B,재고차이!A:A,'믹스(잔량실사표)'!F:F)*D151</f>
        <v/>
      </c>
      <c r="G151" s="245">
        <f>SUMIF('창고1(실사표)'!B:B,재고차이!A:A,'창고1(실사표)'!E:E)*E151+SUMIF('창고2(실사표)'!B:B,재고차이!A:A,'창고2(실사표)'!E:E)*E151+SUMIF('믹스(잔량실사표)'!B:B,재고차이!A:A,'믹스(잔량실사표)'!E:E)*E151+SUMIF('창고3(실사표)'!B:B,재고차이!A:A,'창고3(실사표)'!E:E)*E151</f>
        <v/>
      </c>
      <c r="H15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5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51" s="245">
        <f>SUM(F151:I151)</f>
        <v/>
      </c>
      <c r="K151" s="245">
        <f>SUMIF('SAP(B117)'!B:B,재고차이!B:B,'SAP(B117)'!Q:Q)</f>
        <v/>
      </c>
      <c r="L151" s="245">
        <f>SUMIF(주간상차!A:A,재고차이!A:A,주간상차!E:E)</f>
        <v/>
      </c>
      <c r="M151" s="246">
        <f>J151-K151-L151-N151+O151+Q151</f>
        <v/>
      </c>
      <c r="N151" s="274" t="n"/>
      <c r="O151" s="275" t="n"/>
      <c r="P151" s="276" t="n"/>
      <c r="Q151" s="277">
        <f>SUMIF(파손품!D:D,재고차이!B:B,파손품!I:I)+SUMIF(동파파손!D:D,재고차이!B:B,동파파손!I:I)</f>
        <v/>
      </c>
      <c r="R151" s="0">
        <f>M151/E151</f>
        <v/>
      </c>
    </row>
    <row r="152" ht="18.75" customHeight="1" s="237">
      <c r="A152" s="9" t="n">
        <v>8068</v>
      </c>
      <c r="B152" s="9">
        <f>VLOOKUP(A:A,제품등록!A:B,2,0)</f>
        <v/>
      </c>
      <c r="C152" s="29">
        <f>VLOOKUP(B152,제품등록!B:C,2,0)</f>
        <v/>
      </c>
      <c r="D152" s="9" t="n"/>
      <c r="E152" s="9" t="n">
        <v>132</v>
      </c>
      <c r="F152" s="245">
        <f>SUMIF('창고1(실사표)'!B:B,재고차이!A:A,'창고1(실사표)'!F:F)*D152+SUMIF('창고2(실사표)'!B:B,재고차이!A:A,'창고2(실사표)'!F:F)*D152+SUMIF('믹스(잔량실사표)'!B:B,재고차이!A:A,'믹스(잔량실사표)'!F:F)*D152</f>
        <v/>
      </c>
      <c r="G152" s="245">
        <f>SUMIF('창고1(실사표)'!B:B,재고차이!A:A,'창고1(실사표)'!E:E)*E152+SUMIF('창고2(실사표)'!B:B,재고차이!A:A,'창고2(실사표)'!E:E)*E152+SUMIF('믹스(잔량실사표)'!B:B,재고차이!A:A,'믹스(잔량실사표)'!E:E)*E152+SUMIF('창고3(실사표)'!B:B,재고차이!A:A,'창고3(실사표)'!E:E)*E152</f>
        <v/>
      </c>
      <c r="H15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5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52" s="245">
        <f>SUM(F152:I152)</f>
        <v/>
      </c>
      <c r="K152" s="245">
        <f>SUMIF('SAP(B117)'!B:B,재고차이!B:B,'SAP(B117)'!Q:Q)</f>
        <v/>
      </c>
      <c r="L152" s="245">
        <f>SUMIF(주간상차!A:A,재고차이!A:A,주간상차!E:E)</f>
        <v/>
      </c>
      <c r="M152" s="246">
        <f>J152-K152-L152-N152+O152+Q152</f>
        <v/>
      </c>
      <c r="N152" s="274" t="n"/>
      <c r="O152" s="275" t="n"/>
      <c r="P152" s="276" t="n"/>
      <c r="Q152" s="277">
        <f>SUMIF(파손품!D:D,재고차이!B:B,파손품!I:I)+SUMIF(동파파손!D:D,재고차이!B:B,동파파손!I:I)</f>
        <v/>
      </c>
      <c r="R152" s="0">
        <f>M152/E152</f>
        <v/>
      </c>
    </row>
    <row r="153" ht="18.75" customHeight="1" s="237">
      <c r="A153" s="9" t="n">
        <v>8072</v>
      </c>
      <c r="B153" s="9">
        <f>VLOOKUP(A:A,제품등록!A:B,2,0)</f>
        <v/>
      </c>
      <c r="C153" s="29">
        <f>VLOOKUP(B153,제품등록!B:C,2,0)</f>
        <v/>
      </c>
      <c r="D153" s="9" t="n"/>
      <c r="E153" s="9" t="n">
        <v>80</v>
      </c>
      <c r="F153" s="245">
        <f>SUMIF('창고1(실사표)'!B:B,재고차이!A:A,'창고1(실사표)'!F:F)*D153+SUMIF('창고2(실사표)'!B:B,재고차이!A:A,'창고2(실사표)'!F:F)*D153+SUMIF('믹스(잔량실사표)'!B:B,재고차이!A:A,'믹스(잔량실사표)'!F:F)*D153</f>
        <v/>
      </c>
      <c r="G153" s="245">
        <f>SUMIF('창고1(실사표)'!B:B,재고차이!A:A,'창고1(실사표)'!E:E)*E153+SUMIF('창고2(실사표)'!B:B,재고차이!A:A,'창고2(실사표)'!E:E)*E153+SUMIF('믹스(잔량실사표)'!B:B,재고차이!A:A,'믹스(잔량실사표)'!E:E)*E153+SUMIF('창고3(실사표)'!B:B,재고차이!A:A,'창고3(실사표)'!E:E)*E153</f>
        <v/>
      </c>
      <c r="H15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5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53" s="245">
        <f>SUM(F153:I153)</f>
        <v/>
      </c>
      <c r="K153" s="245">
        <f>SUMIF('SAP(B117)'!B:B,재고차이!B:B,'SAP(B117)'!Q:Q)</f>
        <v/>
      </c>
      <c r="L153" s="245">
        <f>SUMIF(주간상차!A:A,재고차이!A:A,주간상차!E:E)</f>
        <v/>
      </c>
      <c r="M153" s="246">
        <f>J153-K153-L153-N153+O153+Q153</f>
        <v/>
      </c>
      <c r="N153" s="274" t="n"/>
      <c r="O153" s="275" t="n"/>
      <c r="P153" s="276" t="n"/>
      <c r="Q153" s="277">
        <f>SUMIF(파손품!D:D,재고차이!B:B,파손품!I:I)+SUMIF(동파파손!D:D,재고차이!B:B,동파파손!I:I)</f>
        <v/>
      </c>
      <c r="R153" s="0">
        <f>M153/E153</f>
        <v/>
      </c>
    </row>
    <row r="154" ht="18.75" customHeight="1" s="237">
      <c r="A154" s="9" t="n">
        <v>8074</v>
      </c>
      <c r="B154" s="9">
        <f>VLOOKUP(A:A,제품등록!A:B,2,0)</f>
        <v/>
      </c>
      <c r="C154" s="29">
        <f>VLOOKUP(B154,제품등록!B:C,2,0)</f>
        <v/>
      </c>
      <c r="D154" s="9" t="n"/>
      <c r="E154" s="9" t="n">
        <v>64</v>
      </c>
      <c r="F154" s="245">
        <f>SUMIF('창고1(실사표)'!B:B,재고차이!A:A,'창고1(실사표)'!F:F)*D154+SUMIF('창고2(실사표)'!B:B,재고차이!A:A,'창고2(실사표)'!F:F)*D154+SUMIF('믹스(잔량실사표)'!B:B,재고차이!A:A,'믹스(잔량실사표)'!F:F)*D154</f>
        <v/>
      </c>
      <c r="G154" s="245">
        <f>SUMIF('창고1(실사표)'!B:B,재고차이!A:A,'창고1(실사표)'!E:E)*E154+SUMIF('창고2(실사표)'!B:B,재고차이!A:A,'창고2(실사표)'!E:E)*E154+SUMIF('믹스(잔량실사표)'!B:B,재고차이!A:A,'믹스(잔량실사표)'!E:E)*E154+SUMIF('창고3(실사표)'!B:B,재고차이!A:A,'창고3(실사표)'!E:E)*E154</f>
        <v/>
      </c>
      <c r="H15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5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54" s="245">
        <f>SUM(F154:I154)</f>
        <v/>
      </c>
      <c r="K154" s="245">
        <f>SUMIF('SAP(B117)'!B:B,재고차이!B:B,'SAP(B117)'!Q:Q)</f>
        <v/>
      </c>
      <c r="L154" s="245">
        <f>SUMIF(주간상차!A:A,재고차이!A:A,주간상차!E:E)</f>
        <v/>
      </c>
      <c r="M154" s="246">
        <f>J154-K154-L154-N154+O154+Q154</f>
        <v/>
      </c>
      <c r="N154" s="274" t="n"/>
      <c r="O154" s="275" t="n"/>
      <c r="P154" s="276" t="n"/>
      <c r="Q154" s="277">
        <f>SUMIF(파손품!D:D,재고차이!B:B,파손품!I:I)+SUMIF(동파파손!D:D,재고차이!B:B,동파파손!I:I)</f>
        <v/>
      </c>
      <c r="R154" s="0">
        <f>M154/E154</f>
        <v/>
      </c>
    </row>
    <row r="155" ht="18.75" customHeight="1" s="237">
      <c r="A155" s="9" t="n">
        <v>8082</v>
      </c>
      <c r="B155" s="9">
        <f>VLOOKUP(A:A,제품등록!A:B,2,0)</f>
        <v/>
      </c>
      <c r="C155" s="29">
        <f>VLOOKUP(B155,제품등록!B:C,2,0)</f>
        <v/>
      </c>
      <c r="D155" s="9" t="n"/>
      <c r="E155" s="9" t="n">
        <v>100</v>
      </c>
      <c r="F155" s="245">
        <f>SUMIF('창고1(실사표)'!B:B,재고차이!A:A,'창고1(실사표)'!F:F)*D155+SUMIF('창고2(실사표)'!B:B,재고차이!A:A,'창고2(실사표)'!F:F)*D155+SUMIF('믹스(잔량실사표)'!B:B,재고차이!A:A,'믹스(잔량실사표)'!F:F)*D155</f>
        <v/>
      </c>
      <c r="G155" s="245">
        <f>SUMIF('창고1(실사표)'!B:B,재고차이!A:A,'창고1(실사표)'!E:E)*E155+SUMIF('창고2(실사표)'!B:B,재고차이!A:A,'창고2(실사표)'!E:E)*E155+SUMIF('믹스(잔량실사표)'!B:B,재고차이!A:A,'믹스(잔량실사표)'!E:E)*E155+SUMIF('창고3(실사표)'!B:B,재고차이!A:A,'창고3(실사표)'!E:E)*E155</f>
        <v/>
      </c>
      <c r="H15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5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55" s="245">
        <f>SUM(F155:I155)</f>
        <v/>
      </c>
      <c r="K155" s="245">
        <f>SUMIF('SAP(B117)'!B:B,재고차이!B:B,'SAP(B117)'!Q:Q)</f>
        <v/>
      </c>
      <c r="L155" s="245">
        <f>SUMIF(주간상차!A:A,재고차이!A:A,주간상차!E:E)</f>
        <v/>
      </c>
      <c r="M155" s="246">
        <f>J155-K155-L155-N155+O155+Q155</f>
        <v/>
      </c>
      <c r="N155" s="274" t="n"/>
      <c r="O155" s="275" t="n"/>
      <c r="P155" s="276" t="n"/>
      <c r="Q155" s="277">
        <f>SUMIF(파손품!D:D,재고차이!B:B,파손품!I:I)+SUMIF(동파파손!D:D,재고차이!B:B,동파파손!I:I)</f>
        <v/>
      </c>
      <c r="R155" s="0">
        <f>M155/E155</f>
        <v/>
      </c>
    </row>
    <row r="156" ht="18.75" customHeight="1" s="237">
      <c r="A156" s="9" t="n">
        <v>8086</v>
      </c>
      <c r="B156" s="9">
        <f>VLOOKUP(A:A,제품등록!A:B,2,0)</f>
        <v/>
      </c>
      <c r="C156" s="29">
        <f>VLOOKUP(B156,제품등록!B:C,2,0)</f>
        <v/>
      </c>
      <c r="D156" s="9" t="n"/>
      <c r="E156" s="9" t="n">
        <v>100</v>
      </c>
      <c r="F156" s="245">
        <f>SUMIF('창고1(실사표)'!B:B,재고차이!A:A,'창고1(실사표)'!F:F)*D156+SUMIF('창고2(실사표)'!B:B,재고차이!A:A,'창고2(실사표)'!F:F)*D156+SUMIF('믹스(잔량실사표)'!B:B,재고차이!A:A,'믹스(잔량실사표)'!F:F)*D156</f>
        <v/>
      </c>
      <c r="G156" s="245">
        <f>SUMIF('창고1(실사표)'!B:B,재고차이!A:A,'창고1(실사표)'!E:E)*E156+SUMIF('창고2(실사표)'!B:B,재고차이!A:A,'창고2(실사표)'!E:E)*E156+SUMIF('믹스(잔량실사표)'!B:B,재고차이!A:A,'믹스(잔량실사표)'!E:E)*E156+SUMIF('창고3(실사표)'!B:B,재고차이!A:A,'창고3(실사표)'!E:E)*E156</f>
        <v/>
      </c>
      <c r="H15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5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56" s="245">
        <f>SUM(F156:I156)</f>
        <v/>
      </c>
      <c r="K156" s="245">
        <f>SUMIF('SAP(B117)'!B:B,재고차이!B:B,'SAP(B117)'!Q:Q)</f>
        <v/>
      </c>
      <c r="L156" s="245">
        <f>SUMIF(주간상차!A:A,재고차이!A:A,주간상차!E:E)</f>
        <v/>
      </c>
      <c r="M156" s="246">
        <f>J156-K156-L156-N156+O156+Q156</f>
        <v/>
      </c>
      <c r="N156" s="274" t="n"/>
      <c r="O156" s="275" t="n"/>
      <c r="P156" s="276" t="n"/>
      <c r="Q156" s="277">
        <f>SUMIF(파손품!D:D,재고차이!B:B,파손품!I:I)+SUMIF(동파파손!D:D,재고차이!B:B,동파파손!I:I)</f>
        <v/>
      </c>
      <c r="R156" s="0">
        <f>M156/E156</f>
        <v/>
      </c>
    </row>
    <row r="157" ht="18.75" customHeight="1" s="237">
      <c r="A157" s="9" t="n">
        <v>8090</v>
      </c>
      <c r="B157" s="9">
        <f>VLOOKUP(A:A,제품등록!A:B,2,0)</f>
        <v/>
      </c>
      <c r="C157" s="29">
        <f>VLOOKUP(B157,제품등록!B:C,2,0)</f>
        <v/>
      </c>
      <c r="D157" s="9" t="n"/>
      <c r="E157" s="9" t="n">
        <v>96</v>
      </c>
      <c r="F157" s="245">
        <f>SUMIF('창고1(실사표)'!B:B,재고차이!A:A,'창고1(실사표)'!F:F)*D157+SUMIF('창고2(실사표)'!B:B,재고차이!A:A,'창고2(실사표)'!F:F)*D157+SUMIF('믹스(잔량실사표)'!B:B,재고차이!A:A,'믹스(잔량실사표)'!F:F)*D157</f>
        <v/>
      </c>
      <c r="G157" s="245">
        <f>SUMIF('창고1(실사표)'!B:B,재고차이!A:A,'창고1(실사표)'!E:E)*E157+SUMIF('창고2(실사표)'!B:B,재고차이!A:A,'창고2(실사표)'!E:E)*E157+SUMIF('믹스(잔량실사표)'!B:B,재고차이!A:A,'믹스(잔량실사표)'!E:E)*E157+SUMIF('창고3(실사표)'!B:B,재고차이!A:A,'창고3(실사표)'!E:E)*E157</f>
        <v/>
      </c>
      <c r="H15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5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57" s="245">
        <f>SUM(F157:I157)</f>
        <v/>
      </c>
      <c r="K157" s="245">
        <f>SUMIF('SAP(B117)'!B:B,재고차이!B:B,'SAP(B117)'!Q:Q)</f>
        <v/>
      </c>
      <c r="L157" s="245">
        <f>SUMIF(주간상차!A:A,재고차이!A:A,주간상차!E:E)</f>
        <v/>
      </c>
      <c r="M157" s="246">
        <f>J157-K157-L157-N157+O157+Q157</f>
        <v/>
      </c>
      <c r="N157" s="274" t="n"/>
      <c r="O157" s="275" t="n"/>
      <c r="P157" s="276" t="n"/>
      <c r="Q157" s="277">
        <f>SUMIF(파손품!D:D,재고차이!B:B,파손품!I:I)+SUMIF(동파파손!D:D,재고차이!B:B,동파파손!I:I)</f>
        <v/>
      </c>
      <c r="R157" s="0">
        <f>M157/E157</f>
        <v/>
      </c>
    </row>
    <row r="158" ht="18.75" customHeight="1" s="237">
      <c r="A158" s="9" t="n">
        <v>8091</v>
      </c>
      <c r="B158" s="9">
        <f>VLOOKUP(A:A,제품등록!A:B,2,0)</f>
        <v/>
      </c>
      <c r="C158" s="29">
        <f>VLOOKUP(B158,제품등록!B:C,2,0)</f>
        <v/>
      </c>
      <c r="D158" s="9" t="n"/>
      <c r="E158" s="9" t="n">
        <v>96</v>
      </c>
      <c r="F158" s="245">
        <f>SUMIF('창고1(실사표)'!B:B,재고차이!A:A,'창고1(실사표)'!F:F)*D158+SUMIF('창고2(실사표)'!B:B,재고차이!A:A,'창고2(실사표)'!F:F)*D158+SUMIF('믹스(잔량실사표)'!B:B,재고차이!A:A,'믹스(잔량실사표)'!F:F)*D158</f>
        <v/>
      </c>
      <c r="G158" s="245">
        <f>SUMIF('창고1(실사표)'!B:B,재고차이!A:A,'창고1(실사표)'!E:E)*E158+SUMIF('창고2(실사표)'!B:B,재고차이!A:A,'창고2(실사표)'!E:E)*E158+SUMIF('믹스(잔량실사표)'!B:B,재고차이!A:A,'믹스(잔량실사표)'!E:E)*E158+SUMIF('창고3(실사표)'!B:B,재고차이!A:A,'창고3(실사표)'!E:E)*E158</f>
        <v/>
      </c>
      <c r="H15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5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58" s="245">
        <f>SUM(F158:I158)</f>
        <v/>
      </c>
      <c r="K158" s="245">
        <f>SUMIF('SAP(B117)'!B:B,재고차이!B:B,'SAP(B117)'!Q:Q)</f>
        <v/>
      </c>
      <c r="L158" s="245">
        <f>SUMIF(주간상차!A:A,재고차이!A:A,주간상차!E:E)</f>
        <v/>
      </c>
      <c r="M158" s="246">
        <f>J158-K158-L158-N158+O158+Q158</f>
        <v/>
      </c>
      <c r="N158" s="274" t="n"/>
      <c r="O158" s="275" t="n"/>
      <c r="P158" s="276" t="n"/>
      <c r="Q158" s="277">
        <f>SUMIF(파손품!D:D,재고차이!B:B,파손품!I:I)+SUMIF(동파파손!D:D,재고차이!B:B,동파파손!I:I)</f>
        <v/>
      </c>
      <c r="R158" s="0">
        <f>M158/E158</f>
        <v/>
      </c>
    </row>
    <row r="159" ht="18.75" customHeight="1" s="237">
      <c r="A159" s="9" t="n">
        <v>8115</v>
      </c>
      <c r="B159" s="9">
        <f>VLOOKUP(A:A,제품등록!A:B,2,0)</f>
        <v/>
      </c>
      <c r="C159" s="29">
        <f>VLOOKUP(B159,제품등록!B:C,2,0)</f>
        <v/>
      </c>
      <c r="D159" s="9" t="n"/>
      <c r="E159" s="9" t="n">
        <v>65</v>
      </c>
      <c r="F159" s="245">
        <f>SUMIF('창고1(실사표)'!B:B,재고차이!A:A,'창고1(실사표)'!F:F)*D159+SUMIF('창고2(실사표)'!B:B,재고차이!A:A,'창고2(실사표)'!F:F)*D159+SUMIF('믹스(잔량실사표)'!B:B,재고차이!A:A,'믹스(잔량실사표)'!F:F)*D159</f>
        <v/>
      </c>
      <c r="G159" s="245">
        <f>SUMIF('창고1(실사표)'!B:B,재고차이!A:A,'창고1(실사표)'!E:E)*E159+SUMIF('창고2(실사표)'!B:B,재고차이!A:A,'창고2(실사표)'!E:E)*E159+SUMIF('믹스(잔량실사표)'!B:B,재고차이!A:A,'믹스(잔량실사표)'!E:E)*E159+SUMIF('창고3(실사표)'!B:B,재고차이!A:A,'창고3(실사표)'!E:E)*E159</f>
        <v/>
      </c>
      <c r="H15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5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59" s="245">
        <f>SUM(F159:I159)</f>
        <v/>
      </c>
      <c r="K159" s="245">
        <f>SUMIF('SAP(B117)'!B:B,재고차이!B:B,'SAP(B117)'!Q:Q)</f>
        <v/>
      </c>
      <c r="L159" s="245">
        <f>SUMIF(주간상차!A:A,재고차이!A:A,주간상차!E:E)</f>
        <v/>
      </c>
      <c r="M159" s="246">
        <f>J159-K159-L159-N159+O159+Q159</f>
        <v/>
      </c>
      <c r="N159" s="274" t="n"/>
      <c r="O159" s="275" t="n"/>
      <c r="P159" s="276" t="n"/>
      <c r="Q159" s="277">
        <f>SUMIF(파손품!D:D,재고차이!B:B,파손품!I:I)+SUMIF(동파파손!D:D,재고차이!B:B,동파파손!I:I)</f>
        <v/>
      </c>
      <c r="R159" s="0">
        <f>M159/E159</f>
        <v/>
      </c>
    </row>
    <row r="160" ht="18" customHeight="1" s="237">
      <c r="A160" s="9" t="n">
        <v>8167</v>
      </c>
      <c r="B160" s="9">
        <f>VLOOKUP(A:A,제품등록!A:B,2,0)</f>
        <v/>
      </c>
      <c r="C160" s="29">
        <f>VLOOKUP(B160,제품등록!B:C,2,0)</f>
        <v/>
      </c>
      <c r="D160" s="9" t="n"/>
      <c r="E160" s="9" t="n">
        <v>100</v>
      </c>
      <c r="F160" s="245">
        <f>SUMIF('창고1(실사표)'!B:B,재고차이!A:A,'창고1(실사표)'!F:F)*D160+SUMIF('창고2(실사표)'!B:B,재고차이!A:A,'창고2(실사표)'!F:F)*D160+SUMIF('믹스(잔량실사표)'!B:B,재고차이!A:A,'믹스(잔량실사표)'!F:F)*D160</f>
        <v/>
      </c>
      <c r="G160" s="245">
        <f>SUMIF('창고1(실사표)'!B:B,재고차이!A:A,'창고1(실사표)'!E:E)*E160+SUMIF('창고2(실사표)'!B:B,재고차이!A:A,'창고2(실사표)'!E:E)*E160+SUMIF('믹스(잔량실사표)'!B:B,재고차이!A:A,'믹스(잔량실사표)'!E:E)*E160+SUMIF('창고3(실사표)'!B:B,재고차이!A:A,'창고3(실사표)'!E:E)*E160</f>
        <v/>
      </c>
      <c r="H16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6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60" s="245">
        <f>SUM(F160:I160)</f>
        <v/>
      </c>
      <c r="K160" s="245">
        <f>SUMIF('SAP(B117)'!B:B,재고차이!B:B,'SAP(B117)'!Q:Q)</f>
        <v/>
      </c>
      <c r="L160" s="245">
        <f>SUMIF(주간상차!A:A,재고차이!A:A,주간상차!E:E)</f>
        <v/>
      </c>
      <c r="M160" s="246">
        <f>J160-K160-L160-N160+O160+Q160</f>
        <v/>
      </c>
      <c r="N160" s="274" t="n"/>
      <c r="O160" s="275" t="n"/>
      <c r="P160" s="276" t="n"/>
      <c r="Q160" s="277">
        <f>SUMIF(파손품!D:D,재고차이!B:B,파손품!I:I)+SUMIF(동파파손!D:D,재고차이!B:B,동파파손!I:I)</f>
        <v/>
      </c>
      <c r="R160" s="0">
        <f>M160/E160</f>
        <v/>
      </c>
    </row>
    <row r="161" ht="18" customHeight="1" s="237">
      <c r="A161" s="9" t="n">
        <v>8181</v>
      </c>
      <c r="B161" s="9">
        <f>VLOOKUP(A:A,제품등록!A:B,2,0)</f>
        <v/>
      </c>
      <c r="C161" s="29">
        <f>VLOOKUP(B161,제품등록!B:C,2,0)</f>
        <v/>
      </c>
      <c r="D161" s="9" t="n"/>
      <c r="E161" s="9" t="n">
        <v>91</v>
      </c>
      <c r="F161" s="245">
        <f>SUMIF('창고1(실사표)'!B:B,재고차이!A:A,'창고1(실사표)'!F:F)*D161+SUMIF('창고2(실사표)'!B:B,재고차이!A:A,'창고2(실사표)'!F:F)*D161+SUMIF('믹스(잔량실사표)'!B:B,재고차이!A:A,'믹스(잔량실사표)'!F:F)*D161</f>
        <v/>
      </c>
      <c r="G161" s="245">
        <f>SUMIF('창고1(실사표)'!B:B,재고차이!A:A,'창고1(실사표)'!E:E)*E161+SUMIF('창고2(실사표)'!B:B,재고차이!A:A,'창고2(실사표)'!E:E)*E161+SUMIF('믹스(잔량실사표)'!B:B,재고차이!A:A,'믹스(잔량실사표)'!E:E)*E161+SUMIF('창고3(실사표)'!B:B,재고차이!A:A,'창고3(실사표)'!E:E)*E161</f>
        <v/>
      </c>
      <c r="H16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6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61" s="245">
        <f>SUM(F161:I161)</f>
        <v/>
      </c>
      <c r="K161" s="245">
        <f>SUMIF('SAP(B117)'!B:B,재고차이!B:B,'SAP(B117)'!Q:Q)</f>
        <v/>
      </c>
      <c r="L161" s="245">
        <f>SUMIF(주간상차!A:A,재고차이!A:A,주간상차!E:E)</f>
        <v/>
      </c>
      <c r="M161" s="246">
        <f>J161-K161-L161-N161+O161+Q161</f>
        <v/>
      </c>
      <c r="N161" s="274" t="n"/>
      <c r="O161" s="275" t="n"/>
      <c r="P161" s="276" t="n"/>
      <c r="Q161" s="277">
        <f>SUMIF(파손품!D:D,재고차이!B:B,파손품!I:I)+SUMIF(동파파손!D:D,재고차이!B:B,동파파손!I:I)</f>
        <v/>
      </c>
      <c r="R161" s="0">
        <f>M161/E161</f>
        <v/>
      </c>
    </row>
    <row r="162" ht="18" customHeight="1" s="237">
      <c r="A162" s="9" t="n">
        <v>8188</v>
      </c>
      <c r="B162" s="9">
        <f>VLOOKUP(A:A,제품등록!A:B,2,0)</f>
        <v/>
      </c>
      <c r="C162" s="29">
        <f>VLOOKUP(B162,제품등록!B:C,2,0)</f>
        <v/>
      </c>
      <c r="D162" s="9" t="n">
        <v>40</v>
      </c>
      <c r="E162" s="9" t="n">
        <v>70</v>
      </c>
      <c r="F162" s="245">
        <f>SUMIF('창고1(실사표)'!B:B,재고차이!A:A,'창고1(실사표)'!F:F)*D162+SUMIF('창고2(실사표)'!B:B,재고차이!A:A,'창고2(실사표)'!F:F)*D162+SUMIF('믹스(잔량실사표)'!B:B,재고차이!A:A,'믹스(잔량실사표)'!F:F)*D162</f>
        <v/>
      </c>
      <c r="G162" s="245">
        <f>SUMIF('창고1(실사표)'!B:B,재고차이!A:A,'창고1(실사표)'!E:E)*E162+SUMIF('창고2(실사표)'!B:B,재고차이!A:A,'창고2(실사표)'!E:E)*E162+SUMIF('믹스(잔량실사표)'!B:B,재고차이!A:A,'믹스(잔량실사표)'!E:E)*E162+SUMIF('창고3(실사표)'!B:B,재고차이!A:A,'창고3(실사표)'!E:E)*E162</f>
        <v/>
      </c>
      <c r="H16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6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62" s="245">
        <f>SUM(F162:I162)</f>
        <v/>
      </c>
      <c r="K162" s="245">
        <f>SUMIF('SAP(B117)'!B:B,재고차이!B:B,'SAP(B117)'!Q:Q)</f>
        <v/>
      </c>
      <c r="L162" s="245">
        <f>SUMIF(주간상차!A:A,재고차이!A:A,주간상차!E:E)</f>
        <v/>
      </c>
      <c r="M162" s="246">
        <f>J162-K162-L162-N162+O162+Q162</f>
        <v/>
      </c>
      <c r="N162" s="274" t="n"/>
      <c r="O162" s="275" t="n"/>
      <c r="P162" s="276" t="n"/>
      <c r="Q162" s="277">
        <f>SUMIF(파손품!D:D,재고차이!B:B,파손품!I:I)+SUMIF(동파파손!D:D,재고차이!B:B,동파파손!I:I)</f>
        <v/>
      </c>
      <c r="R162" s="0">
        <f>M162/E162</f>
        <v/>
      </c>
    </row>
    <row r="163" ht="18" customHeight="1" s="237">
      <c r="A163" s="9" t="n">
        <v>8202</v>
      </c>
      <c r="B163" s="9">
        <f>VLOOKUP(A:A,제품등록!A:B,2,0)</f>
        <v/>
      </c>
      <c r="C163" s="29">
        <f>VLOOKUP(B163,제품등록!B:C,2,0)</f>
        <v/>
      </c>
      <c r="D163" s="9" t="n">
        <v>40</v>
      </c>
      <c r="E163" s="9" t="n">
        <v>70</v>
      </c>
      <c r="F163" s="245">
        <f>SUMIF('창고1(실사표)'!B:B,재고차이!A:A,'창고1(실사표)'!F:F)*D163+SUMIF('창고2(실사표)'!B:B,재고차이!A:A,'창고2(실사표)'!F:F)*D163+SUMIF('믹스(잔량실사표)'!B:B,재고차이!A:A,'믹스(잔량실사표)'!F:F)*D163</f>
        <v/>
      </c>
      <c r="G163" s="245">
        <f>SUMIF('창고1(실사표)'!B:B,재고차이!A:A,'창고1(실사표)'!E:E)*E163+SUMIF('창고2(실사표)'!B:B,재고차이!A:A,'창고2(실사표)'!E:E)*E163+SUMIF('믹스(잔량실사표)'!B:B,재고차이!A:A,'믹스(잔량실사표)'!E:E)*E163+SUMIF('창고3(실사표)'!B:B,재고차이!A:A,'창고3(실사표)'!E:E)*E163</f>
        <v/>
      </c>
      <c r="H16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6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63" s="245">
        <f>SUM(F163:I163)</f>
        <v/>
      </c>
      <c r="K163" s="245">
        <f>SUMIF('SAP(B117)'!B:B,재고차이!B:B,'SAP(B117)'!Q:Q)</f>
        <v/>
      </c>
      <c r="L163" s="245">
        <f>SUMIF(주간상차!A:A,재고차이!A:A,주간상차!E:E)</f>
        <v/>
      </c>
      <c r="M163" s="246">
        <f>J163-K163-L163-N163+O163+Q163</f>
        <v/>
      </c>
      <c r="N163" s="274" t="n"/>
      <c r="O163" s="275" t="n"/>
      <c r="P163" s="276" t="n"/>
      <c r="Q163" s="277">
        <f>SUMIF(파손품!D:D,재고차이!B:B,파손품!I:I)+SUMIF(동파파손!D:D,재고차이!B:B,동파파손!I:I)</f>
        <v/>
      </c>
      <c r="R163" s="0">
        <f>M163/E163</f>
        <v/>
      </c>
    </row>
    <row r="164" ht="18" customHeight="1" s="237">
      <c r="A164" s="9" t="n">
        <v>8204</v>
      </c>
      <c r="B164" s="9">
        <f>VLOOKUP(A:A,제품등록!A:B,2,0)</f>
        <v/>
      </c>
      <c r="C164" s="29">
        <f>VLOOKUP(B164,제품등록!B:C,2,0)</f>
        <v/>
      </c>
      <c r="D164" s="9" t="n">
        <v>40</v>
      </c>
      <c r="E164" s="9" t="n">
        <v>70</v>
      </c>
      <c r="F164" s="245">
        <f>SUMIF('창고1(실사표)'!B:B,재고차이!A:A,'창고1(실사표)'!F:F)*D164+SUMIF('창고2(실사표)'!B:B,재고차이!A:A,'창고2(실사표)'!F:F)*D164+SUMIF('믹스(잔량실사표)'!B:B,재고차이!A:A,'믹스(잔량실사표)'!F:F)*D164</f>
        <v/>
      </c>
      <c r="G164" s="245">
        <f>SUMIF('창고1(실사표)'!B:B,재고차이!A:A,'창고1(실사표)'!E:E)*E164+SUMIF('창고2(실사표)'!B:B,재고차이!A:A,'창고2(실사표)'!E:E)*E164+SUMIF('믹스(잔량실사표)'!B:B,재고차이!A:A,'믹스(잔량실사표)'!E:E)*E164+SUMIF('창고3(실사표)'!B:B,재고차이!A:A,'창고3(실사표)'!E:E)*E164</f>
        <v/>
      </c>
      <c r="H16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6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64" s="245">
        <f>SUM(F164:I164)</f>
        <v/>
      </c>
      <c r="K164" s="245">
        <f>SUMIF('SAP(B117)'!B:B,재고차이!B:B,'SAP(B117)'!Q:Q)</f>
        <v/>
      </c>
      <c r="L164" s="245">
        <f>SUMIF(주간상차!A:A,재고차이!A:A,주간상차!E:E)</f>
        <v/>
      </c>
      <c r="M164" s="246">
        <f>J164-K164-L164-N164+O164+Q164</f>
        <v/>
      </c>
      <c r="N164" s="274" t="n"/>
      <c r="O164" s="275" t="n"/>
      <c r="P164" s="276" t="n"/>
      <c r="Q164" s="277">
        <f>SUMIF(파손품!D:D,재고차이!B:B,파손품!I:I)+SUMIF(동파파손!D:D,재고차이!B:B,동파파손!I:I)</f>
        <v/>
      </c>
      <c r="R164" s="0">
        <f>M164/E164</f>
        <v/>
      </c>
    </row>
    <row r="165" ht="18" customHeight="1" s="237">
      <c r="A165" s="30" t="n">
        <v>8222</v>
      </c>
      <c r="B165" s="9">
        <f>VLOOKUP(A:A,제품등록!A:B,2,0)</f>
        <v/>
      </c>
      <c r="C165" s="29">
        <f>VLOOKUP(B165,제품등록!B:C,2,0)</f>
        <v/>
      </c>
      <c r="D165" s="9" t="n"/>
      <c r="E165" s="9" t="n">
        <v>40</v>
      </c>
      <c r="F165" s="245">
        <f>SUMIF('창고1(실사표)'!B:B,재고차이!A:A,'창고1(실사표)'!F:F)*D165+SUMIF('창고2(실사표)'!B:B,재고차이!A:A,'창고2(실사표)'!F:F)*D165+SUMIF('믹스(잔량실사표)'!B:B,재고차이!A:A,'믹스(잔량실사표)'!F:F)*D165</f>
        <v/>
      </c>
      <c r="G165" s="245">
        <f>SUMIF('창고1(실사표)'!B:B,재고차이!A:A,'창고1(실사표)'!E:E)*E165+SUMIF('창고2(실사표)'!B:B,재고차이!A:A,'창고2(실사표)'!E:E)*E165+SUMIF('믹스(잔량실사표)'!B:B,재고차이!A:A,'믹스(잔량실사표)'!E:E)*E165+SUMIF('창고3(실사표)'!B:B,재고차이!A:A,'창고3(실사표)'!E:E)*E165</f>
        <v/>
      </c>
      <c r="H16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6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65" s="245">
        <f>SUM(F165:I165)</f>
        <v/>
      </c>
      <c r="K165" s="245">
        <f>SUMIF('SAP(B117)'!B:B,재고차이!B:B,'SAP(B117)'!Q:Q)</f>
        <v/>
      </c>
      <c r="L165" s="245">
        <f>SUMIF(주간상차!A:A,재고차이!A:A,주간상차!E:E)</f>
        <v/>
      </c>
      <c r="M165" s="246">
        <f>J165-K165-L165-N165+O165+Q165</f>
        <v/>
      </c>
      <c r="N165" s="274" t="n"/>
      <c r="O165" s="275" t="n"/>
      <c r="P165" s="276" t="n"/>
      <c r="Q165" s="277">
        <f>SUMIF(파손품!D:D,재고차이!B:B,파손품!I:I)+SUMIF(동파파손!D:D,재고차이!B:B,동파파손!I:I)</f>
        <v/>
      </c>
      <c r="R165" s="0">
        <f>M165/E165</f>
        <v/>
      </c>
    </row>
    <row r="166" ht="18" customHeight="1" s="237">
      <c r="A166" s="30" t="n">
        <v>8223</v>
      </c>
      <c r="B166" s="9">
        <f>VLOOKUP(A:A,제품등록!A:B,2,0)</f>
        <v/>
      </c>
      <c r="C166" s="29">
        <f>VLOOKUP(B166,제품등록!B:C,2,0)</f>
        <v/>
      </c>
      <c r="D166" s="9" t="n"/>
      <c r="E166" s="9" t="n">
        <v>40</v>
      </c>
      <c r="F166" s="245">
        <f>SUMIF('창고1(실사표)'!B:B,재고차이!A:A,'창고1(실사표)'!F:F)*D166+SUMIF('창고2(실사표)'!B:B,재고차이!A:A,'창고2(실사표)'!F:F)*D166+SUMIF('믹스(잔량실사표)'!B:B,재고차이!A:A,'믹스(잔량실사표)'!F:F)*D166</f>
        <v/>
      </c>
      <c r="G166" s="245">
        <f>SUMIF('창고1(실사표)'!B:B,재고차이!A:A,'창고1(실사표)'!E:E)*E166+SUMIF('창고2(실사표)'!B:B,재고차이!A:A,'창고2(실사표)'!E:E)*E166+SUMIF('믹스(잔량실사표)'!B:B,재고차이!A:A,'믹스(잔량실사표)'!E:E)*E166+SUMIF('창고3(실사표)'!B:B,재고차이!A:A,'창고3(실사표)'!E:E)*E166</f>
        <v/>
      </c>
      <c r="H16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6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66" s="245">
        <f>SUM(F166:I166)</f>
        <v/>
      </c>
      <c r="K166" s="245">
        <f>SUMIF('SAP(B117)'!B:B,재고차이!B:B,'SAP(B117)'!Q:Q)</f>
        <v/>
      </c>
      <c r="L166" s="245">
        <f>SUMIF(주간상차!A:A,재고차이!A:A,주간상차!E:E)</f>
        <v/>
      </c>
      <c r="M166" s="246">
        <f>J166-K166-L166-N166+O166+Q166</f>
        <v/>
      </c>
      <c r="N166" s="274" t="n"/>
      <c r="O166" s="275" t="n"/>
      <c r="P166" s="276" t="n"/>
      <c r="Q166" s="277">
        <f>SUMIF(파손품!D:D,재고차이!B:B,파손품!I:I)+SUMIF(동파파손!D:D,재고차이!B:B,동파파손!I:I)</f>
        <v/>
      </c>
      <c r="R166" s="0">
        <f>M166/E166</f>
        <v/>
      </c>
    </row>
    <row r="167" ht="18" customHeight="1" s="237">
      <c r="A167" s="30" t="n">
        <v>8224</v>
      </c>
      <c r="B167" s="9">
        <f>VLOOKUP(A:A,제품등록!A:B,2,0)</f>
        <v/>
      </c>
      <c r="C167" s="29">
        <f>VLOOKUP(B167,제품등록!B:C,2,0)</f>
        <v/>
      </c>
      <c r="D167" s="9" t="n"/>
      <c r="E167" s="9" t="n">
        <v>40</v>
      </c>
      <c r="F167" s="245">
        <f>SUMIF('창고1(실사표)'!B:B,재고차이!A:A,'창고1(실사표)'!F:F)*D167+SUMIF('창고2(실사표)'!B:B,재고차이!A:A,'창고2(실사표)'!F:F)*D167+SUMIF('믹스(잔량실사표)'!B:B,재고차이!A:A,'믹스(잔량실사표)'!F:F)*D167</f>
        <v/>
      </c>
      <c r="G167" s="245">
        <f>SUMIF('창고1(실사표)'!B:B,재고차이!A:A,'창고1(실사표)'!E:E)*E167+SUMIF('창고2(실사표)'!B:B,재고차이!A:A,'창고2(실사표)'!E:E)*E167+SUMIF('믹스(잔량실사표)'!B:B,재고차이!A:A,'믹스(잔량실사표)'!E:E)*E167+SUMIF('창고3(실사표)'!B:B,재고차이!A:A,'창고3(실사표)'!E:E)*E167</f>
        <v/>
      </c>
      <c r="H16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6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67" s="245">
        <f>SUM(F167:I167)</f>
        <v/>
      </c>
      <c r="K167" s="245">
        <f>SUMIF('SAP(B117)'!B:B,재고차이!B:B,'SAP(B117)'!Q:Q)</f>
        <v/>
      </c>
      <c r="L167" s="245">
        <f>SUMIF(주간상차!A:A,재고차이!A:A,주간상차!E:E)</f>
        <v/>
      </c>
      <c r="M167" s="246">
        <f>J167-K167-L167-N167+O167+Q167</f>
        <v/>
      </c>
      <c r="N167" s="274" t="n"/>
      <c r="O167" s="275" t="n"/>
      <c r="P167" s="276" t="n"/>
      <c r="Q167" s="277">
        <f>SUMIF(파손품!D:D,재고차이!B:B,파손품!I:I)+SUMIF(동파파손!D:D,재고차이!B:B,동파파손!I:I)</f>
        <v/>
      </c>
      <c r="R167" s="0">
        <f>M167/E167</f>
        <v/>
      </c>
    </row>
    <row r="168" ht="18" customHeight="1" s="237">
      <c r="A168" s="9" t="n">
        <v>8259</v>
      </c>
      <c r="B168" s="9">
        <f>VLOOKUP(A:A,제품등록!A:B,2,0)</f>
        <v/>
      </c>
      <c r="C168" s="29">
        <f>VLOOKUP(B168,제품등록!B:C,2,0)</f>
        <v/>
      </c>
      <c r="D168" s="9" t="n"/>
      <c r="E168" s="9" t="n">
        <v>144</v>
      </c>
      <c r="F168" s="245">
        <f>SUMIF('창고1(실사표)'!B:B,재고차이!A:A,'창고1(실사표)'!F:F)*D168+SUMIF('창고2(실사표)'!B:B,재고차이!A:A,'창고2(실사표)'!F:F)*D168+SUMIF('믹스(잔량실사표)'!B:B,재고차이!A:A,'믹스(잔량실사표)'!F:F)*D168</f>
        <v/>
      </c>
      <c r="G168" s="245">
        <f>SUMIF('창고1(실사표)'!B:B,재고차이!A:A,'창고1(실사표)'!E:E)*E168+SUMIF('창고2(실사표)'!B:B,재고차이!A:A,'창고2(실사표)'!E:E)*E168+SUMIF('믹스(잔량실사표)'!B:B,재고차이!A:A,'믹스(잔량실사표)'!E:E)*E168+SUMIF('창고3(실사표)'!B:B,재고차이!A:A,'창고3(실사표)'!E:E)*E168</f>
        <v/>
      </c>
      <c r="H16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6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68" s="245">
        <f>SUM(F168:I168)</f>
        <v/>
      </c>
      <c r="K168" s="245">
        <f>SUMIF('SAP(B117)'!B:B,재고차이!B:B,'SAP(B117)'!Q:Q)</f>
        <v/>
      </c>
      <c r="L168" s="245">
        <f>SUMIF(주간상차!A:A,재고차이!A:A,주간상차!E:E)</f>
        <v/>
      </c>
      <c r="M168" s="246">
        <f>J168-K168-L168-N168+O168+Q168</f>
        <v/>
      </c>
      <c r="N168" s="274" t="n"/>
      <c r="O168" s="275" t="n"/>
      <c r="P168" s="276" t="n"/>
      <c r="Q168" s="277">
        <f>SUMIF(파손품!D:D,재고차이!B:B,파손품!I:I)+SUMIF(동파파손!D:D,재고차이!B:B,동파파손!I:I)</f>
        <v/>
      </c>
      <c r="R168" s="0">
        <f>M168/E168</f>
        <v/>
      </c>
    </row>
    <row r="169" ht="18" customHeight="1" s="237">
      <c r="A169" s="9" t="n">
        <v>8265</v>
      </c>
      <c r="B169" s="9">
        <f>VLOOKUP(A:A,제품등록!A:B,2,0)</f>
        <v/>
      </c>
      <c r="C169" s="29">
        <f>VLOOKUP(B169,제품등록!B:C,2,0)</f>
        <v/>
      </c>
      <c r="D169" s="9" t="n"/>
      <c r="E169" s="9" t="n">
        <v>90</v>
      </c>
      <c r="F169" s="245">
        <f>SUMIF('창고1(실사표)'!B:B,재고차이!A:A,'창고1(실사표)'!F:F)*D169+SUMIF('창고2(실사표)'!B:B,재고차이!A:A,'창고2(실사표)'!F:F)*D169+SUMIF('믹스(잔량실사표)'!B:B,재고차이!A:A,'믹스(잔량실사표)'!F:F)*D169</f>
        <v/>
      </c>
      <c r="G169" s="245">
        <f>SUMIF('창고1(실사표)'!B:B,재고차이!A:A,'창고1(실사표)'!E:E)*E169+SUMIF('창고2(실사표)'!B:B,재고차이!A:A,'창고2(실사표)'!E:E)*E169+SUMIF('믹스(잔량실사표)'!B:B,재고차이!A:A,'믹스(잔량실사표)'!E:E)*E169+SUMIF('창고3(실사표)'!B:B,재고차이!A:A,'창고3(실사표)'!E:E)*E169</f>
        <v/>
      </c>
      <c r="H16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6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69" s="245">
        <f>SUM(F169:I169)</f>
        <v/>
      </c>
      <c r="K169" s="245">
        <f>SUMIF('SAP(B117)'!B:B,재고차이!B:B,'SAP(B117)'!Q:Q)</f>
        <v/>
      </c>
      <c r="L169" s="245">
        <f>SUMIF(주간상차!A:A,재고차이!A:A,주간상차!E:E)</f>
        <v/>
      </c>
      <c r="M169" s="246">
        <f>J169-K169-L169-N169+O169+Q169</f>
        <v/>
      </c>
      <c r="N169" s="274" t="n"/>
      <c r="O169" s="275" t="n"/>
      <c r="P169" s="276" t="n"/>
      <c r="Q169" s="277">
        <f>SUMIF(파손품!D:D,재고차이!B:B,파손품!I:I)+SUMIF(동파파손!D:D,재고차이!B:B,동파파손!I:I)</f>
        <v/>
      </c>
      <c r="R169" s="0">
        <f>M169/E169</f>
        <v/>
      </c>
    </row>
    <row r="170" ht="18.75" customHeight="1" s="237">
      <c r="A170" s="9" t="n">
        <v>8266</v>
      </c>
      <c r="B170" s="9">
        <f>VLOOKUP(A:A,제품등록!A:B,2,0)</f>
        <v/>
      </c>
      <c r="C170" s="29">
        <f>VLOOKUP(B170,제품등록!B:C,2,0)</f>
        <v/>
      </c>
      <c r="D170" s="9" t="n"/>
      <c r="E170" s="9" t="n">
        <v>90</v>
      </c>
      <c r="F170" s="245">
        <f>SUMIF('창고1(실사표)'!B:B,재고차이!A:A,'창고1(실사표)'!F:F)*D170+SUMIF('창고2(실사표)'!B:B,재고차이!A:A,'창고2(실사표)'!F:F)*D170+SUMIF('믹스(잔량실사표)'!B:B,재고차이!A:A,'믹스(잔량실사표)'!F:F)*D170</f>
        <v/>
      </c>
      <c r="G170" s="245">
        <f>SUMIF('창고1(실사표)'!B:B,재고차이!A:A,'창고1(실사표)'!E:E)*E170+SUMIF('창고2(실사표)'!B:B,재고차이!A:A,'창고2(실사표)'!E:E)*E170+SUMIF('믹스(잔량실사표)'!B:B,재고차이!A:A,'믹스(잔량실사표)'!E:E)*E170+SUMIF('창고3(실사표)'!B:B,재고차이!A:A,'창고3(실사표)'!E:E)*E170</f>
        <v/>
      </c>
      <c r="H17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7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70" s="245">
        <f>SUM(F170:I170)</f>
        <v/>
      </c>
      <c r="K170" s="245">
        <f>SUMIF('SAP(B117)'!B:B,재고차이!B:B,'SAP(B117)'!Q:Q)</f>
        <v/>
      </c>
      <c r="L170" s="245">
        <f>SUMIF(주간상차!A:A,재고차이!A:A,주간상차!E:E)</f>
        <v/>
      </c>
      <c r="M170" s="246">
        <f>J170-K170-L170-N170+O170+Q170</f>
        <v/>
      </c>
      <c r="N170" s="274" t="n"/>
      <c r="O170" s="275" t="n"/>
      <c r="P170" s="276" t="n"/>
      <c r="Q170" s="277">
        <f>SUMIF(파손품!D:D,재고차이!B:B,파손품!I:I)+SUMIF(동파파손!D:D,재고차이!B:B,동파파손!I:I)</f>
        <v/>
      </c>
      <c r="R170" s="0">
        <f>M170/E170</f>
        <v/>
      </c>
    </row>
    <row r="171" ht="18.75" customHeight="1" s="237">
      <c r="A171" s="9" t="n">
        <v>8268</v>
      </c>
      <c r="B171" s="9">
        <f>VLOOKUP(A:A,제품등록!A:B,2,0)</f>
        <v/>
      </c>
      <c r="C171" s="29">
        <f>VLOOKUP(B171,제품등록!B:C,2,0)</f>
        <v/>
      </c>
      <c r="D171" s="9" t="n"/>
      <c r="E171" s="9" t="n">
        <v>70</v>
      </c>
      <c r="F171" s="245">
        <f>SUMIF('창고1(실사표)'!B:B,재고차이!A:A,'창고1(실사표)'!F:F)*D171+SUMIF('창고2(실사표)'!B:B,재고차이!A:A,'창고2(실사표)'!F:F)*D171+SUMIF('믹스(잔량실사표)'!B:B,재고차이!A:A,'믹스(잔량실사표)'!F:F)*D171</f>
        <v/>
      </c>
      <c r="G171" s="245">
        <f>SUMIF('창고1(실사표)'!B:B,재고차이!A:A,'창고1(실사표)'!E:E)*E171+SUMIF('창고2(실사표)'!B:B,재고차이!A:A,'창고2(실사표)'!E:E)*E171+SUMIF('믹스(잔량실사표)'!B:B,재고차이!A:A,'믹스(잔량실사표)'!E:E)*E171+SUMIF('창고3(실사표)'!B:B,재고차이!A:A,'창고3(실사표)'!E:E)*E171</f>
        <v/>
      </c>
      <c r="H17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7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71" s="245">
        <f>SUM(F171:I171)</f>
        <v/>
      </c>
      <c r="K171" s="245">
        <f>SUMIF('SAP(B117)'!B:B,재고차이!B:B,'SAP(B117)'!Q:Q)</f>
        <v/>
      </c>
      <c r="L171" s="245">
        <f>SUMIF(주간상차!A:A,재고차이!A:A,주간상차!E:E)</f>
        <v/>
      </c>
      <c r="M171" s="246">
        <f>J171-K171-L171-N171+O171+Q171</f>
        <v/>
      </c>
      <c r="N171" s="274" t="n"/>
      <c r="O171" s="275" t="n"/>
      <c r="P171" s="276" t="n"/>
      <c r="Q171" s="277">
        <f>SUMIF(파손품!D:D,재고차이!B:B,파손품!I:I)+SUMIF(동파파손!D:D,재고차이!B:B,동파파손!I:I)</f>
        <v/>
      </c>
      <c r="R171" s="0">
        <f>M171/E171</f>
        <v/>
      </c>
    </row>
    <row r="172" ht="18.75" customHeight="1" s="237">
      <c r="A172" s="9" t="n">
        <v>8269</v>
      </c>
      <c r="B172" s="9">
        <f>VLOOKUP(A:A,제품등록!A:B,2,0)</f>
        <v/>
      </c>
      <c r="C172" s="29">
        <f>VLOOKUP(B172,제품등록!B:C,2,0)</f>
        <v/>
      </c>
      <c r="D172" s="9" t="n"/>
      <c r="E172" s="9" t="n">
        <v>70</v>
      </c>
      <c r="F172" s="245">
        <f>SUMIF('창고1(실사표)'!B:B,재고차이!A:A,'창고1(실사표)'!F:F)*D172+SUMIF('창고2(실사표)'!B:B,재고차이!A:A,'창고2(실사표)'!F:F)*D172+SUMIF('믹스(잔량실사표)'!B:B,재고차이!A:A,'믹스(잔량실사표)'!F:F)*D172</f>
        <v/>
      </c>
      <c r="G172" s="245">
        <f>SUMIF('창고1(실사표)'!B:B,재고차이!A:A,'창고1(실사표)'!E:E)*E172+SUMIF('창고2(실사표)'!B:B,재고차이!A:A,'창고2(실사표)'!E:E)*E172+SUMIF('믹스(잔량실사표)'!B:B,재고차이!A:A,'믹스(잔량실사표)'!E:E)*E172+SUMIF('창고3(실사표)'!B:B,재고차이!A:A,'창고3(실사표)'!E:E)*E172</f>
        <v/>
      </c>
      <c r="H17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7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72" s="245">
        <f>SUM(F172:I172)</f>
        <v/>
      </c>
      <c r="K172" s="245">
        <f>SUMIF('SAP(B117)'!B:B,재고차이!B:B,'SAP(B117)'!Q:Q)</f>
        <v/>
      </c>
      <c r="L172" s="245">
        <f>SUMIF(주간상차!A:A,재고차이!A:A,주간상차!E:E)</f>
        <v/>
      </c>
      <c r="M172" s="246">
        <f>J172-K172-L172-N172+O172+Q172</f>
        <v/>
      </c>
      <c r="N172" s="274" t="n"/>
      <c r="O172" s="275" t="n"/>
      <c r="P172" s="276" t="n"/>
      <c r="Q172" s="277">
        <f>SUMIF(파손품!D:D,재고차이!B:B,파손품!I:I)+SUMIF(동파파손!D:D,재고차이!B:B,동파파손!I:I)</f>
        <v/>
      </c>
      <c r="R172" s="0">
        <f>M172/E172</f>
        <v/>
      </c>
    </row>
    <row r="173" ht="18.75" customHeight="1" s="237">
      <c r="A173" s="9" t="n">
        <v>8273</v>
      </c>
      <c r="B173" s="9">
        <f>VLOOKUP(A:A,제품등록!A:B,2,0)</f>
        <v/>
      </c>
      <c r="C173" s="29">
        <f>VLOOKUP(B173,제품등록!B:C,2,0)</f>
        <v/>
      </c>
      <c r="D173" s="9" t="n">
        <v>99</v>
      </c>
      <c r="E173" s="9" t="n">
        <v>132</v>
      </c>
      <c r="F173" s="245">
        <f>SUMIF('창고1(실사표)'!B:B,재고차이!A:A,'창고1(실사표)'!F:F)*D173+SUMIF('창고2(실사표)'!B:B,재고차이!A:A,'창고2(실사표)'!F:F)*D173+SUMIF('믹스(잔량실사표)'!B:B,재고차이!A:A,'믹스(잔량실사표)'!F:F)*D173</f>
        <v/>
      </c>
      <c r="G173" s="245">
        <f>SUMIF('창고1(실사표)'!B:B,재고차이!A:A,'창고1(실사표)'!E:E)*E173+SUMIF('창고2(실사표)'!B:B,재고차이!A:A,'창고2(실사표)'!E:E)*E173+SUMIF('믹스(잔량실사표)'!B:B,재고차이!A:A,'믹스(잔량실사표)'!E:E)*E173+SUMIF('창고3(실사표)'!B:B,재고차이!A:A,'창고3(실사표)'!E:E)*E173</f>
        <v/>
      </c>
      <c r="H17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7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73" s="245">
        <f>SUM(F173:I173)</f>
        <v/>
      </c>
      <c r="K173" s="245">
        <f>SUMIF('SAP(B117)'!B:B,재고차이!B:B,'SAP(B117)'!Q:Q)</f>
        <v/>
      </c>
      <c r="L173" s="245">
        <f>SUMIF(주간상차!A:A,재고차이!A:A,주간상차!E:E)</f>
        <v/>
      </c>
      <c r="M173" s="246">
        <f>J173-K173-L173-N173+O173+Q173</f>
        <v/>
      </c>
      <c r="N173" s="274" t="n"/>
      <c r="O173" s="275" t="n"/>
      <c r="P173" s="276" t="n"/>
      <c r="Q173" s="277">
        <f>SUMIF(파손품!D:D,재고차이!B:B,파손품!I:I)+SUMIF(동파파손!D:D,재고차이!B:B,동파파손!I:I)</f>
        <v/>
      </c>
      <c r="R173" s="0">
        <f>M173/E173</f>
        <v/>
      </c>
    </row>
    <row r="174" ht="18.75" customHeight="1" s="237">
      <c r="A174" s="9" t="n">
        <v>8275</v>
      </c>
      <c r="B174" s="9">
        <f>VLOOKUP(A:A,제품등록!A:B,2,0)</f>
        <v/>
      </c>
      <c r="C174" s="29">
        <f>VLOOKUP(B174,제품등록!B:C,2,0)</f>
        <v/>
      </c>
      <c r="D174" s="9" t="n"/>
      <c r="E174" s="9" t="n">
        <v>56</v>
      </c>
      <c r="F174" s="245">
        <f>SUMIF('창고1(실사표)'!B:B,재고차이!A:A,'창고1(실사표)'!F:F)*D174+SUMIF('창고2(실사표)'!B:B,재고차이!A:A,'창고2(실사표)'!F:F)*D174+SUMIF('믹스(잔량실사표)'!B:B,재고차이!A:A,'믹스(잔량실사표)'!F:F)*D174</f>
        <v/>
      </c>
      <c r="G174" s="245">
        <f>SUMIF('창고1(실사표)'!B:B,재고차이!A:A,'창고1(실사표)'!E:E)*E174+SUMIF('창고2(실사표)'!B:B,재고차이!A:A,'창고2(실사표)'!E:E)*E174+SUMIF('믹스(잔량실사표)'!B:B,재고차이!A:A,'믹스(잔량실사표)'!E:E)*E174+SUMIF('창고3(실사표)'!B:B,재고차이!A:A,'창고3(실사표)'!E:E)*E174</f>
        <v/>
      </c>
      <c r="H17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7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74" s="245">
        <f>SUM(F174:I174)</f>
        <v/>
      </c>
      <c r="K174" s="245">
        <f>SUMIF('SAP(B117)'!B:B,재고차이!B:B,'SAP(B117)'!Q:Q)</f>
        <v/>
      </c>
      <c r="L174" s="245">
        <f>SUMIF(주간상차!A:A,재고차이!A:A,주간상차!E:E)</f>
        <v/>
      </c>
      <c r="M174" s="246">
        <f>J174-K174-L174-N174+O174+Q174</f>
        <v/>
      </c>
      <c r="N174" s="274" t="n"/>
      <c r="O174" s="275" t="n"/>
      <c r="P174" s="276" t="n"/>
      <c r="Q174" s="277">
        <f>SUMIF(파손품!D:D,재고차이!B:B,파손품!I:I)+SUMIF(동파파손!D:D,재고차이!B:B,동파파손!I:I)</f>
        <v/>
      </c>
      <c r="R174" s="0">
        <f>M174/E174</f>
        <v/>
      </c>
    </row>
    <row r="175" ht="18.75" customHeight="1" s="237">
      <c r="A175" s="9" t="n">
        <v>8278</v>
      </c>
      <c r="B175" s="9">
        <f>VLOOKUP(A:A,제품등록!A:B,2,0)</f>
        <v/>
      </c>
      <c r="C175" s="29">
        <f>VLOOKUP(B175,제품등록!B:C,2,0)</f>
        <v/>
      </c>
      <c r="D175" s="9" t="n"/>
      <c r="E175" s="9" t="n">
        <v>56</v>
      </c>
      <c r="F175" s="245">
        <f>SUMIF('창고1(실사표)'!B:B,재고차이!A:A,'창고1(실사표)'!F:F)*D175+SUMIF('창고2(실사표)'!B:B,재고차이!A:A,'창고2(실사표)'!F:F)*D175+SUMIF('믹스(잔량실사표)'!B:B,재고차이!A:A,'믹스(잔량실사표)'!F:F)*D175</f>
        <v/>
      </c>
      <c r="G175" s="245">
        <f>SUMIF('창고1(실사표)'!B:B,재고차이!A:A,'창고1(실사표)'!E:E)*E175+SUMIF('창고2(실사표)'!B:B,재고차이!A:A,'창고2(실사표)'!E:E)*E175+SUMIF('믹스(잔량실사표)'!B:B,재고차이!A:A,'믹스(잔량실사표)'!E:E)*E175+SUMIF('창고3(실사표)'!B:B,재고차이!A:A,'창고3(실사표)'!E:E)*E175</f>
        <v/>
      </c>
      <c r="H17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7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75" s="245">
        <f>SUM(F175:I175)</f>
        <v/>
      </c>
      <c r="K175" s="245">
        <f>SUMIF('SAP(B117)'!B:B,재고차이!B:B,'SAP(B117)'!Q:Q)</f>
        <v/>
      </c>
      <c r="L175" s="245">
        <f>SUMIF(주간상차!A:A,재고차이!A:A,주간상차!E:E)</f>
        <v/>
      </c>
      <c r="M175" s="246">
        <f>J175-K175-L175-N175+O175+Q175</f>
        <v/>
      </c>
      <c r="N175" s="274" t="n"/>
      <c r="O175" s="275" t="n"/>
      <c r="P175" s="276" t="n"/>
      <c r="Q175" s="277">
        <f>SUMIF(파손품!D:D,재고차이!B:B,파손품!I:I)+SUMIF(동파파손!D:D,재고차이!B:B,동파파손!I:I)</f>
        <v/>
      </c>
      <c r="R175" s="0">
        <f>M175/E175</f>
        <v/>
      </c>
    </row>
    <row r="176" ht="18.75" customHeight="1" s="237">
      <c r="A176" s="9" t="n">
        <v>8279</v>
      </c>
      <c r="B176" s="9">
        <f>VLOOKUP(A:A,제품등록!A:B,2,0)</f>
        <v/>
      </c>
      <c r="C176" s="29">
        <f>VLOOKUP(B176,제품등록!B:C,2,0)</f>
        <v/>
      </c>
      <c r="D176" s="9" t="n"/>
      <c r="E176" s="9" t="n">
        <v>100</v>
      </c>
      <c r="F176" s="245">
        <f>SUMIF('창고1(실사표)'!B:B,재고차이!A:A,'창고1(실사표)'!F:F)*D176+SUMIF('창고2(실사표)'!B:B,재고차이!A:A,'창고2(실사표)'!F:F)*D176+SUMIF('믹스(잔량실사표)'!B:B,재고차이!A:A,'믹스(잔량실사표)'!F:F)*D176</f>
        <v/>
      </c>
      <c r="G176" s="245">
        <f>SUMIF('창고1(실사표)'!B:B,재고차이!A:A,'창고1(실사표)'!E:E)*E176+SUMIF('창고2(실사표)'!B:B,재고차이!A:A,'창고2(실사표)'!E:E)*E176+SUMIF('믹스(잔량실사표)'!B:B,재고차이!A:A,'믹스(잔량실사표)'!E:E)*E176+SUMIF('창고3(실사표)'!B:B,재고차이!A:A,'창고3(실사표)'!E:E)*E176</f>
        <v/>
      </c>
      <c r="H17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7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76" s="245">
        <f>SUM(F176:I176)</f>
        <v/>
      </c>
      <c r="K176" s="245">
        <f>SUMIF('SAP(B117)'!B:B,재고차이!B:B,'SAP(B117)'!Q:Q)</f>
        <v/>
      </c>
      <c r="L176" s="245">
        <f>SUMIF(주간상차!A:A,재고차이!A:A,주간상차!E:E)</f>
        <v/>
      </c>
      <c r="M176" s="246">
        <f>J176-K176-L176-N176+O176+Q176</f>
        <v/>
      </c>
      <c r="N176" s="274" t="n"/>
      <c r="O176" s="275" t="n"/>
      <c r="P176" s="276" t="n"/>
      <c r="Q176" s="277">
        <f>SUMIF(파손품!D:D,재고차이!B:B,파손품!I:I)+SUMIF(동파파손!D:D,재고차이!B:B,동파파손!I:I)</f>
        <v/>
      </c>
      <c r="R176" s="0">
        <f>M176/E176</f>
        <v/>
      </c>
    </row>
    <row r="177" ht="18.75" customHeight="1" s="237">
      <c r="A177" s="9" t="n">
        <v>8285</v>
      </c>
      <c r="B177" s="9">
        <f>VLOOKUP(A:A,제품등록!A:B,2,0)</f>
        <v/>
      </c>
      <c r="C177" s="29">
        <f>VLOOKUP(B177,제품등록!B:C,2,0)</f>
        <v/>
      </c>
      <c r="D177" s="9" t="n"/>
      <c r="E177" s="9" t="n">
        <v>56</v>
      </c>
      <c r="F177" s="245">
        <f>SUMIF('창고1(실사표)'!B:B,재고차이!A:A,'창고1(실사표)'!F:F)*D177+SUMIF('창고2(실사표)'!B:B,재고차이!A:A,'창고2(실사표)'!F:F)*D177+SUMIF('믹스(잔량실사표)'!B:B,재고차이!A:A,'믹스(잔량실사표)'!F:F)*D177</f>
        <v/>
      </c>
      <c r="G177" s="245">
        <f>SUMIF('창고1(실사표)'!B:B,재고차이!A:A,'창고1(실사표)'!E:E)*E177+SUMIF('창고2(실사표)'!B:B,재고차이!A:A,'창고2(실사표)'!E:E)*E177+SUMIF('믹스(잔량실사표)'!B:B,재고차이!A:A,'믹스(잔량실사표)'!E:E)*E177+SUMIF('창고3(실사표)'!B:B,재고차이!A:A,'창고3(실사표)'!E:E)*E177</f>
        <v/>
      </c>
      <c r="H17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7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77" s="245">
        <f>SUM(F177:I177)</f>
        <v/>
      </c>
      <c r="K177" s="245">
        <f>SUMIF('SAP(B117)'!B:B,재고차이!B:B,'SAP(B117)'!Q:Q)</f>
        <v/>
      </c>
      <c r="L177" s="245">
        <f>SUMIF(주간상차!A:A,재고차이!A:A,주간상차!E:E)</f>
        <v/>
      </c>
      <c r="M177" s="246">
        <f>J177-K177-L177-N177+O177+Q177</f>
        <v/>
      </c>
      <c r="N177" s="274" t="n"/>
      <c r="O177" s="275" t="n"/>
      <c r="P177" s="276" t="n"/>
      <c r="Q177" s="277">
        <f>SUMIF(파손품!D:D,재고차이!B:B,파손품!I:I)+SUMIF(동파파손!D:D,재고차이!B:B,동파파손!I:I)</f>
        <v/>
      </c>
      <c r="R177" s="0">
        <f>M177/E177</f>
        <v/>
      </c>
    </row>
    <row r="178" ht="18.75" customHeight="1" s="237">
      <c r="A178" s="9" t="n">
        <v>8291</v>
      </c>
      <c r="B178" s="9">
        <f>VLOOKUP(A:A,제품등록!A:B,2,0)</f>
        <v/>
      </c>
      <c r="C178" s="29">
        <f>VLOOKUP(B178,제품등록!B:C,2,0)</f>
        <v/>
      </c>
      <c r="D178" s="9" t="n"/>
      <c r="E178" s="9" t="n">
        <v>100</v>
      </c>
      <c r="F178" s="245">
        <f>SUMIF('창고1(실사표)'!B:B,재고차이!A:A,'창고1(실사표)'!F:F)*D178+SUMIF('창고2(실사표)'!B:B,재고차이!A:A,'창고2(실사표)'!F:F)*D178+SUMIF('믹스(잔량실사표)'!B:B,재고차이!A:A,'믹스(잔량실사표)'!F:F)*D178</f>
        <v/>
      </c>
      <c r="G178" s="245">
        <f>SUMIF('창고1(실사표)'!B:B,재고차이!A:A,'창고1(실사표)'!E:E)*E178+SUMIF('창고2(실사표)'!B:B,재고차이!A:A,'창고2(실사표)'!E:E)*E178+SUMIF('믹스(잔량실사표)'!B:B,재고차이!A:A,'믹스(잔량실사표)'!E:E)*E178+SUMIF('창고3(실사표)'!B:B,재고차이!A:A,'창고3(실사표)'!E:E)*E178</f>
        <v/>
      </c>
      <c r="H17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7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78" s="245">
        <f>SUM(F178:I178)</f>
        <v/>
      </c>
      <c r="K178" s="245">
        <f>SUMIF('SAP(B117)'!B:B,재고차이!B:B,'SAP(B117)'!Q:Q)</f>
        <v/>
      </c>
      <c r="L178" s="245">
        <f>SUMIF(주간상차!A:A,재고차이!A:A,주간상차!E:E)</f>
        <v/>
      </c>
      <c r="M178" s="246">
        <f>J178-K178-L178-N178+O178+Q178</f>
        <v/>
      </c>
      <c r="N178" s="274" t="n"/>
      <c r="O178" s="275" t="n"/>
      <c r="P178" s="276" t="n"/>
      <c r="Q178" s="277">
        <f>SUMIF(파손품!D:D,재고차이!B:B,파손품!I:I)+SUMIF(동파파손!D:D,재고차이!B:B,동파파손!I:I)</f>
        <v/>
      </c>
      <c r="R178" s="0">
        <f>M178/E178</f>
        <v/>
      </c>
    </row>
    <row r="179" ht="18.75" customHeight="1" s="237">
      <c r="A179" s="9" t="n">
        <v>8292</v>
      </c>
      <c r="B179" s="9">
        <f>VLOOKUP(A:A,제품등록!A:B,2,0)</f>
        <v/>
      </c>
      <c r="C179" s="29">
        <f>VLOOKUP(B179,제품등록!B:C,2,0)</f>
        <v/>
      </c>
      <c r="D179" s="9" t="n"/>
      <c r="E179" s="9" t="n">
        <v>100</v>
      </c>
      <c r="F179" s="245">
        <f>SUMIF('창고1(실사표)'!B:B,재고차이!A:A,'창고1(실사표)'!F:F)*D179+SUMIF('창고2(실사표)'!B:B,재고차이!A:A,'창고2(실사표)'!F:F)*D179+SUMIF('믹스(잔량실사표)'!B:B,재고차이!A:A,'믹스(잔량실사표)'!F:F)*D179</f>
        <v/>
      </c>
      <c r="G179" s="245">
        <f>SUMIF('창고1(실사표)'!B:B,재고차이!A:A,'창고1(실사표)'!E:E)*E179+SUMIF('창고2(실사표)'!B:B,재고차이!A:A,'창고2(실사표)'!E:E)*E179+SUMIF('믹스(잔량실사표)'!B:B,재고차이!A:A,'믹스(잔량실사표)'!E:E)*E179+SUMIF('창고3(실사표)'!B:B,재고차이!A:A,'창고3(실사표)'!E:E)*E179</f>
        <v/>
      </c>
      <c r="H17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7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79" s="245">
        <f>SUM(F179:I179)</f>
        <v/>
      </c>
      <c r="K179" s="245">
        <f>SUMIF('SAP(B117)'!B:B,재고차이!B:B,'SAP(B117)'!Q:Q)</f>
        <v/>
      </c>
      <c r="L179" s="245">
        <f>SUMIF(주간상차!A:A,재고차이!A:A,주간상차!E:E)</f>
        <v/>
      </c>
      <c r="M179" s="246">
        <f>J179-K179-L179-N179+O179+Q179</f>
        <v/>
      </c>
      <c r="N179" s="274" t="n"/>
      <c r="O179" s="275" t="n"/>
      <c r="P179" s="276" t="n"/>
      <c r="Q179" s="277">
        <f>SUMIF(파손품!D:D,재고차이!B:B,파손품!I:I)+SUMIF(동파파손!D:D,재고차이!B:B,동파파손!I:I)</f>
        <v/>
      </c>
      <c r="R179" s="0">
        <f>M179/E179</f>
        <v/>
      </c>
    </row>
    <row r="180" ht="18.75" customHeight="1" s="237">
      <c r="A180" s="9" t="n">
        <v>8293</v>
      </c>
      <c r="B180" s="9">
        <f>VLOOKUP(A:A,제품등록!A:B,2,0)</f>
        <v/>
      </c>
      <c r="C180" s="29">
        <f>VLOOKUP(B180,제품등록!B:C,2,0)</f>
        <v/>
      </c>
      <c r="D180" s="9" t="n"/>
      <c r="E180" s="9" t="n">
        <v>100</v>
      </c>
      <c r="F180" s="245">
        <f>SUMIF('창고1(실사표)'!B:B,재고차이!A:A,'창고1(실사표)'!F:F)*D180+SUMIF('창고2(실사표)'!B:B,재고차이!A:A,'창고2(실사표)'!F:F)*D180+SUMIF('믹스(잔량실사표)'!B:B,재고차이!A:A,'믹스(잔량실사표)'!F:F)*D180</f>
        <v/>
      </c>
      <c r="G180" s="245">
        <f>SUMIF('창고1(실사표)'!B:B,재고차이!A:A,'창고1(실사표)'!E:E)*E180+SUMIF('창고2(실사표)'!B:B,재고차이!A:A,'창고2(실사표)'!E:E)*E180+SUMIF('믹스(잔량실사표)'!B:B,재고차이!A:A,'믹스(잔량실사표)'!E:E)*E180+SUMIF('창고3(실사표)'!B:B,재고차이!A:A,'창고3(실사표)'!E:E)*E180</f>
        <v/>
      </c>
      <c r="H18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8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80" s="245">
        <f>SUM(F180:I180)</f>
        <v/>
      </c>
      <c r="K180" s="245">
        <f>SUMIF('SAP(B117)'!B:B,재고차이!B:B,'SAP(B117)'!Q:Q)</f>
        <v/>
      </c>
      <c r="L180" s="245">
        <f>SUMIF(주간상차!A:A,재고차이!A:A,주간상차!E:E)</f>
        <v/>
      </c>
      <c r="M180" s="246">
        <f>J180-K180-L180-N180+O180+Q180</f>
        <v/>
      </c>
      <c r="N180" s="274" t="n"/>
      <c r="O180" s="275" t="n"/>
      <c r="P180" s="276" t="n"/>
      <c r="Q180" s="277">
        <f>SUMIF(파손품!D:D,재고차이!B:B,파손품!I:I)+SUMIF(동파파손!D:D,재고차이!B:B,동파파손!I:I)</f>
        <v/>
      </c>
      <c r="R180" s="0">
        <f>M180/E180</f>
        <v/>
      </c>
    </row>
    <row r="181" ht="18.75" customHeight="1" s="237">
      <c r="A181" s="9" t="n">
        <v>8429</v>
      </c>
      <c r="B181" s="9">
        <f>VLOOKUP(A:A,제품등록!A:B,2,0)</f>
        <v/>
      </c>
      <c r="C181" s="29">
        <f>VLOOKUP(B181,제품등록!B:C,2,0)</f>
        <v/>
      </c>
      <c r="D181" s="9" t="n">
        <v>32</v>
      </c>
      <c r="E181" s="9" t="n">
        <v>40</v>
      </c>
      <c r="F181" s="245">
        <f>SUMIF('창고1(실사표)'!B:B,재고차이!A:A,'창고1(실사표)'!F:F)*D181+SUMIF('창고2(실사표)'!B:B,재고차이!A:A,'창고2(실사표)'!F:F)*D181+SUMIF('믹스(잔량실사표)'!B:B,재고차이!A:A,'믹스(잔량실사표)'!F:F)*D181</f>
        <v/>
      </c>
      <c r="G181" s="245">
        <f>SUMIF('창고1(실사표)'!B:B,재고차이!A:A,'창고1(실사표)'!E:E)*E181+SUMIF('창고2(실사표)'!B:B,재고차이!A:A,'창고2(실사표)'!E:E)*E181+SUMIF('믹스(잔량실사표)'!B:B,재고차이!A:A,'믹스(잔량실사표)'!E:E)*E181+SUMIF('창고3(실사표)'!B:B,재고차이!A:A,'창고3(실사표)'!E:E)*E181</f>
        <v/>
      </c>
      <c r="H18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8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81" s="245">
        <f>SUM(F181:I181)</f>
        <v/>
      </c>
      <c r="K181" s="245">
        <f>SUMIF('SAP(B117)'!B:B,재고차이!B:B,'SAP(B117)'!Q:Q)</f>
        <v/>
      </c>
      <c r="L181" s="245">
        <f>SUMIF(주간상차!A:A,재고차이!A:A,주간상차!E:E)</f>
        <v/>
      </c>
      <c r="M181" s="246">
        <f>J181-K181-L181-N181+O181+Q181</f>
        <v/>
      </c>
      <c r="N181" s="274" t="n"/>
      <c r="O181" s="278" t="n"/>
      <c r="P181" s="276" t="n"/>
      <c r="Q181" s="277">
        <f>SUMIF(파손품!D:D,재고차이!B:B,파손품!I:I)+SUMIF(동파파손!D:D,재고차이!B:B,동파파손!I:I)</f>
        <v/>
      </c>
      <c r="R181" s="0">
        <f>M181/E181</f>
        <v/>
      </c>
    </row>
    <row r="182" ht="18.75" customHeight="1" s="237">
      <c r="A182" s="9" t="n">
        <v>8453</v>
      </c>
      <c r="B182" s="9">
        <f>VLOOKUP(A:A,제품등록!A:B,2,0)</f>
        <v/>
      </c>
      <c r="C182" s="29">
        <f>VLOOKUP(B182,제품등록!B:C,2,0)</f>
        <v/>
      </c>
      <c r="D182" s="9" t="n"/>
      <c r="E182" s="9" t="n">
        <v>100</v>
      </c>
      <c r="F182" s="245">
        <f>SUMIF('창고1(실사표)'!B:B,재고차이!A:A,'창고1(실사표)'!F:F)*D182+SUMIF('창고2(실사표)'!B:B,재고차이!A:A,'창고2(실사표)'!F:F)*D182+SUMIF('믹스(잔량실사표)'!B:B,재고차이!A:A,'믹스(잔량실사표)'!F:F)*D182</f>
        <v/>
      </c>
      <c r="G182" s="245">
        <f>SUMIF('창고1(실사표)'!B:B,재고차이!A:A,'창고1(실사표)'!E:E)*E182+SUMIF('창고2(실사표)'!B:B,재고차이!A:A,'창고2(실사표)'!E:E)*E182+SUMIF('믹스(잔량실사표)'!B:B,재고차이!A:A,'믹스(잔량실사표)'!E:E)*E182+SUMIF('창고3(실사표)'!B:B,재고차이!A:A,'창고3(실사표)'!E:E)*E182</f>
        <v/>
      </c>
      <c r="H18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8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82" s="245">
        <f>SUM(F182:I182)</f>
        <v/>
      </c>
      <c r="K182" s="245">
        <f>SUMIF('SAP(B117)'!B:B,재고차이!B:B,'SAP(B117)'!Q:Q)</f>
        <v/>
      </c>
      <c r="L182" s="245">
        <f>SUMIF(주간상차!A:A,재고차이!A:A,주간상차!E:E)</f>
        <v/>
      </c>
      <c r="M182" s="246">
        <f>J182-K182-L182-N182+O182+Q182</f>
        <v/>
      </c>
      <c r="N182" s="274" t="n"/>
      <c r="O182" s="275" t="n"/>
      <c r="P182" s="276" t="n"/>
      <c r="Q182" s="277">
        <f>SUMIF(파손품!D:D,재고차이!B:B,파손품!I:I)+SUMIF(동파파손!D:D,재고차이!B:B,동파파손!I:I)</f>
        <v/>
      </c>
      <c r="R182" s="0">
        <f>M182/E182</f>
        <v/>
      </c>
    </row>
    <row r="183" ht="18.75" customHeight="1" s="237">
      <c r="A183" s="9" t="n">
        <v>8521</v>
      </c>
      <c r="B183" s="9">
        <f>VLOOKUP(A:A,제품등록!A:B,2,0)</f>
        <v/>
      </c>
      <c r="C183" s="29">
        <f>VLOOKUP(B183,제품등록!B:C,2,0)</f>
        <v/>
      </c>
      <c r="D183" s="9" t="n">
        <v>99</v>
      </c>
      <c r="E183" s="9" t="n">
        <v>132</v>
      </c>
      <c r="F183" s="245">
        <f>SUMIF('창고1(실사표)'!B:B,재고차이!A:A,'창고1(실사표)'!F:F)*D183+SUMIF('창고2(실사표)'!B:B,재고차이!A:A,'창고2(실사표)'!F:F)*D183+SUMIF('믹스(잔량실사표)'!B:B,재고차이!A:A,'믹스(잔량실사표)'!F:F)*D183</f>
        <v/>
      </c>
      <c r="G183" s="245">
        <f>SUMIF('창고1(실사표)'!B:B,재고차이!A:A,'창고1(실사표)'!E:E)*E183+SUMIF('창고2(실사표)'!B:B,재고차이!A:A,'창고2(실사표)'!E:E)*E183+SUMIF('믹스(잔량실사표)'!B:B,재고차이!A:A,'믹스(잔량실사표)'!E:E)*E183+SUMIF('창고3(실사표)'!B:B,재고차이!A:A,'창고3(실사표)'!E:E)*E183</f>
        <v/>
      </c>
      <c r="H18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8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83" s="245">
        <f>SUM(F183:I183)</f>
        <v/>
      </c>
      <c r="K183" s="245">
        <f>SUMIF('SAP(B117)'!B:B,재고차이!B:B,'SAP(B117)'!Q:Q)</f>
        <v/>
      </c>
      <c r="L183" s="245">
        <f>SUMIF(주간상차!A:A,재고차이!A:A,주간상차!E:E)</f>
        <v/>
      </c>
      <c r="M183" s="246">
        <f>J183-K183-L183-N183+O183+Q183</f>
        <v/>
      </c>
      <c r="N183" s="274" t="n"/>
      <c r="O183" s="275" t="n"/>
      <c r="P183" s="276" t="n"/>
      <c r="Q183" s="277">
        <f>SUMIF(파손품!D:D,재고차이!B:B,파손품!I:I)+SUMIF(동파파손!D:D,재고차이!B:B,동파파손!I:I)</f>
        <v/>
      </c>
      <c r="R183" s="0">
        <f>M183/E183</f>
        <v/>
      </c>
    </row>
    <row r="184" ht="18.75" customHeight="1" s="237">
      <c r="A184" s="9" t="n">
        <v>8541</v>
      </c>
      <c r="B184" s="9">
        <f>VLOOKUP(A:A,제품등록!A:B,2,0)</f>
        <v/>
      </c>
      <c r="C184" s="29">
        <f>VLOOKUP(B184,제품등록!B:C,2,0)</f>
        <v/>
      </c>
      <c r="D184" s="9" t="n">
        <v>32</v>
      </c>
      <c r="E184" s="9" t="n">
        <v>44</v>
      </c>
      <c r="F184" s="245">
        <f>SUMIF('창고1(실사표)'!B:B,재고차이!A:A,'창고1(실사표)'!F:F)*D184+SUMIF('창고2(실사표)'!B:B,재고차이!A:A,'창고2(실사표)'!F:F)*D184+SUMIF('믹스(잔량실사표)'!B:B,재고차이!A:A,'믹스(잔량실사표)'!F:F)*D184</f>
        <v/>
      </c>
      <c r="G184" s="245">
        <f>SUMIF('창고1(실사표)'!B:B,재고차이!A:A,'창고1(실사표)'!E:E)*E184+SUMIF('창고2(실사표)'!B:B,재고차이!A:A,'창고2(실사표)'!E:E)*E184+SUMIF('믹스(잔량실사표)'!B:B,재고차이!A:A,'믹스(잔량실사표)'!E:E)*E184+SUMIF('창고3(실사표)'!B:B,재고차이!A:A,'창고3(실사표)'!E:E)*E184</f>
        <v/>
      </c>
      <c r="H18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8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84" s="245">
        <f>SUM(F184:I184)</f>
        <v/>
      </c>
      <c r="K184" s="245">
        <f>SUMIF('SAP(B117)'!B:B,재고차이!B:B,'SAP(B117)'!Q:Q)</f>
        <v/>
      </c>
      <c r="L184" s="245">
        <f>SUMIF(주간상차!A:A,재고차이!A:A,주간상차!E:E)</f>
        <v/>
      </c>
      <c r="M184" s="246">
        <f>J184-K184-L184-N184+O184+Q184</f>
        <v/>
      </c>
      <c r="N184" s="274" t="n"/>
      <c r="O184" s="216" t="n"/>
      <c r="P184" s="276" t="n"/>
      <c r="Q184" s="277">
        <f>SUMIF(파손품!D:D,재고차이!B:B,파손품!I:I)+SUMIF(동파파손!D:D,재고차이!B:B,동파파손!I:I)</f>
        <v/>
      </c>
      <c r="R184" s="0">
        <f>M184/E184</f>
        <v/>
      </c>
    </row>
    <row r="185" ht="18.75" customHeight="1" s="237">
      <c r="A185" s="9" t="n">
        <v>8560</v>
      </c>
      <c r="B185" s="9">
        <f>VLOOKUP(A:A,제품등록!A:B,2,0)</f>
        <v/>
      </c>
      <c r="C185" s="29">
        <f>VLOOKUP(B185,제품등록!B:C,2,0)</f>
        <v/>
      </c>
      <c r="D185" s="9" t="n">
        <v>99</v>
      </c>
      <c r="E185" s="9" t="n">
        <v>132</v>
      </c>
      <c r="F185" s="245">
        <f>SUMIF('창고1(실사표)'!B:B,재고차이!A:A,'창고1(실사표)'!F:F)*D185+SUMIF('창고2(실사표)'!B:B,재고차이!A:A,'창고2(실사표)'!F:F)*D185+SUMIF('믹스(잔량실사표)'!B:B,재고차이!A:A,'믹스(잔량실사표)'!F:F)*D185</f>
        <v/>
      </c>
      <c r="G185" s="245">
        <f>SUMIF('창고1(실사표)'!B:B,재고차이!A:A,'창고1(실사표)'!E:E)*E185+SUMIF('창고2(실사표)'!B:B,재고차이!A:A,'창고2(실사표)'!E:E)*E185+SUMIF('믹스(잔량실사표)'!B:B,재고차이!A:A,'믹스(잔량실사표)'!E:E)*E185+SUMIF('창고3(실사표)'!B:B,재고차이!A:A,'창고3(실사표)'!E:E)*E185</f>
        <v/>
      </c>
      <c r="H18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8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85" s="245">
        <f>SUM(F185:I185)</f>
        <v/>
      </c>
      <c r="K185" s="245">
        <f>SUMIF('SAP(B117)'!B:B,재고차이!B:B,'SAP(B117)'!Q:Q)</f>
        <v/>
      </c>
      <c r="L185" s="245">
        <f>SUMIF(주간상차!A:A,재고차이!A:A,주간상차!E:E)</f>
        <v/>
      </c>
      <c r="M185" s="246">
        <f>J185-K185-L185-N185+O185+Q185</f>
        <v/>
      </c>
      <c r="N185" s="274" t="n"/>
      <c r="O185" s="278" t="n"/>
      <c r="P185" s="276" t="n"/>
      <c r="Q185" s="277">
        <f>SUMIF(파손품!D:D,재고차이!B:B,파손품!I:I)+SUMIF(동파파손!D:D,재고차이!B:B,동파파손!I:I)</f>
        <v/>
      </c>
      <c r="R185" s="0">
        <f>M185/E185</f>
        <v/>
      </c>
    </row>
    <row r="186" ht="18.75" customHeight="1" s="237">
      <c r="A186" s="9" t="n">
        <v>8561</v>
      </c>
      <c r="B186" s="9">
        <f>VLOOKUP(A:A,제품등록!A:B,2,0)</f>
        <v/>
      </c>
      <c r="C186" s="29">
        <f>VLOOKUP(B186,제품등록!B:C,2,0)</f>
        <v/>
      </c>
      <c r="D186" s="9" t="n">
        <v>48</v>
      </c>
      <c r="E186" s="9" t="n">
        <v>70</v>
      </c>
      <c r="F186" s="245">
        <f>SUMIF('창고1(실사표)'!B:B,재고차이!A:A,'창고1(실사표)'!F:F)*D186+SUMIF('창고2(실사표)'!B:B,재고차이!A:A,'창고2(실사표)'!F:F)*D186+SUMIF('믹스(잔량실사표)'!B:B,재고차이!A:A,'믹스(잔량실사표)'!F:F)*D186</f>
        <v/>
      </c>
      <c r="G186" s="245">
        <f>SUMIF('창고1(실사표)'!B:B,재고차이!A:A,'창고1(실사표)'!E:E)*E186+SUMIF('창고2(실사표)'!B:B,재고차이!A:A,'창고2(실사표)'!E:E)*E186+SUMIF('믹스(잔량실사표)'!B:B,재고차이!A:A,'믹스(잔량실사표)'!E:E)*E186+SUMIF('창고3(실사표)'!B:B,재고차이!A:A,'창고3(실사표)'!E:E)*E186</f>
        <v/>
      </c>
      <c r="H18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8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86" s="245">
        <f>SUM(F186:I186)</f>
        <v/>
      </c>
      <c r="K186" s="245">
        <f>SUMIF('SAP(B117)'!B:B,재고차이!B:B,'SAP(B117)'!Q:Q)</f>
        <v/>
      </c>
      <c r="L186" s="245">
        <f>SUMIF(주간상차!A:A,재고차이!A:A,주간상차!E:E)</f>
        <v/>
      </c>
      <c r="M186" s="246">
        <f>J186-K186-L186-N186+O186+Q186</f>
        <v/>
      </c>
      <c r="N186" s="274" t="n"/>
      <c r="O186" s="278" t="n"/>
      <c r="P186" s="276" t="n"/>
      <c r="Q186" s="277">
        <f>SUMIF(파손품!D:D,재고차이!B:B,파손품!I:I)+SUMIF(동파파손!D:D,재고차이!B:B,동파파손!I:I)</f>
        <v/>
      </c>
      <c r="R186" s="0">
        <f>M186/E186</f>
        <v/>
      </c>
    </row>
    <row r="187" ht="18.75" customHeight="1" s="237">
      <c r="A187" s="9" t="n">
        <v>8571</v>
      </c>
      <c r="B187" s="9">
        <f>VLOOKUP(A:A,제품등록!A:B,2,0)</f>
        <v/>
      </c>
      <c r="C187" s="29">
        <f>VLOOKUP(B187,제품등록!B:C,2,0)</f>
        <v/>
      </c>
      <c r="D187" s="9" t="n"/>
      <c r="E187" s="9" t="n">
        <v>80</v>
      </c>
      <c r="F187" s="245">
        <f>SUMIF('창고1(실사표)'!B:B,재고차이!A:A,'창고1(실사표)'!F:F)*D187+SUMIF('창고2(실사표)'!B:B,재고차이!A:A,'창고2(실사표)'!F:F)*D187+SUMIF('믹스(잔량실사표)'!B:B,재고차이!A:A,'믹스(잔량실사표)'!F:F)*D187</f>
        <v/>
      </c>
      <c r="G187" s="245">
        <f>SUMIF('창고1(실사표)'!B:B,재고차이!A:A,'창고1(실사표)'!E:E)*E187+SUMIF('창고2(실사표)'!B:B,재고차이!A:A,'창고2(실사표)'!E:E)*E187+SUMIF('믹스(잔량실사표)'!B:B,재고차이!A:A,'믹스(잔량실사표)'!E:E)*E187+SUMIF('창고3(실사표)'!B:B,재고차이!A:A,'창고3(실사표)'!E:E)*E187</f>
        <v/>
      </c>
      <c r="H18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8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87" s="245">
        <f>SUM(F187:I187)</f>
        <v/>
      </c>
      <c r="K187" s="245">
        <f>SUMIF('SAP(B117)'!B:B,재고차이!B:B,'SAP(B117)'!Q:Q)</f>
        <v/>
      </c>
      <c r="L187" s="245">
        <f>SUMIF(주간상차!A:A,재고차이!A:A,주간상차!E:E)</f>
        <v/>
      </c>
      <c r="M187" s="246">
        <f>J187-K187-L187-N187+O187+Q187</f>
        <v/>
      </c>
      <c r="N187" s="274" t="n"/>
      <c r="O187" s="275" t="n"/>
      <c r="P187" s="276" t="n"/>
      <c r="Q187" s="277">
        <f>SUMIF(파손품!D:D,재고차이!B:B,파손품!I:I)+SUMIF(동파파손!D:D,재고차이!B:B,동파파손!I:I)</f>
        <v/>
      </c>
      <c r="R187" s="0">
        <f>M187/E187</f>
        <v/>
      </c>
    </row>
    <row r="188" ht="18.75" customHeight="1" s="237">
      <c r="A188" s="9" t="n">
        <v>8575</v>
      </c>
      <c r="B188" s="9">
        <f>VLOOKUP(A:A,제품등록!A:B,2,0)</f>
        <v/>
      </c>
      <c r="C188" s="29">
        <f>VLOOKUP(B188,제품등록!B:C,2,0)</f>
        <v/>
      </c>
      <c r="D188" s="9" t="n"/>
      <c r="E188" s="9" t="n">
        <v>64</v>
      </c>
      <c r="F188" s="245">
        <f>SUMIF('창고1(실사표)'!B:B,재고차이!A:A,'창고1(실사표)'!F:F)*D188+SUMIF('창고2(실사표)'!B:B,재고차이!A:A,'창고2(실사표)'!F:F)*D188+SUMIF('믹스(잔량실사표)'!B:B,재고차이!A:A,'믹스(잔량실사표)'!F:F)*D188</f>
        <v/>
      </c>
      <c r="G188" s="245">
        <f>SUMIF('창고1(실사표)'!B:B,재고차이!A:A,'창고1(실사표)'!E:E)*E188+SUMIF('창고2(실사표)'!B:B,재고차이!A:A,'창고2(실사표)'!E:E)*E188+SUMIF('믹스(잔량실사표)'!B:B,재고차이!A:A,'믹스(잔량실사표)'!E:E)*E188+SUMIF('창고3(실사표)'!B:B,재고차이!A:A,'창고3(실사표)'!E:E)*E188</f>
        <v/>
      </c>
      <c r="H18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8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88" s="245">
        <f>SUM(F188:I188)</f>
        <v/>
      </c>
      <c r="K188" s="245">
        <f>SUMIF('SAP(B117)'!B:B,재고차이!B:B,'SAP(B117)'!Q:Q)</f>
        <v/>
      </c>
      <c r="L188" s="245">
        <f>SUMIF(주간상차!A:A,재고차이!A:A,주간상차!E:E)</f>
        <v/>
      </c>
      <c r="M188" s="246">
        <f>J188-K188-L188-N188+O188+Q188</f>
        <v/>
      </c>
      <c r="N188" s="274" t="n"/>
      <c r="O188" s="275" t="n"/>
      <c r="P188" s="276" t="n"/>
      <c r="Q188" s="277">
        <f>SUMIF(파손품!D:D,재고차이!B:B,파손품!I:I)+SUMIF(동파파손!D:D,재고차이!B:B,동파파손!I:I)</f>
        <v/>
      </c>
      <c r="R188" s="0">
        <f>M188/E188</f>
        <v/>
      </c>
    </row>
    <row r="189" ht="18.75" customHeight="1" s="237">
      <c r="A189" s="9" t="n">
        <v>8576</v>
      </c>
      <c r="B189" s="9">
        <f>VLOOKUP(A:A,제품등록!A:B,2,0)</f>
        <v/>
      </c>
      <c r="C189" s="29">
        <f>VLOOKUP(B189,제품등록!B:C,2,0)</f>
        <v/>
      </c>
      <c r="D189" s="9" t="n"/>
      <c r="E189" s="9" t="n">
        <v>44</v>
      </c>
      <c r="F189" s="245">
        <f>SUMIF('창고1(실사표)'!B:B,재고차이!A:A,'창고1(실사표)'!F:F)*D189+SUMIF('창고2(실사표)'!B:B,재고차이!A:A,'창고2(실사표)'!F:F)*D189+SUMIF('믹스(잔량실사표)'!B:B,재고차이!A:A,'믹스(잔량실사표)'!F:F)*D189</f>
        <v/>
      </c>
      <c r="G189" s="245">
        <f>SUMIF('창고1(실사표)'!B:B,재고차이!A:A,'창고1(실사표)'!E:E)*E189+SUMIF('창고2(실사표)'!B:B,재고차이!A:A,'창고2(실사표)'!E:E)*E189+SUMIF('믹스(잔량실사표)'!B:B,재고차이!A:A,'믹스(잔량실사표)'!E:E)*E189+SUMIF('창고3(실사표)'!B:B,재고차이!A:A,'창고3(실사표)'!E:E)*E189</f>
        <v/>
      </c>
      <c r="H18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8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89" s="245">
        <f>SUM(F189:I189)</f>
        <v/>
      </c>
      <c r="K189" s="245">
        <f>SUMIF('SAP(B117)'!B:B,재고차이!B:B,'SAP(B117)'!Q:Q)</f>
        <v/>
      </c>
      <c r="L189" s="245">
        <f>SUMIF(주간상차!A:A,재고차이!A:A,주간상차!E:E)</f>
        <v/>
      </c>
      <c r="M189" s="246">
        <f>J189-K189-L189-N189+O189+Q189</f>
        <v/>
      </c>
      <c r="N189" s="274" t="n"/>
      <c r="O189" s="275" t="n"/>
      <c r="P189" s="276" t="n"/>
      <c r="Q189" s="277">
        <f>SUMIF(파손품!D:D,재고차이!B:B,파손품!I:I)+SUMIF(동파파손!D:D,재고차이!B:B,동파파손!I:I)</f>
        <v/>
      </c>
      <c r="R189" s="0">
        <f>M189/E189</f>
        <v/>
      </c>
    </row>
    <row r="190" ht="18.75" customHeight="1" s="237">
      <c r="A190" s="9" t="n">
        <v>8584</v>
      </c>
      <c r="B190" s="9">
        <f>VLOOKUP(A:A,제품등록!A:B,2,0)</f>
        <v/>
      </c>
      <c r="C190" s="29">
        <f>VLOOKUP(B190,제품등록!B:C,2,0)</f>
        <v/>
      </c>
      <c r="D190" s="9" t="n">
        <v>48</v>
      </c>
      <c r="E190" s="9" t="n">
        <v>60</v>
      </c>
      <c r="F190" s="245">
        <f>SUMIF('창고1(실사표)'!B:B,재고차이!A:A,'창고1(실사표)'!F:F)*D190+SUMIF('창고2(실사표)'!B:B,재고차이!A:A,'창고2(실사표)'!F:F)*D190+SUMIF('믹스(잔량실사표)'!B:B,재고차이!A:A,'믹스(잔량실사표)'!F:F)*D190</f>
        <v/>
      </c>
      <c r="G190" s="245">
        <f>SUMIF('창고1(실사표)'!B:B,재고차이!A:A,'창고1(실사표)'!E:E)*E190+SUMIF('창고2(실사표)'!B:B,재고차이!A:A,'창고2(실사표)'!E:E)*E190+SUMIF('믹스(잔량실사표)'!B:B,재고차이!A:A,'믹스(잔량실사표)'!E:E)*E190+SUMIF('창고3(실사표)'!B:B,재고차이!A:A,'창고3(실사표)'!E:E)*E190</f>
        <v/>
      </c>
      <c r="H19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9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90" s="245">
        <f>SUM(F190:I190)</f>
        <v/>
      </c>
      <c r="K190" s="245">
        <f>SUMIF('SAP(B117)'!B:B,재고차이!B:B,'SAP(B117)'!Q:Q)</f>
        <v/>
      </c>
      <c r="L190" s="245">
        <f>SUMIF(주간상차!A:A,재고차이!A:A,주간상차!E:E)</f>
        <v/>
      </c>
      <c r="M190" s="246">
        <f>J190-K190-L190-N190+O190+Q190</f>
        <v/>
      </c>
      <c r="N190" s="274" t="n"/>
      <c r="O190" s="275" t="n"/>
      <c r="P190" s="276" t="n"/>
      <c r="Q190" s="277">
        <f>SUMIF(파손품!D:D,재고차이!B:B,파손품!I:I)+SUMIF(동파파손!D:D,재고차이!B:B,동파파손!I:I)</f>
        <v/>
      </c>
      <c r="R190" s="0">
        <f>M190/E190</f>
        <v/>
      </c>
    </row>
    <row r="191" ht="18.75" customHeight="1" s="237">
      <c r="A191" s="9" t="n">
        <v>8588</v>
      </c>
      <c r="B191" s="9">
        <f>VLOOKUP(A:A,제품등록!A:B,2,0)</f>
        <v/>
      </c>
      <c r="C191" s="29">
        <f>VLOOKUP(B191,제품등록!B:C,2,0)</f>
        <v/>
      </c>
      <c r="D191" s="9" t="n">
        <v>48</v>
      </c>
      <c r="E191" s="9" t="n">
        <v>70</v>
      </c>
      <c r="F191" s="245">
        <f>SUMIF('창고1(실사표)'!B:B,재고차이!A:A,'창고1(실사표)'!F:F)*D191+SUMIF('창고2(실사표)'!B:B,재고차이!A:A,'창고2(실사표)'!F:F)*D191+SUMIF('믹스(잔량실사표)'!B:B,재고차이!A:A,'믹스(잔량실사표)'!F:F)*D191</f>
        <v/>
      </c>
      <c r="G191" s="245">
        <f>SUMIF('창고1(실사표)'!B:B,재고차이!A:A,'창고1(실사표)'!E:E)*E191+SUMIF('창고2(실사표)'!B:B,재고차이!A:A,'창고2(실사표)'!E:E)*E191+SUMIF('믹스(잔량실사표)'!B:B,재고차이!A:A,'믹스(잔량실사표)'!E:E)*E191+SUMIF('창고3(실사표)'!B:B,재고차이!A:A,'창고3(실사표)'!E:E)*E191</f>
        <v/>
      </c>
      <c r="H19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9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91" s="245">
        <f>SUM(F191:I191)</f>
        <v/>
      </c>
      <c r="K191" s="245">
        <f>SUMIF('SAP(B117)'!B:B,재고차이!B:B,'SAP(B117)'!Q:Q)</f>
        <v/>
      </c>
      <c r="L191" s="245">
        <f>SUMIF(주간상차!A:A,재고차이!A:A,주간상차!E:E)</f>
        <v/>
      </c>
      <c r="M191" s="246">
        <f>J191-K191-L191-N191+O191+Q191</f>
        <v/>
      </c>
      <c r="N191" s="274" t="n"/>
      <c r="O191" s="278" t="n"/>
      <c r="P191" s="276" t="n"/>
      <c r="Q191" s="277">
        <f>SUMIF(파손품!D:D,재고차이!B:B,파손품!I:I)+SUMIF(동파파손!D:D,재고차이!B:B,동파파손!I:I)</f>
        <v/>
      </c>
      <c r="R191" s="0">
        <f>M191/E191</f>
        <v/>
      </c>
    </row>
    <row r="192" ht="18.75" customHeight="1" s="237">
      <c r="A192" s="9" t="n">
        <v>8590</v>
      </c>
      <c r="B192" s="9">
        <f>VLOOKUP(A:A,제품등록!A:B,2,0)</f>
        <v/>
      </c>
      <c r="C192" s="29">
        <f>VLOOKUP(B192,제품등록!B:C,2,0)</f>
        <v/>
      </c>
      <c r="D192" s="9" t="n">
        <v>48</v>
      </c>
      <c r="E192" s="9" t="n">
        <v>70</v>
      </c>
      <c r="F192" s="245">
        <f>SUMIF('창고1(실사표)'!B:B,재고차이!A:A,'창고1(실사표)'!F:F)*D192+SUMIF('창고2(실사표)'!B:B,재고차이!A:A,'창고2(실사표)'!F:F)*D192+SUMIF('믹스(잔량실사표)'!B:B,재고차이!A:A,'믹스(잔량실사표)'!F:F)*D192</f>
        <v/>
      </c>
      <c r="G192" s="245">
        <f>SUMIF('창고1(실사표)'!B:B,재고차이!A:A,'창고1(실사표)'!E:E)*E192+SUMIF('창고2(실사표)'!B:B,재고차이!A:A,'창고2(실사표)'!E:E)*E192+SUMIF('믹스(잔량실사표)'!B:B,재고차이!A:A,'믹스(잔량실사표)'!E:E)*E192+SUMIF('창고3(실사표)'!B:B,재고차이!A:A,'창고3(실사표)'!E:E)*E192</f>
        <v/>
      </c>
      <c r="H19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9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92" s="245">
        <f>SUM(F192:I192)</f>
        <v/>
      </c>
      <c r="K192" s="245">
        <f>SUMIF('SAP(B117)'!B:B,재고차이!B:B,'SAP(B117)'!Q:Q)</f>
        <v/>
      </c>
      <c r="L192" s="245">
        <f>SUMIF(주간상차!A:A,재고차이!A:A,주간상차!E:E)</f>
        <v/>
      </c>
      <c r="M192" s="246">
        <f>J192-K192-L192-N192+O192+Q192</f>
        <v/>
      </c>
      <c r="N192" s="274" t="n"/>
      <c r="O192" s="275" t="n"/>
      <c r="P192" s="276" t="n"/>
      <c r="Q192" s="277">
        <f>SUMIF(파손품!D:D,재고차이!B:B,파손품!I:I)+SUMIF(동파파손!D:D,재고차이!B:B,동파파손!I:I)</f>
        <v/>
      </c>
      <c r="R192" s="0">
        <f>M192/E192</f>
        <v/>
      </c>
    </row>
    <row r="193" ht="18" customHeight="1" s="237">
      <c r="A193" s="9" t="n">
        <v>8811</v>
      </c>
      <c r="B193" s="9">
        <f>VLOOKUP(A:A,제품등록!A:B,2,0)</f>
        <v/>
      </c>
      <c r="C193" s="29">
        <f>VLOOKUP(B193,제품등록!B:C,2,0)</f>
        <v/>
      </c>
      <c r="D193" s="9" t="n">
        <v>72</v>
      </c>
      <c r="E193" s="9" t="n">
        <v>96</v>
      </c>
      <c r="F193" s="245">
        <f>SUMIF('창고1(실사표)'!B:B,재고차이!A:A,'창고1(실사표)'!F:F)*D193+SUMIF('창고2(실사표)'!B:B,재고차이!A:A,'창고2(실사표)'!F:F)*D193+SUMIF('믹스(잔량실사표)'!B:B,재고차이!A:A,'믹스(잔량실사표)'!F:F)*D193</f>
        <v/>
      </c>
      <c r="G193" s="245">
        <f>SUMIF('창고1(실사표)'!B:B,재고차이!A:A,'창고1(실사표)'!E:E)*E193+SUMIF('창고2(실사표)'!B:B,재고차이!A:A,'창고2(실사표)'!E:E)*E193+SUMIF('믹스(잔량실사표)'!B:B,재고차이!A:A,'믹스(잔량실사표)'!E:E)*E193+SUMIF('창고3(실사표)'!B:B,재고차이!A:A,'창고3(실사표)'!E:E)*E193</f>
        <v/>
      </c>
      <c r="H19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9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93" s="245">
        <f>SUM(F193:I193)</f>
        <v/>
      </c>
      <c r="K193" s="245">
        <f>SUMIF('SAP(B117)'!B:B,재고차이!B:B,'SAP(B117)'!Q:Q)</f>
        <v/>
      </c>
      <c r="L193" s="245">
        <f>SUMIF(주간상차!A:A,재고차이!A:A,주간상차!E:E)</f>
        <v/>
      </c>
      <c r="M193" s="246">
        <f>J193-K193-L193-N193+O193+Q193</f>
        <v/>
      </c>
      <c r="N193" s="274" t="n"/>
      <c r="O193" s="278" t="n"/>
      <c r="P193" s="276" t="n"/>
      <c r="Q193" s="277">
        <f>SUMIF(파손품!D:D,재고차이!B:B,파손품!I:I)+SUMIF(동파파손!D:D,재고차이!B:B,동파파손!I:I)</f>
        <v/>
      </c>
      <c r="R193" s="0">
        <f>M193/E193</f>
        <v/>
      </c>
    </row>
    <row r="194" ht="18.75" customHeight="1" s="237">
      <c r="A194" s="9" t="n">
        <v>8812</v>
      </c>
      <c r="B194" s="9">
        <f>VLOOKUP(A:A,제품등록!A:B,2,0)</f>
        <v/>
      </c>
      <c r="C194" s="29">
        <f>VLOOKUP(B194,제품등록!B:C,2,0)</f>
        <v/>
      </c>
      <c r="D194" s="9" t="n">
        <v>60</v>
      </c>
      <c r="E194" s="9" t="n">
        <v>80</v>
      </c>
      <c r="F194" s="245">
        <f>SUMIF('창고1(실사표)'!B:B,재고차이!A:A,'창고1(실사표)'!F:F)*D194+SUMIF('창고2(실사표)'!B:B,재고차이!A:A,'창고2(실사표)'!F:F)*D194+SUMIF('믹스(잔량실사표)'!B:B,재고차이!A:A,'믹스(잔량실사표)'!F:F)*D194</f>
        <v/>
      </c>
      <c r="G194" s="245">
        <f>SUMIF('창고1(실사표)'!B:B,재고차이!A:A,'창고1(실사표)'!E:E)*E194+SUMIF('창고2(실사표)'!B:B,재고차이!A:A,'창고2(실사표)'!E:E)*E194+SUMIF('믹스(잔량실사표)'!B:B,재고차이!A:A,'믹스(잔량실사표)'!E:E)*E194+SUMIF('창고3(실사표)'!B:B,재고차이!A:A,'창고3(실사표)'!E:E)*E194</f>
        <v/>
      </c>
      <c r="H19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9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94" s="245">
        <f>SUM(F194:I194)</f>
        <v/>
      </c>
      <c r="K194" s="245">
        <f>SUMIF('SAP(B117)'!B:B,재고차이!B:B,'SAP(B117)'!Q:Q)</f>
        <v/>
      </c>
      <c r="L194" s="245">
        <f>SUMIF(주간상차!A:A,재고차이!A:A,주간상차!E:E)</f>
        <v/>
      </c>
      <c r="M194" s="246">
        <f>J194-K194-L194-N194+O194+Q194</f>
        <v/>
      </c>
      <c r="N194" s="274" t="n"/>
      <c r="O194" s="278" t="n"/>
      <c r="P194" s="276" t="n"/>
      <c r="Q194" s="277">
        <f>SUMIF(파손품!D:D,재고차이!B:B,파손품!I:I)+SUMIF(동파파손!D:D,재고차이!B:B,동파파손!I:I)</f>
        <v/>
      </c>
      <c r="R194" s="0">
        <f>M194/E194</f>
        <v/>
      </c>
    </row>
    <row r="195" ht="18.75" customHeight="1" s="237">
      <c r="A195" s="9" t="n">
        <v>8815</v>
      </c>
      <c r="B195" s="9">
        <f>VLOOKUP(A:A,제품등록!A:B,2,0)</f>
        <v/>
      </c>
      <c r="C195" s="29">
        <f>VLOOKUP(B195,제품등록!B:C,2,0)</f>
        <v/>
      </c>
      <c r="D195" s="9" t="n"/>
      <c r="E195" s="9" t="n">
        <v>112</v>
      </c>
      <c r="F195" s="245">
        <f>SUMIF('창고1(실사표)'!B:B,재고차이!A:A,'창고1(실사표)'!F:F)*D195+SUMIF('창고2(실사표)'!B:B,재고차이!A:A,'창고2(실사표)'!F:F)*D195+SUMIF('믹스(잔량실사표)'!B:B,재고차이!A:A,'믹스(잔량실사표)'!F:F)*D195</f>
        <v/>
      </c>
      <c r="G195" s="245">
        <f>SUMIF('창고1(실사표)'!B:B,재고차이!A:A,'창고1(실사표)'!E:E)*E195+SUMIF('창고2(실사표)'!B:B,재고차이!A:A,'창고2(실사표)'!E:E)*E195+SUMIF('믹스(잔량실사표)'!B:B,재고차이!A:A,'믹스(잔량실사표)'!E:E)*E195+SUMIF('창고3(실사표)'!B:B,재고차이!A:A,'창고3(실사표)'!E:E)*E195</f>
        <v/>
      </c>
      <c r="H19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9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95" s="245">
        <f>SUM(F195:I195)</f>
        <v/>
      </c>
      <c r="K195" s="245">
        <f>SUMIF('SAP(B117)'!B:B,재고차이!B:B,'SAP(B117)'!Q:Q)</f>
        <v/>
      </c>
      <c r="L195" s="245">
        <f>SUMIF(주간상차!A:A,재고차이!A:A,주간상차!E:E)</f>
        <v/>
      </c>
      <c r="M195" s="246">
        <f>J195-K195-L195-N195+O195+Q195</f>
        <v/>
      </c>
      <c r="N195" s="274" t="n"/>
      <c r="O195" s="275" t="n"/>
      <c r="P195" s="276" t="n"/>
      <c r="Q195" s="277">
        <f>SUMIF(파손품!D:D,재고차이!B:B,파손품!I:I)+SUMIF(동파파손!D:D,재고차이!B:B,동파파손!I:I)</f>
        <v/>
      </c>
      <c r="R195" s="0">
        <f>M195/E195</f>
        <v/>
      </c>
    </row>
    <row r="196" ht="18.75" customHeight="1" s="237">
      <c r="A196" s="9" t="n">
        <v>8816</v>
      </c>
      <c r="B196" s="9">
        <f>VLOOKUP(A:A,제품등록!A:B,2,0)</f>
        <v/>
      </c>
      <c r="C196" s="29">
        <f>VLOOKUP(B196,제품등록!B:C,2,0)</f>
        <v/>
      </c>
      <c r="D196" s="9" t="n"/>
      <c r="E196" s="9" t="n">
        <v>80</v>
      </c>
      <c r="F196" s="245">
        <f>SUMIF('창고1(실사표)'!B:B,재고차이!A:A,'창고1(실사표)'!F:F)*D196+SUMIF('창고2(실사표)'!B:B,재고차이!A:A,'창고2(실사표)'!F:F)*D196+SUMIF('믹스(잔량실사표)'!B:B,재고차이!A:A,'믹스(잔량실사표)'!F:F)*D196</f>
        <v/>
      </c>
      <c r="G196" s="245">
        <f>SUMIF('창고1(실사표)'!B:B,재고차이!A:A,'창고1(실사표)'!E:E)*E196+SUMIF('창고2(실사표)'!B:B,재고차이!A:A,'창고2(실사표)'!E:E)*E196+SUMIF('믹스(잔량실사표)'!B:B,재고차이!A:A,'믹스(잔량실사표)'!E:E)*E196+SUMIF('창고3(실사표)'!B:B,재고차이!A:A,'창고3(실사표)'!E:E)*E196</f>
        <v/>
      </c>
      <c r="H19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9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96" s="245">
        <f>SUM(F196:I196)</f>
        <v/>
      </c>
      <c r="K196" s="245">
        <f>SUMIF('SAP(B117)'!B:B,재고차이!B:B,'SAP(B117)'!Q:Q)</f>
        <v/>
      </c>
      <c r="L196" s="245">
        <f>SUMIF(주간상차!A:A,재고차이!A:A,주간상차!E:E)</f>
        <v/>
      </c>
      <c r="M196" s="246">
        <f>J196-K196-L196-N196+O196+Q196</f>
        <v/>
      </c>
      <c r="N196" s="274" t="n"/>
      <c r="O196" s="275" t="n"/>
      <c r="P196" s="276" t="n"/>
      <c r="Q196" s="277">
        <f>SUMIF(파손품!D:D,재고차이!B:B,파손품!I:I)+SUMIF(동파파손!D:D,재고차이!B:B,동파파손!I:I)</f>
        <v/>
      </c>
      <c r="R196" s="0">
        <f>M196/E196</f>
        <v/>
      </c>
    </row>
    <row r="197" ht="18.75" customHeight="1" s="237">
      <c r="A197" s="9" t="n">
        <v>9120</v>
      </c>
      <c r="B197" s="9">
        <f>VLOOKUP(A:A,제품등록!A:B,2,0)</f>
        <v/>
      </c>
      <c r="C197" s="29">
        <f>VLOOKUP(B197,제품등록!B:C,2,0)</f>
        <v/>
      </c>
      <c r="D197" s="9" t="n"/>
      <c r="E197" s="9" t="n">
        <v>77</v>
      </c>
      <c r="F197" s="245">
        <f>SUMIF('창고1(실사표)'!B:B,재고차이!A:A,'창고1(실사표)'!F:F)*D197+SUMIF('창고2(실사표)'!B:B,재고차이!A:A,'창고2(실사표)'!F:F)*D197+SUMIF('믹스(잔량실사표)'!B:B,재고차이!A:A,'믹스(잔량실사표)'!F:F)*D197</f>
        <v/>
      </c>
      <c r="G197" s="245">
        <f>SUMIF('창고1(실사표)'!B:B,재고차이!A:A,'창고1(실사표)'!E:E)*E197+SUMIF('창고2(실사표)'!B:B,재고차이!A:A,'창고2(실사표)'!E:E)*E197+SUMIF('믹스(잔량실사표)'!B:B,재고차이!A:A,'믹스(잔량실사표)'!E:E)*E197+SUMIF('창고3(실사표)'!B:B,재고차이!A:A,'창고3(실사표)'!E:E)*E197</f>
        <v/>
      </c>
      <c r="H197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97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97" s="245">
        <f>SUM(F197:I197)</f>
        <v/>
      </c>
      <c r="K197" s="245">
        <f>SUMIF('SAP(B117)'!B:B,재고차이!B:B,'SAP(B117)'!Q:Q)</f>
        <v/>
      </c>
      <c r="L197" s="245">
        <f>SUMIF(주간상차!A:A,재고차이!A:A,주간상차!E:E)</f>
        <v/>
      </c>
      <c r="M197" s="246">
        <f>J197-K197-L197-N197+O197+Q197</f>
        <v/>
      </c>
      <c r="N197" s="274" t="n"/>
      <c r="O197" s="275" t="n"/>
      <c r="P197" s="276" t="n"/>
      <c r="Q197" s="277">
        <f>SUMIF(파손품!D:D,재고차이!B:B,파손품!I:I)+SUMIF(동파파손!D:D,재고차이!B:B,동파파손!I:I)</f>
        <v/>
      </c>
      <c r="R197" s="0">
        <f>M197/E197</f>
        <v/>
      </c>
    </row>
    <row r="198" ht="18.75" customHeight="1" s="237">
      <c r="A198" s="9" t="inlineStr">
        <is>
          <t>DP0439</t>
        </is>
      </c>
      <c r="B198" s="9">
        <f>VLOOKUP(A:A,제품등록!A:B,2,0)</f>
        <v/>
      </c>
      <c r="C198" s="29">
        <f>VLOOKUP(B198,제품등록!B:C,2,0)</f>
        <v/>
      </c>
      <c r="D198" s="9" t="n">
        <v>88</v>
      </c>
      <c r="E198" s="9" t="n">
        <v>100</v>
      </c>
      <c r="F198" s="245">
        <f>SUMIF('창고1(실사표)'!B:B,재고차이!A:A,'창고1(실사표)'!F:F)*D198+SUMIF('창고2(실사표)'!B:B,재고차이!A:A,'창고2(실사표)'!F:F)*D198+SUMIF('믹스(잔량실사표)'!B:B,재고차이!A:A,'믹스(잔량실사표)'!F:F)*D198</f>
        <v/>
      </c>
      <c r="G198" s="245">
        <f>SUMIF('창고1(실사표)'!B:B,재고차이!A:A,'창고1(실사표)'!E:E)*E198+SUMIF('창고2(실사표)'!B:B,재고차이!A:A,'창고2(실사표)'!E:E)*E198+SUMIF('믹스(잔량실사표)'!B:B,재고차이!A:A,'믹스(잔량실사표)'!E:E)*E198+SUMIF('창고3(실사표)'!B:B,재고차이!A:A,'창고3(실사표)'!E:E)*E198</f>
        <v/>
      </c>
      <c r="H198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98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98" s="245">
        <f>SUM(F198:I198)</f>
        <v/>
      </c>
      <c r="K198" s="245">
        <f>SUMIF('SAP(B117)'!B:B,재고차이!B:B,'SAP(B117)'!Q:Q)</f>
        <v/>
      </c>
      <c r="L198" s="245">
        <f>SUMIF(주간상차!A:A,재고차이!A:A,주간상차!E:E)</f>
        <v/>
      </c>
      <c r="M198" s="246">
        <f>J198-K198-L198-N198+O198+Q198</f>
        <v/>
      </c>
      <c r="N198" s="274" t="n"/>
      <c r="O198" s="278" t="n"/>
      <c r="P198" s="276" t="n"/>
      <c r="Q198" s="277">
        <f>SUMIF(파손품!D:D,재고차이!B:B,파손품!I:I)+SUMIF(동파파손!D:D,재고차이!B:B,동파파손!I:I)</f>
        <v/>
      </c>
      <c r="R198" s="0">
        <f>M198/E198</f>
        <v/>
      </c>
    </row>
    <row r="199" ht="18.75" customHeight="1" s="237">
      <c r="A199" s="9" t="inlineStr">
        <is>
          <t>FT4181</t>
        </is>
      </c>
      <c r="B199" s="9">
        <f>VLOOKUP(A:A,제품등록!A:B,2,0)</f>
        <v/>
      </c>
      <c r="C199" s="29">
        <f>VLOOKUP(B199,제품등록!B:C,2,0)</f>
        <v/>
      </c>
      <c r="D199" s="9" t="n">
        <v>88</v>
      </c>
      <c r="E199" s="9" t="n">
        <v>100</v>
      </c>
      <c r="F199" s="245">
        <f>SUMIF('창고1(실사표)'!B:B,재고차이!A:A,'창고1(실사표)'!F:F)*D199+SUMIF('창고2(실사표)'!B:B,재고차이!A:A,'창고2(실사표)'!F:F)*D199+SUMIF('믹스(잔량실사표)'!B:B,재고차이!A:A,'믹스(잔량실사표)'!F:F)*D199</f>
        <v/>
      </c>
      <c r="G199" s="245">
        <f>SUMIF('창고1(실사표)'!B:B,재고차이!A:A,'창고1(실사표)'!E:E)*E199+SUMIF('창고2(실사표)'!B:B,재고차이!A:A,'창고2(실사표)'!E:E)*E199+SUMIF('믹스(잔량실사표)'!B:B,재고차이!A:A,'믹스(잔량실사표)'!E:E)*E199+SUMIF('창고3(실사표)'!B:B,재고차이!A:A,'창고3(실사표)'!E:E)*E199</f>
        <v/>
      </c>
      <c r="H199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199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199" s="245">
        <f>SUM(F199:I199)</f>
        <v/>
      </c>
      <c r="K199" s="245">
        <f>SUMIF('SAP(B117)'!B:B,재고차이!B:B,'SAP(B117)'!Q:Q)</f>
        <v/>
      </c>
      <c r="L199" s="245">
        <f>SUMIF(주간상차!A:A,재고차이!A:A,주간상차!E:E)</f>
        <v/>
      </c>
      <c r="M199" s="246">
        <f>J199-K199-L199-N199+O199+Q199</f>
        <v/>
      </c>
      <c r="N199" s="274" t="n"/>
      <c r="O199" s="278" t="n"/>
      <c r="P199" s="276" t="n"/>
      <c r="Q199" s="277">
        <f>SUMIF(파손품!D:D,재고차이!B:B,파손품!I:I)+SUMIF(동파파손!D:D,재고차이!B:B,동파파손!I:I)</f>
        <v/>
      </c>
      <c r="R199" s="0">
        <f>M199/E199</f>
        <v/>
      </c>
    </row>
    <row r="200" ht="18.75" customHeight="1" s="237">
      <c r="A200" s="9" t="inlineStr">
        <is>
          <t>GG8143</t>
        </is>
      </c>
      <c r="B200" s="9">
        <f>VLOOKUP(A:A,제품등록!A:B,2,0)</f>
        <v/>
      </c>
      <c r="C200" s="29">
        <f>VLOOKUP(B200,제품등록!B:C,2,0)</f>
        <v/>
      </c>
      <c r="D200" s="9" t="n"/>
      <c r="E200" s="9" t="n">
        <v>80</v>
      </c>
      <c r="F200" s="245">
        <f>SUMIF('창고1(실사표)'!B:B,재고차이!A:A,'창고1(실사표)'!F:F)*D200+SUMIF('창고2(실사표)'!B:B,재고차이!A:A,'창고2(실사표)'!F:F)*D200+SUMIF('믹스(잔량실사표)'!B:B,재고차이!A:A,'믹스(잔량실사표)'!F:F)*D200</f>
        <v/>
      </c>
      <c r="G200" s="245">
        <f>SUMIF('창고1(실사표)'!B:B,재고차이!A:A,'창고1(실사표)'!E:E)*E200+SUMIF('창고2(실사표)'!B:B,재고차이!A:A,'창고2(실사표)'!E:E)*E200+SUMIF('믹스(잔량실사표)'!B:B,재고차이!A:A,'믹스(잔량실사표)'!E:E)*E200+SUMIF('창고3(실사표)'!B:B,재고차이!A:A,'창고3(실사표)'!E:E)*E200</f>
        <v/>
      </c>
      <c r="H200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00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00" s="245">
        <f>SUM(F200:I200)</f>
        <v/>
      </c>
      <c r="K200" s="245">
        <f>SUMIF('SAP(B117)'!B:B,재고차이!B:B,'SAP(B117)'!Q:Q)</f>
        <v/>
      </c>
      <c r="L200" s="245">
        <f>SUMIF(주간상차!A:A,재고차이!A:A,주간상차!E:E)</f>
        <v/>
      </c>
      <c r="M200" s="246">
        <f>J200-K200-L200-N200+O200+Q200</f>
        <v/>
      </c>
      <c r="N200" s="274" t="n"/>
      <c r="O200" s="278" t="n"/>
      <c r="P200" s="276" t="n"/>
      <c r="Q200" s="277">
        <f>SUMIF(파손품!D:D,재고차이!B:B,파손품!I:I)+SUMIF(동파파손!D:D,재고차이!B:B,동파파손!I:I)</f>
        <v/>
      </c>
      <c r="R200" s="0">
        <f>M200/E200</f>
        <v/>
      </c>
    </row>
    <row r="201" ht="18.75" customHeight="1" s="237">
      <c r="A201" s="9" t="inlineStr">
        <is>
          <t>GS0012</t>
        </is>
      </c>
      <c r="B201" s="9">
        <f>VLOOKUP(A:A,제품등록!A:B,2,0)</f>
        <v/>
      </c>
      <c r="C201" s="29">
        <f>VLOOKUP(B201,제품등록!B:C,2,0)</f>
        <v/>
      </c>
      <c r="D201" s="9" t="n"/>
      <c r="E201" s="9" t="n">
        <v>108</v>
      </c>
      <c r="F201" s="245">
        <f>SUMIF('창고1(실사표)'!B:B,재고차이!A:A,'창고1(실사표)'!F:F)*D201+SUMIF('창고2(실사표)'!B:B,재고차이!A:A,'창고2(실사표)'!F:F)*D201+SUMIF('믹스(잔량실사표)'!B:B,재고차이!A:A,'믹스(잔량실사표)'!F:F)*D201</f>
        <v/>
      </c>
      <c r="G201" s="245">
        <f>SUMIF('창고1(실사표)'!B:B,재고차이!A:A,'창고1(실사표)'!E:E)*E201+SUMIF('창고2(실사표)'!B:B,재고차이!A:A,'창고2(실사표)'!E:E)*E201+SUMIF('믹스(잔량실사표)'!B:B,재고차이!A:A,'믹스(잔량실사표)'!E:E)*E201+SUMIF('창고3(실사표)'!B:B,재고차이!A:A,'창고3(실사표)'!E:E)*E201</f>
        <v/>
      </c>
      <c r="H201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01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01" s="245">
        <f>SUM(F201:I201)</f>
        <v/>
      </c>
      <c r="K201" s="245">
        <f>SUMIF('SAP(B117)'!B:B,재고차이!B:B,'SAP(B117)'!Q:Q)</f>
        <v/>
      </c>
      <c r="L201" s="245">
        <f>SUMIF(주간상차!A:A,재고차이!A:A,주간상차!E:E)</f>
        <v/>
      </c>
      <c r="M201" s="246">
        <f>J201-K201-L201-N201+O201+Q201</f>
        <v/>
      </c>
      <c r="N201" s="274" t="n"/>
      <c r="O201" s="278" t="n"/>
      <c r="P201" s="276" t="n"/>
      <c r="Q201" s="277">
        <f>SUMIF(파손품!D:D,재고차이!B:B,파손품!I:I)+SUMIF(동파파손!D:D,재고차이!B:B,동파파손!I:I)</f>
        <v/>
      </c>
      <c r="R201" s="0">
        <f>M201/E201</f>
        <v/>
      </c>
    </row>
    <row r="202" ht="18.75" customHeight="1" s="237">
      <c r="A202" s="9" t="inlineStr">
        <is>
          <t>ih0001</t>
        </is>
      </c>
      <c r="B202" s="9">
        <f>VLOOKUP(A:A,제품등록!A:B,2,0)</f>
        <v/>
      </c>
      <c r="C202" s="29">
        <f>VLOOKUP(B202,제품등록!B:C,2,0)</f>
        <v/>
      </c>
      <c r="D202" s="9" t="n"/>
      <c r="E202" s="9" t="n">
        <v>70</v>
      </c>
      <c r="F202" s="245">
        <f>SUMIF('창고1(실사표)'!B:B,재고차이!A:A,'창고1(실사표)'!F:F)*D202+SUMIF('창고2(실사표)'!B:B,재고차이!A:A,'창고2(실사표)'!F:F)*D202+SUMIF('믹스(잔량실사표)'!B:B,재고차이!A:A,'믹스(잔량실사표)'!F:F)*D202</f>
        <v/>
      </c>
      <c r="G202" s="245">
        <f>SUMIF('창고1(실사표)'!B:B,재고차이!A:A,'창고1(실사표)'!E:E)*E202+SUMIF('창고2(실사표)'!B:B,재고차이!A:A,'창고2(실사표)'!E:E)*E202+SUMIF('믹스(잔량실사표)'!B:B,재고차이!A:A,'믹스(잔량실사표)'!E:E)*E202+SUMIF('창고3(실사표)'!B:B,재고차이!A:A,'창고3(실사표)'!E:E)*E202</f>
        <v/>
      </c>
      <c r="H202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02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02" s="245">
        <f>SUM(F202:I202)</f>
        <v/>
      </c>
      <c r="K202" s="245">
        <f>SUMIF('SAP(B117)'!B:B,재고차이!B:B,'SAP(B117)'!Q:Q)</f>
        <v/>
      </c>
      <c r="L202" s="245">
        <f>SUMIF(주간상차!A:A,재고차이!A:A,주간상차!E:E)</f>
        <v/>
      </c>
      <c r="M202" s="246">
        <f>J202-K202-L202-N202+O202+Q202</f>
        <v/>
      </c>
      <c r="N202" s="274" t="n"/>
      <c r="O202" s="278" t="n"/>
      <c r="P202" s="276" t="n"/>
      <c r="Q202" s="277">
        <f>SUMIF(파손품!D:D,재고차이!B:B,파손품!I:I)+SUMIF(동파파손!D:D,재고차이!B:B,동파파손!I:I)</f>
        <v/>
      </c>
      <c r="R202" s="0">
        <f>M202/E202</f>
        <v/>
      </c>
    </row>
    <row r="203" ht="18.75" customHeight="1" s="237">
      <c r="A203" s="9" t="inlineStr">
        <is>
          <t>KC1005</t>
        </is>
      </c>
      <c r="B203" s="9">
        <f>VLOOKUP(A:A,제품등록!A:B,2,0)</f>
        <v/>
      </c>
      <c r="C203" s="29">
        <f>VLOOKUP(B203,제품등록!B:C,2,0)</f>
        <v/>
      </c>
      <c r="D203" s="9" t="n"/>
      <c r="E203" s="9" t="n">
        <v>72</v>
      </c>
      <c r="F203" s="245">
        <f>SUMIF('창고1(실사표)'!B:B,재고차이!A:A,'창고1(실사표)'!F:F)*D203+SUMIF('창고2(실사표)'!B:B,재고차이!A:A,'창고2(실사표)'!F:F)*D203+SUMIF('믹스(잔량실사표)'!B:B,재고차이!A:A,'믹스(잔량실사표)'!F:F)*D203</f>
        <v/>
      </c>
      <c r="G203" s="245">
        <f>SUMIF('창고1(실사표)'!B:B,재고차이!A:A,'창고1(실사표)'!E:E)*E203+SUMIF('창고2(실사표)'!B:B,재고차이!A:A,'창고2(실사표)'!E:E)*E203+SUMIF('믹스(잔량실사표)'!B:B,재고차이!A:A,'믹스(잔량실사표)'!E:E)*E203+SUMIF('창고3(실사표)'!B:B,재고차이!A:A,'창고3(실사표)'!E:E)*E203</f>
        <v/>
      </c>
      <c r="H203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03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03" s="245">
        <f>SUM(F203:I203)</f>
        <v/>
      </c>
      <c r="K203" s="245">
        <f>SUMIF('SAP(B117)'!B:B,재고차이!B:B,'SAP(B117)'!Q:Q)</f>
        <v/>
      </c>
      <c r="L203" s="245">
        <f>SUMIF(주간상차!A:A,재고차이!A:A,주간상차!E:E)</f>
        <v/>
      </c>
      <c r="M203" s="246">
        <f>J203-K203-L203-N203+O203+Q203</f>
        <v/>
      </c>
      <c r="N203" s="274" t="n"/>
      <c r="O203" s="278" t="n"/>
      <c r="P203" s="276" t="n"/>
      <c r="Q203" s="277">
        <f>SUMIF(파손품!D:D,재고차이!B:B,파손품!I:I)+SUMIF(동파파손!D:D,재고차이!B:B,동파파손!I:I)</f>
        <v/>
      </c>
      <c r="R203" s="0">
        <f>M203/E203</f>
        <v/>
      </c>
    </row>
    <row r="204" ht="18.75" customHeight="1" s="237">
      <c r="A204" s="9" t="inlineStr">
        <is>
          <t>MM8428</t>
        </is>
      </c>
      <c r="B204" s="9">
        <f>VLOOKUP(A:A,제품등록!A:B,2,0)</f>
        <v/>
      </c>
      <c r="C204" s="29">
        <f>VLOOKUP(B204,제품등록!B:C,2,0)</f>
        <v/>
      </c>
      <c r="D204" s="9" t="n"/>
      <c r="E204" s="9" t="n">
        <v>91</v>
      </c>
      <c r="F204" s="245">
        <f>SUMIF('창고1(실사표)'!B:B,재고차이!A:A,'창고1(실사표)'!F:F)*D204+SUMIF('창고2(실사표)'!B:B,재고차이!A:A,'창고2(실사표)'!F:F)*D204+SUMIF('믹스(잔량실사표)'!B:B,재고차이!A:A,'믹스(잔량실사표)'!F:F)*D204</f>
        <v/>
      </c>
      <c r="G204" s="245">
        <f>SUMIF('창고1(실사표)'!B:B,재고차이!A:A,'창고1(실사표)'!E:E)*E204+SUMIF('창고2(실사표)'!B:B,재고차이!A:A,'창고2(실사표)'!E:E)*E204+SUMIF('믹스(잔량실사표)'!B:B,재고차이!A:A,'믹스(잔량실사표)'!E:E)*E204+SUMIF('창고3(실사표)'!B:B,재고차이!A:A,'창고3(실사표)'!E:E)*E204</f>
        <v/>
      </c>
      <c r="H204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04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04" s="245">
        <f>SUM(F204:I204)</f>
        <v/>
      </c>
      <c r="K204" s="245">
        <f>SUMIF('SAP(B117)'!B:B,재고차이!B:B,'SAP(B117)'!Q:Q)</f>
        <v/>
      </c>
      <c r="L204" s="245">
        <f>SUMIF(주간상차!A:A,재고차이!A:A,주간상차!E:E)</f>
        <v/>
      </c>
      <c r="M204" s="246">
        <f>J204-K204-L204-N204+O204+Q204</f>
        <v/>
      </c>
      <c r="N204" s="274" t="n"/>
      <c r="O204" s="278" t="n"/>
      <c r="P204" s="276" t="n"/>
      <c r="Q204" s="277">
        <f>SUMIF(파손품!D:D,재고차이!B:B,파손품!I:I)+SUMIF(동파파손!D:D,재고차이!B:B,동파파손!I:I)</f>
        <v/>
      </c>
      <c r="R204" s="0">
        <f>M204/E204</f>
        <v/>
      </c>
    </row>
    <row r="205" ht="18.75" customHeight="1" s="237">
      <c r="A205" s="182" t="inlineStr">
        <is>
          <t>PA0002</t>
        </is>
      </c>
      <c r="B205" s="9">
        <f>VLOOKUP(A:A,제품등록!A:B,2,0)</f>
        <v/>
      </c>
      <c r="C205" s="29">
        <f>VLOOKUP(B205,제품등록!B:C,2,0)</f>
        <v/>
      </c>
      <c r="D205" s="9" t="n"/>
      <c r="E205" s="9" t="n">
        <v>48</v>
      </c>
      <c r="F205" s="245">
        <f>SUMIF('창고1(실사표)'!B:B,재고차이!A:A,'창고1(실사표)'!F:F)*D205+SUMIF('창고2(실사표)'!B:B,재고차이!A:A,'창고2(실사표)'!F:F)*D205+SUMIF('믹스(잔량실사표)'!B:B,재고차이!A:A,'믹스(잔량실사표)'!F:F)*D205</f>
        <v/>
      </c>
      <c r="G205" s="245">
        <f>SUMIF('창고1(실사표)'!B:B,재고차이!A:A,'창고1(실사표)'!E:E)*E205+SUMIF('창고2(실사표)'!B:B,재고차이!A:A,'창고2(실사표)'!E:E)*E205+SUMIF('믹스(잔량실사표)'!B:B,재고차이!A:A,'믹스(잔량실사표)'!E:E)*E205+SUMIF('창고3(실사표)'!B:B,재고차이!A:A,'창고3(실사표)'!E:E)*E205</f>
        <v/>
      </c>
      <c r="H205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05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05" s="245">
        <f>SUM(F205:I205)</f>
        <v/>
      </c>
      <c r="K205" s="245">
        <f>SUMIF('SAP(B117)'!B:B,재고차이!B:B,'SAP(B117)'!Q:Q)</f>
        <v/>
      </c>
      <c r="L205" s="245">
        <f>SUMIF(주간상차!A:A,재고차이!A:A,주간상차!E:E)</f>
        <v/>
      </c>
      <c r="M205" s="246">
        <f>J205-K205-L205-N205+O205+Q205</f>
        <v/>
      </c>
      <c r="N205" s="274" t="n"/>
      <c r="O205" s="278" t="n"/>
      <c r="P205" s="276" t="n"/>
      <c r="Q205" s="277">
        <f>SUMIF(파손품!D:D,재고차이!B:B,파손품!I:I)+SUMIF(동파파손!D:D,재고차이!B:B,동파파손!I:I)</f>
        <v/>
      </c>
      <c r="R205" s="0">
        <f>M205/E205</f>
        <v/>
      </c>
    </row>
    <row r="206" ht="18.75" customHeight="1" s="237">
      <c r="A206" s="9" t="inlineStr">
        <is>
          <t>SP4181</t>
        </is>
      </c>
      <c r="B206" s="9">
        <f>VLOOKUP(A:A,제품등록!A:B,2,0)</f>
        <v/>
      </c>
      <c r="C206" s="29">
        <f>VLOOKUP(B206,제품등록!B:C,2,0)</f>
        <v/>
      </c>
      <c r="D206" s="9" t="n">
        <v>88</v>
      </c>
      <c r="E206" s="9" t="n">
        <v>100</v>
      </c>
      <c r="F206" s="245">
        <f>SUMIF('창고1(실사표)'!B:B,재고차이!A:A,'창고1(실사표)'!F:F)*D206+SUMIF('창고2(실사표)'!B:B,재고차이!A:A,'창고2(실사표)'!F:F)*D206+SUMIF('믹스(잔량실사표)'!B:B,재고차이!A:A,'믹스(잔량실사표)'!F:F)*D206</f>
        <v/>
      </c>
      <c r="G206" s="245">
        <f>SUMIF('창고1(실사표)'!B:B,재고차이!A:A,'창고1(실사표)'!E:E)*E206+SUMIF('창고2(실사표)'!B:B,재고차이!A:A,'창고2(실사표)'!E:E)*E206+SUMIF('믹스(잔량실사표)'!B:B,재고차이!A:A,'믹스(잔량실사표)'!E:E)*E206+SUMIF('창고3(실사표)'!B:B,재고차이!A:A,'창고3(실사표)'!E:E)*E206</f>
        <v/>
      </c>
      <c r="H206" s="245">
        <f>SUMIF('창고1(실사표)'!B:B,재고차이!A:A,'창고1(실사표)'!G:G)+SUMIF('창고2(실사표)'!B:B,재고차이!A:A,'창고2(실사표)'!G:G)++SUMIF('믹스(잔량실사표)'!B:B,재고차이!A:A,'믹스(잔량실사표)'!G:G)</f>
        <v/>
      </c>
      <c r="I206" s="245">
        <f>SUMIF('창고1(실사표)'!B:B,재고차이!A:A,'창고1(실사표)'!H:H)+SUMIF('창고2(실사표)'!B:B,재고차이!A:A,'창고2(실사표)'!H:H)++SUMIF('믹스(잔량실사표)'!B:B,재고차이!A:A,'믹스(잔량실사표)'!H:H)</f>
        <v/>
      </c>
      <c r="J206" s="245">
        <f>SUM(F206:I206)</f>
        <v/>
      </c>
      <c r="K206" s="245">
        <f>SUMIF('SAP(B117)'!B:B,재고차이!B:B,'SAP(B117)'!Q:Q)</f>
        <v/>
      </c>
      <c r="L206" s="245">
        <f>SUMIF(주간상차!A:A,재고차이!A:A,주간상차!E:E)</f>
        <v/>
      </c>
      <c r="M206" s="246">
        <f>J206-K206-L206-N206+O206+Q206</f>
        <v/>
      </c>
      <c r="N206" s="274" t="n"/>
      <c r="O206" s="278" t="n"/>
      <c r="P206" s="276" t="n"/>
      <c r="Q206" s="277">
        <f>SUMIF(파손품!D:D,재고차이!B:B,파손품!I:I)+SUMIF(동파파손!D:D,재고차이!B:B,동파파손!I:I)</f>
        <v/>
      </c>
      <c r="R206" s="0">
        <f>M206/E206</f>
        <v/>
      </c>
    </row>
    <row r="207">
      <c r="A207" s="32" t="n"/>
      <c r="B207" s="32" t="n"/>
      <c r="C207" s="33" t="inlineStr">
        <is>
          <t>TOTAL</t>
        </is>
      </c>
      <c r="D207" s="32" t="n"/>
      <c r="E207" s="32" t="n"/>
      <c r="F207" s="246">
        <f>SUM(F4:F206)</f>
        <v/>
      </c>
      <c r="G207" s="246">
        <f>SUM(G4:G206)</f>
        <v/>
      </c>
      <c r="H207" s="246">
        <f>SUM(H4:H206)</f>
        <v/>
      </c>
      <c r="I207" s="246">
        <f>SUM(I4:I206)</f>
        <v/>
      </c>
      <c r="J207" s="246">
        <f>SUM(J4:J206)</f>
        <v/>
      </c>
      <c r="K207" s="246">
        <f>SUM(K4:K206)</f>
        <v/>
      </c>
      <c r="L207" s="246">
        <f>SUM(L4:L206)</f>
        <v/>
      </c>
      <c r="M207" s="246">
        <f>SUM(M4:M206)</f>
        <v/>
      </c>
      <c r="N207" s="279">
        <f>SUM(N4:N206)</f>
        <v/>
      </c>
      <c r="O207" s="275">
        <f>SUM(O4:O206)</f>
        <v/>
      </c>
      <c r="P207" s="276" t="n"/>
      <c r="Q207" s="277">
        <f>SUM(Q4:Q206)</f>
        <v/>
      </c>
    </row>
    <row r="209">
      <c r="M209" s="253" t="n"/>
    </row>
    <row r="215">
      <c r="K215" s="238" t="inlineStr">
        <is>
          <t> </t>
        </is>
      </c>
    </row>
  </sheetData>
  <autoFilter ref="A3:R207">
    <sortState ref="A4:R207">
      <sortCondition ref="A3:A207"/>
    </sortState>
  </autoFilter>
  <mergeCells count="1">
    <mergeCell ref="C1:C2"/>
  </mergeCells>
  <conditionalFormatting sqref="F3:F4">
    <cfRule type="cellIs" priority="894" operator="lessThan" dxfId="7">
      <formula>0</formula>
    </cfRule>
  </conditionalFormatting>
  <conditionalFormatting sqref="F4:M5">
    <cfRule type="cellIs" priority="90" operator="lessThan" dxfId="7">
      <formula>0</formula>
    </cfRule>
  </conditionalFormatting>
  <conditionalFormatting sqref="F208:P65602">
    <cfRule type="cellIs" priority="862" operator="lessThan" dxfId="7">
      <formula>0</formula>
    </cfRule>
  </conditionalFormatting>
  <conditionalFormatting sqref="F1:Q2">
    <cfRule type="cellIs" priority="848" operator="lessThan" dxfId="7">
      <formula>0</formula>
    </cfRule>
  </conditionalFormatting>
  <conditionalFormatting sqref="M4:M206 Q4:Q206">
    <cfRule type="cellIs" priority="6" operator="notEqual" dxfId="7" stopIfTrue="1">
      <formula>0</formula>
    </cfRule>
  </conditionalFormatting>
  <conditionalFormatting sqref="M153:M206">
    <cfRule type="cellIs" priority="7" operator="lessThan" dxfId="7">
      <formula>0</formula>
    </cfRule>
  </conditionalFormatting>
  <conditionalFormatting sqref="F6:M207 Q4:Q65602">
    <cfRule type="cellIs" priority="5" operator="lessThan" dxfId="7">
      <formula>0</formula>
    </cfRule>
  </conditionalFormatting>
  <conditionalFormatting sqref="R4:R206">
    <cfRule type="expression" priority="2" dxfId="7">
      <formula>MOD(R4,1)&lt;&gt;0</formula>
    </cfRule>
  </conditionalFormatting>
  <pageMargins left="0.1968503937007874" right="0" top="0.7874015748031497" bottom="0" header="0.3149606299212598" footer="0.3149606299212598"/>
  <pageSetup orientation="portrait" paperSize="9" cellComments="asDisplayed"/>
</worksheet>
</file>

<file path=xl/worksheets/sheet4.xml><?xml version="1.0" encoding="utf-8"?>
<worksheet xmlns="http://schemas.openxmlformats.org/spreadsheetml/2006/main">
  <sheetPr codeName="Sheet4">
    <tabColor rgb="FFFF0000"/>
    <outlinePr summaryBelow="1" summaryRight="1"/>
    <pageSetUpPr fitToPage="1"/>
  </sheetPr>
  <dimension ref="A1:P38"/>
  <sheetViews>
    <sheetView zoomScaleNormal="100" workbookViewId="0">
      <pane ySplit="2" topLeftCell="A3" activePane="bottomLeft" state="frozen"/>
      <selection activeCell="E22" sqref="E22"/>
      <selection pane="bottomLeft" activeCell="A3" sqref="A3"/>
    </sheetView>
  </sheetViews>
  <sheetFormatPr baseColWidth="8" defaultRowHeight="16.5"/>
  <cols>
    <col width="5.75" customWidth="1" style="5" min="1" max="1"/>
    <col width="9.25" bestFit="1" customWidth="1" style="5" min="2" max="2"/>
    <col width="11.25" customWidth="1" style="5" min="3" max="3"/>
    <col width="43.5" bestFit="1" customWidth="1" style="5" min="4" max="4"/>
    <col width="12.25" customWidth="1" style="5" min="5" max="5"/>
    <col hidden="1" width="12.25" customWidth="1" style="5" min="6" max="7"/>
    <col hidden="1" width="13.5" customWidth="1" style="5" min="8" max="8"/>
    <col width="13" customWidth="1" style="5" min="9" max="9"/>
    <col width="41.5" customWidth="1" style="5" min="10" max="10"/>
    <col width="14.75" customWidth="1" style="5" min="11" max="11"/>
    <col hidden="1" width="10.625" customWidth="1" style="280" min="12" max="12"/>
    <col hidden="1" width="12.375" customWidth="1" style="5" min="13" max="13"/>
    <col hidden="1" width="9.5" customWidth="1" style="5" min="14" max="14"/>
    <col hidden="1" width="12.75" customWidth="1" style="5" min="15" max="15"/>
    <col hidden="1" width="13.25" customWidth="1" style="5" min="16" max="16"/>
    <col width="9" customWidth="1" style="5" min="17" max="16384"/>
  </cols>
  <sheetData>
    <row r="1" ht="24" customHeight="1" s="237">
      <c r="C1" s="15" t="n"/>
      <c r="D1" s="15" t="n"/>
      <c r="H1" s="5" t="inlineStr">
        <is>
          <t>조사일</t>
        </is>
      </c>
      <c r="I1" s="11">
        <f>TODAY()</f>
        <v/>
      </c>
      <c r="J1" s="11" t="n"/>
      <c r="L1" s="281" t="n"/>
      <c r="N1" s="14">
        <f>100%-N2</f>
        <v/>
      </c>
    </row>
    <row r="2" ht="33" customHeight="1" s="237">
      <c r="A2" s="86" t="n"/>
      <c r="B2" s="86" t="inlineStr">
        <is>
          <t>제품코드</t>
        </is>
      </c>
      <c r="C2" s="86" t="inlineStr">
        <is>
          <t>SAP코드</t>
        </is>
      </c>
      <c r="D2" s="86" t="inlineStr">
        <is>
          <t>Brand Name</t>
        </is>
      </c>
      <c r="E2" s="86" t="inlineStr">
        <is>
          <t>아주</t>
        </is>
      </c>
      <c r="F2" s="86" t="inlineStr">
        <is>
          <t>940P</t>
        </is>
      </c>
      <c r="G2" s="86" t="inlineStr">
        <is>
          <t>잔량</t>
        </is>
      </c>
      <c r="H2" s="87" t="inlineStr">
        <is>
          <t>보류재고</t>
        </is>
      </c>
      <c r="I2" s="86" t="inlineStr">
        <is>
          <t>소비기한</t>
        </is>
      </c>
      <c r="J2" s="86" t="inlineStr">
        <is>
          <t>홀딩테그</t>
        </is>
      </c>
      <c r="K2" s="88" t="inlineStr">
        <is>
          <t>75% 사용가능</t>
        </is>
      </c>
      <c r="L2" s="282" t="inlineStr">
        <is>
          <t>소비기한</t>
        </is>
      </c>
      <c r="M2" s="5" t="inlineStr">
        <is>
          <t>생산일자</t>
        </is>
      </c>
      <c r="N2" s="89" t="n">
        <v>0.75</v>
      </c>
      <c r="O2" s="17" t="inlineStr">
        <is>
          <t>사용가능</t>
        </is>
      </c>
      <c r="P2" s="90" t="inlineStr">
        <is>
          <t>사용가능일수       75%</t>
        </is>
      </c>
    </row>
    <row r="3" ht="17.25" customHeight="1" s="237">
      <c r="A3" s="10">
        <f>ROW()-2</f>
        <v/>
      </c>
      <c r="B3" s="10" t="n">
        <v>455</v>
      </c>
      <c r="C3" s="22">
        <f>VLOOKUP(B:B,재고차이!A:B,2,0)</f>
        <v/>
      </c>
      <c r="D3" s="22">
        <f>VLOOKUP(C:C,재고차이!B:C,2,0)</f>
        <v/>
      </c>
      <c r="E3" s="10" t="n">
        <v>16</v>
      </c>
      <c r="F3" s="10" t="n"/>
      <c r="G3" s="185" t="n"/>
      <c r="H3" s="185" t="n"/>
      <c r="I3" s="184" t="n">
        <v>46351</v>
      </c>
      <c r="J3" s="184" t="n"/>
      <c r="K3" s="20">
        <f>+P3</f>
        <v/>
      </c>
      <c r="L3" s="282">
        <f>IF(I3="","",SUMIF(제품등록!B:B,'창고1(실사표)'!C:C,제품등록!F:F))</f>
        <v/>
      </c>
      <c r="M3" s="11">
        <f>IF(I3=0,"",I3-L3)</f>
        <v/>
      </c>
      <c r="N3" s="283">
        <f>IF(L3="","",L3*상미75)</f>
        <v/>
      </c>
      <c r="O3" s="19">
        <f>IF(M3="","",M3+N3)</f>
        <v/>
      </c>
      <c r="P3" s="17">
        <f>IF(O3="","",O3-$I$1)</f>
        <v/>
      </c>
    </row>
    <row r="4" ht="17.25" customHeight="1" s="237">
      <c r="A4" s="10">
        <f>ROW()-2</f>
        <v/>
      </c>
      <c r="B4" s="10" t="n">
        <v>455</v>
      </c>
      <c r="C4" s="22">
        <f>VLOOKUP(B:B,재고차이!A:B,2,0)</f>
        <v/>
      </c>
      <c r="D4" s="22">
        <f>VLOOKUP(C:C,재고차이!B:C,2,0)</f>
        <v/>
      </c>
      <c r="E4" s="10" t="n">
        <v>17</v>
      </c>
      <c r="F4" s="10" t="n"/>
      <c r="G4" s="185" t="n"/>
      <c r="H4" s="185" t="n"/>
      <c r="I4" s="184" t="n">
        <v>46352</v>
      </c>
      <c r="J4" s="184" t="n"/>
      <c r="K4" s="20">
        <f>+P4</f>
        <v/>
      </c>
      <c r="L4" s="282">
        <f>IF(I4="","",SUMIF(제품등록!B:B,'창고1(실사표)'!C:C,제품등록!F:F))</f>
        <v/>
      </c>
      <c r="M4" s="11">
        <f>IF(I4=0,"",I4-L4)</f>
        <v/>
      </c>
      <c r="N4" s="283">
        <f>IF(L4="","",L4*상미75)</f>
        <v/>
      </c>
      <c r="O4" s="19">
        <f>IF(M4="","",M4+N4)</f>
        <v/>
      </c>
      <c r="P4" s="17">
        <f>IF(O4="","",O4-$I$1)</f>
        <v/>
      </c>
    </row>
    <row r="5" ht="17.25" customHeight="1" s="237">
      <c r="A5" s="10">
        <f>ROW()-2</f>
        <v/>
      </c>
      <c r="B5" s="10" t="n">
        <v>455</v>
      </c>
      <c r="C5" s="22">
        <f>VLOOKUP(B:B,재고차이!A:B,2,0)</f>
        <v/>
      </c>
      <c r="D5" s="22">
        <f>VLOOKUP(C:C,재고차이!B:C,2,0)</f>
        <v/>
      </c>
      <c r="E5" s="10" t="n">
        <v>15</v>
      </c>
      <c r="F5" s="10" t="n"/>
      <c r="G5" s="185" t="n"/>
      <c r="H5" s="185" t="n"/>
      <c r="I5" s="184" t="n">
        <v>46366</v>
      </c>
      <c r="J5" s="184" t="n"/>
      <c r="K5" s="20">
        <f>+P5</f>
        <v/>
      </c>
      <c r="L5" s="282">
        <f>IF(I5="","",SUMIF(제품등록!B:B,'창고1(실사표)'!C:C,제품등록!F:F))</f>
        <v/>
      </c>
      <c r="M5" s="11">
        <f>IF(I5=0,"",I5-L5)</f>
        <v/>
      </c>
      <c r="N5" s="283">
        <f>IF(L5="","",L5*상미75)</f>
        <v/>
      </c>
      <c r="O5" s="19">
        <f>IF(M5="","",M5+N5)</f>
        <v/>
      </c>
      <c r="P5" s="17">
        <f>IF(O5="","",O5-$I$1)</f>
        <v/>
      </c>
    </row>
    <row r="6" ht="17.25" customHeight="1" s="237">
      <c r="A6" s="10">
        <f>ROW()-2</f>
        <v/>
      </c>
      <c r="B6" s="10" t="n">
        <v>1007</v>
      </c>
      <c r="C6" s="22">
        <f>VLOOKUP(B:B,재고차이!A:B,2,0)</f>
        <v/>
      </c>
      <c r="D6" s="22">
        <f>VLOOKUP(C:C,재고차이!B:C,2,0)</f>
        <v/>
      </c>
      <c r="E6" s="10">
        <f>46+11+24</f>
        <v/>
      </c>
      <c r="F6" s="10" t="n"/>
      <c r="G6" s="185" t="n"/>
      <c r="H6" s="185" t="n"/>
      <c r="I6" s="184" t="n">
        <v>46319</v>
      </c>
      <c r="J6" s="184" t="n"/>
      <c r="K6" s="20">
        <f>+P6</f>
        <v/>
      </c>
      <c r="L6" s="282">
        <f>IF(I6="","",SUMIF(제품등록!B:B,'창고1(실사표)'!C:C,제품등록!F:F))</f>
        <v/>
      </c>
      <c r="M6" s="11">
        <f>IF(I6=0,"",I6-L6)</f>
        <v/>
      </c>
      <c r="N6" s="283">
        <f>IF(L6="","",L6*상미75)</f>
        <v/>
      </c>
      <c r="O6" s="19">
        <f>IF(M6="","",M6+N6)</f>
        <v/>
      </c>
      <c r="P6" s="17">
        <f>IF(O6="","",O6-$I$1)</f>
        <v/>
      </c>
    </row>
    <row r="7" ht="17.25" customHeight="1" s="237">
      <c r="A7" s="10">
        <f>ROW()-2</f>
        <v/>
      </c>
      <c r="B7" s="10" t="n">
        <v>1007</v>
      </c>
      <c r="C7" s="22">
        <f>VLOOKUP(B:B,재고차이!A:B,2,0)</f>
        <v/>
      </c>
      <c r="D7" s="22">
        <f>VLOOKUP(C:C,재고차이!B:C,2,0)</f>
        <v/>
      </c>
      <c r="E7" s="10">
        <f>46+20</f>
        <v/>
      </c>
      <c r="F7" s="10" t="n"/>
      <c r="G7" s="185" t="n"/>
      <c r="H7" s="185" t="n"/>
      <c r="I7" s="184" t="n">
        <v>46320</v>
      </c>
      <c r="J7" s="184" t="n"/>
      <c r="K7" s="20">
        <f>+P7</f>
        <v/>
      </c>
      <c r="L7" s="282">
        <f>IF(I7="","",SUMIF(제품등록!B:B,'창고1(실사표)'!C:C,제품등록!F:F))</f>
        <v/>
      </c>
      <c r="M7" s="11">
        <f>IF(I7=0,"",I7-L7)</f>
        <v/>
      </c>
      <c r="N7" s="283">
        <f>IF(L7="","",L7*상미75)</f>
        <v/>
      </c>
      <c r="O7" s="19">
        <f>IF(M7="","",M7+N7)</f>
        <v/>
      </c>
      <c r="P7" s="17">
        <f>IF(O7="","",O7-$I$1)</f>
        <v/>
      </c>
    </row>
    <row r="8" ht="17.25" customHeight="1" s="237">
      <c r="A8" s="10">
        <f>ROW()-2</f>
        <v/>
      </c>
      <c r="B8" s="10" t="n">
        <v>4432</v>
      </c>
      <c r="C8" s="22">
        <f>VLOOKUP(B:B,재고차이!A:B,2,0)</f>
        <v/>
      </c>
      <c r="D8" s="22">
        <f>VLOOKUP(C:C,재고차이!B:C,2,0)</f>
        <v/>
      </c>
      <c r="E8" s="10">
        <f>10+58</f>
        <v/>
      </c>
      <c r="F8" s="10" t="n"/>
      <c r="G8" s="185" t="n"/>
      <c r="H8" s="185" t="n"/>
      <c r="I8" s="184" t="n">
        <v>46267</v>
      </c>
      <c r="J8" s="151" t="n"/>
      <c r="K8" s="20">
        <f>+P8</f>
        <v/>
      </c>
      <c r="L8" s="282">
        <f>IF(I8="","",SUMIF(제품등록!B:B,'창고1(실사표)'!C:C,제품등록!F:F))</f>
        <v/>
      </c>
      <c r="M8" s="11">
        <f>IF(I8=0,"",I8-L8)</f>
        <v/>
      </c>
      <c r="N8" s="283">
        <f>IF(L8="","",L8*상미75)</f>
        <v/>
      </c>
      <c r="O8" s="19">
        <f>IF(M8="","",M8+N8)</f>
        <v/>
      </c>
      <c r="P8" s="17">
        <f>IF(O8="","",O8-$I$1)</f>
        <v/>
      </c>
    </row>
    <row r="9" ht="17.25" customHeight="1" s="237">
      <c r="A9" s="10">
        <f>ROW()-2</f>
        <v/>
      </c>
      <c r="B9" s="10" t="n">
        <v>4432</v>
      </c>
      <c r="C9" s="22">
        <f>VLOOKUP(B:B,재고차이!A:B,2,0)</f>
        <v/>
      </c>
      <c r="D9" s="22">
        <f>VLOOKUP(C:C,재고차이!B:C,2,0)</f>
        <v/>
      </c>
      <c r="E9" s="10">
        <f>32+32</f>
        <v/>
      </c>
      <c r="F9" s="10" t="n"/>
      <c r="G9" s="185" t="n"/>
      <c r="H9" s="185" t="n"/>
      <c r="I9" s="184" t="n">
        <v>46268</v>
      </c>
      <c r="J9" s="151" t="n"/>
      <c r="K9" s="20">
        <f>+P9</f>
        <v/>
      </c>
      <c r="L9" s="282">
        <f>IF(I9="","",SUMIF(제품등록!B:B,'창고1(실사표)'!C:C,제품등록!F:F))</f>
        <v/>
      </c>
      <c r="M9" s="11">
        <f>IF(I9=0,"",I9-L9)</f>
        <v/>
      </c>
      <c r="N9" s="283">
        <f>IF(L9="","",L9*상미75)</f>
        <v/>
      </c>
      <c r="O9" s="19">
        <f>IF(M9="","",M9+N9)</f>
        <v/>
      </c>
      <c r="P9" s="17">
        <f>IF(O9="","",O9-$I$1)</f>
        <v/>
      </c>
    </row>
    <row r="10" ht="17.25" customHeight="1" s="237">
      <c r="A10" s="10">
        <f>ROW()-2</f>
        <v/>
      </c>
      <c r="B10" s="10" t="n">
        <v>5191</v>
      </c>
      <c r="C10" s="22">
        <f>VLOOKUP(B:B,재고차이!A:B,2,0)</f>
        <v/>
      </c>
      <c r="D10" s="22">
        <f>VLOOKUP(C:C,재고차이!B:C,2,0)</f>
        <v/>
      </c>
      <c r="E10" s="10" t="n">
        <v>27</v>
      </c>
      <c r="F10" s="10" t="n"/>
      <c r="G10" s="185" t="n"/>
      <c r="H10" s="185" t="n"/>
      <c r="I10" s="184" t="n">
        <v>46709</v>
      </c>
      <c r="J10" s="151" t="n"/>
      <c r="K10" s="20">
        <f>+P10</f>
        <v/>
      </c>
      <c r="L10" s="282">
        <f>IF(I10="","",SUMIF(제품등록!B:B,'창고1(실사표)'!C:C,제품등록!F:F))</f>
        <v/>
      </c>
      <c r="M10" s="11">
        <f>IF(I10=0,"",I10-L10)</f>
        <v/>
      </c>
      <c r="N10" s="283">
        <f>IF(L10="","",L10*상미75)</f>
        <v/>
      </c>
      <c r="O10" s="19">
        <f>IF(M10="","",M10+N10)</f>
        <v/>
      </c>
      <c r="P10" s="17">
        <f>IF(O10="","",O10-$I$1)</f>
        <v/>
      </c>
    </row>
    <row r="11" ht="17.25" customHeight="1" s="237">
      <c r="A11" s="10">
        <f>ROW()-2</f>
        <v/>
      </c>
      <c r="B11" s="10" t="n">
        <v>5191</v>
      </c>
      <c r="C11" s="22">
        <f>VLOOKUP(B:B,재고차이!A:B,2,0)</f>
        <v/>
      </c>
      <c r="D11" s="22">
        <f>VLOOKUP(C:C,재고차이!B:C,2,0)</f>
        <v/>
      </c>
      <c r="E11" s="10" t="n">
        <v>14</v>
      </c>
      <c r="F11" s="10" t="n"/>
      <c r="G11" s="185" t="n"/>
      <c r="H11" s="185" t="n"/>
      <c r="I11" s="184" t="n">
        <v>46730</v>
      </c>
      <c r="J11" s="151" t="n"/>
      <c r="K11" s="20">
        <f>+P11</f>
        <v/>
      </c>
      <c r="L11" s="282">
        <f>IF(I11="","",SUMIF(제품등록!B:B,'창고1(실사표)'!C:C,제품등록!F:F))</f>
        <v/>
      </c>
      <c r="M11" s="11">
        <f>IF(I11=0,"",I11-L11)</f>
        <v/>
      </c>
      <c r="N11" s="283">
        <f>IF(L11="","",L11*상미75)</f>
        <v/>
      </c>
      <c r="O11" s="19">
        <f>IF(M11="","",M11+N11)</f>
        <v/>
      </c>
      <c r="P11" s="17">
        <f>IF(O11="","",O11-$I$1)</f>
        <v/>
      </c>
    </row>
    <row r="12" ht="17.25" customHeight="1" s="237">
      <c r="A12" s="10">
        <f>ROW()-2</f>
        <v/>
      </c>
      <c r="B12" s="10" t="n">
        <v>5192</v>
      </c>
      <c r="C12" s="22">
        <f>VLOOKUP(B:B,재고차이!A:B,2,0)</f>
        <v/>
      </c>
      <c r="D12" s="22">
        <f>VLOOKUP(C:C,재고차이!B:C,2,0)</f>
        <v/>
      </c>
      <c r="E12" s="10" t="n">
        <v>17</v>
      </c>
      <c r="F12" s="10" t="n"/>
      <c r="G12" s="185" t="n"/>
      <c r="H12" s="185" t="n"/>
      <c r="I12" s="184" t="n">
        <v>46344</v>
      </c>
      <c r="J12" s="151" t="n"/>
      <c r="K12" s="20">
        <f>+P12</f>
        <v/>
      </c>
      <c r="L12" s="282">
        <f>IF(I12="","",SUMIF(제품등록!B:B,'창고1(실사표)'!C:C,제품등록!F:F))</f>
        <v/>
      </c>
      <c r="M12" s="11">
        <f>IF(I12=0,"",I12-L12)</f>
        <v/>
      </c>
      <c r="N12" s="283">
        <f>IF(L12="","",L12*상미75)</f>
        <v/>
      </c>
      <c r="O12" s="19">
        <f>IF(M12="","",M12+N12)</f>
        <v/>
      </c>
      <c r="P12" s="17">
        <f>IF(O12="","",O12-$I$1)</f>
        <v/>
      </c>
    </row>
    <row r="13" ht="17.25" customHeight="1" s="237">
      <c r="A13" s="10">
        <f>ROW()-2</f>
        <v/>
      </c>
      <c r="B13" s="10" t="n">
        <v>5192</v>
      </c>
      <c r="C13" s="22">
        <f>VLOOKUP(B:B,재고차이!A:B,2,0)</f>
        <v/>
      </c>
      <c r="D13" s="22">
        <f>VLOOKUP(C:C,재고차이!B:C,2,0)</f>
        <v/>
      </c>
      <c r="E13" s="10" t="n">
        <v>4</v>
      </c>
      <c r="F13" s="10" t="n"/>
      <c r="G13" s="185" t="n"/>
      <c r="H13" s="185" t="n"/>
      <c r="I13" s="184" t="n">
        <v>46365</v>
      </c>
      <c r="J13" s="151" t="n"/>
      <c r="K13" s="20">
        <f>+P13</f>
        <v/>
      </c>
      <c r="L13" s="282">
        <f>IF(I13="","",SUMIF(제품등록!B:B,'창고1(실사표)'!C:C,제품등록!F:F))</f>
        <v/>
      </c>
      <c r="M13" s="11">
        <f>IF(I13=0,"",I13-L13)</f>
        <v/>
      </c>
      <c r="N13" s="283">
        <f>IF(L13="","",L13*상미75)</f>
        <v/>
      </c>
      <c r="O13" s="19">
        <f>IF(M13="","",M13+N13)</f>
        <v/>
      </c>
      <c r="P13" s="17">
        <f>IF(O13="","",O13-$I$1)</f>
        <v/>
      </c>
    </row>
    <row r="14" ht="17.25" customHeight="1" s="237">
      <c r="A14" s="10">
        <f>ROW()-2</f>
        <v/>
      </c>
      <c r="B14" s="10" t="n">
        <v>5201</v>
      </c>
      <c r="C14" s="22">
        <f>VLOOKUP(B:B,재고차이!A:B,2,0)</f>
        <v/>
      </c>
      <c r="D14" s="22">
        <f>VLOOKUP(C:C,재고차이!B:C,2,0)</f>
        <v/>
      </c>
      <c r="E14" s="10" t="n">
        <v>1</v>
      </c>
      <c r="F14" s="10" t="n"/>
      <c r="G14" s="185" t="n"/>
      <c r="H14" s="185" t="n"/>
      <c r="I14" s="184" t="n">
        <v>46351</v>
      </c>
      <c r="J14" s="151" t="n"/>
      <c r="K14" s="20">
        <f>+P14</f>
        <v/>
      </c>
      <c r="L14" s="282">
        <f>IF(I14="","",SUMIF(제품등록!B:B,'창고1(실사표)'!C:C,제품등록!F:F))</f>
        <v/>
      </c>
      <c r="M14" s="11">
        <f>IF(I14=0,"",I14-L14)</f>
        <v/>
      </c>
      <c r="N14" s="283">
        <f>IF(L14="","",L14*상미75)</f>
        <v/>
      </c>
      <c r="O14" s="19">
        <f>IF(M14="","",M14+N14)</f>
        <v/>
      </c>
      <c r="P14" s="17">
        <f>IF(O14="","",O14-$I$1)</f>
        <v/>
      </c>
    </row>
    <row r="15" ht="17.25" customHeight="1" s="237">
      <c r="A15" s="10">
        <f>ROW()-2</f>
        <v/>
      </c>
      <c r="B15" s="10" t="n">
        <v>5201</v>
      </c>
      <c r="C15" s="22">
        <f>VLOOKUP(B:B,재고차이!A:B,2,0)</f>
        <v/>
      </c>
      <c r="D15" s="22">
        <f>VLOOKUP(C:C,재고차이!B:C,2,0)</f>
        <v/>
      </c>
      <c r="E15" s="10">
        <f>13+46</f>
        <v/>
      </c>
      <c r="F15" s="10" t="n"/>
      <c r="G15" s="185" t="n"/>
      <c r="H15" s="185" t="n"/>
      <c r="I15" s="184" t="n">
        <v>46358</v>
      </c>
      <c r="J15" s="151" t="n"/>
      <c r="K15" s="20">
        <f>+P15</f>
        <v/>
      </c>
      <c r="L15" s="282">
        <f>IF(I15="","",SUMIF(제품등록!B:B,'창고1(실사표)'!C:C,제품등록!F:F))</f>
        <v/>
      </c>
      <c r="M15" s="11">
        <f>IF(I15=0,"",I15-L15)</f>
        <v/>
      </c>
      <c r="N15" s="283">
        <f>IF(L15="","",L15*상미75)</f>
        <v/>
      </c>
      <c r="O15" s="19">
        <f>IF(M15="","",M15+N15)</f>
        <v/>
      </c>
      <c r="P15" s="17">
        <f>IF(O15="","",O15-$I$1)</f>
        <v/>
      </c>
    </row>
    <row r="16" ht="17.25" customHeight="1" s="237">
      <c r="A16" s="10">
        <f>ROW()-2</f>
        <v/>
      </c>
      <c r="B16" s="10" t="n">
        <v>5748</v>
      </c>
      <c r="C16" s="22">
        <f>VLOOKUP(B:B,재고차이!A:B,2,0)</f>
        <v/>
      </c>
      <c r="D16" s="22">
        <f>VLOOKUP(C:C,재고차이!B:C,2,0)</f>
        <v/>
      </c>
      <c r="E16" s="10" t="n">
        <v>58</v>
      </c>
      <c r="F16" s="10" t="n"/>
      <c r="G16" s="185" t="n"/>
      <c r="H16" s="185" t="n"/>
      <c r="I16" s="184" t="n">
        <v>46333</v>
      </c>
      <c r="J16" s="184" t="n"/>
      <c r="K16" s="20">
        <f>+P16</f>
        <v/>
      </c>
      <c r="L16" s="282">
        <f>IF(I16="","",SUMIF(제품등록!B:B,'창고1(실사표)'!C:C,제품등록!F:F))</f>
        <v/>
      </c>
      <c r="M16" s="11">
        <f>IF(I16=0,"",I16-L16)</f>
        <v/>
      </c>
      <c r="N16" s="283">
        <f>IF(L16="","",L16*상미75)</f>
        <v/>
      </c>
      <c r="O16" s="19">
        <f>IF(M16="","",M16+N16)</f>
        <v/>
      </c>
      <c r="P16" s="17">
        <f>IF(O16="","",O16-$I$1)</f>
        <v/>
      </c>
    </row>
    <row r="17" ht="17.25" customHeight="1" s="237">
      <c r="A17" s="10">
        <f>ROW()-2</f>
        <v/>
      </c>
      <c r="B17" s="10" t="n">
        <v>5782</v>
      </c>
      <c r="C17" s="22">
        <f>VLOOKUP(B:B,재고차이!A:B,2,0)</f>
        <v/>
      </c>
      <c r="D17" s="22">
        <f>VLOOKUP(C:C,재고차이!B:C,2,0)</f>
        <v/>
      </c>
      <c r="E17" s="10" t="n">
        <v>10</v>
      </c>
      <c r="F17" s="10" t="n"/>
      <c r="G17" s="185" t="n"/>
      <c r="H17" s="185" t="n"/>
      <c r="I17" s="184" t="n">
        <v>46343</v>
      </c>
      <c r="J17" s="184" t="n"/>
      <c r="K17" s="20">
        <f>+P17</f>
        <v/>
      </c>
      <c r="L17" s="282">
        <f>IF(I17="","",SUMIF(제품등록!B:B,'창고1(실사표)'!C:C,제품등록!F:F))</f>
        <v/>
      </c>
      <c r="M17" s="11">
        <f>IF(I17=0,"",I17-L17)</f>
        <v/>
      </c>
      <c r="N17" s="283">
        <f>IF(L17="","",L17*상미75)</f>
        <v/>
      </c>
      <c r="O17" s="19">
        <f>IF(M17="","",M17+N17)</f>
        <v/>
      </c>
      <c r="P17" s="17">
        <f>IF(O17="","",O17-$I$1)</f>
        <v/>
      </c>
    </row>
    <row r="18" ht="17.25" customHeight="1" s="237">
      <c r="A18" s="10">
        <f>ROW()-2</f>
        <v/>
      </c>
      <c r="B18" s="10" t="n">
        <v>5782</v>
      </c>
      <c r="C18" s="22">
        <f>VLOOKUP(B:B,재고차이!A:B,2,0)</f>
        <v/>
      </c>
      <c r="D18" s="22">
        <f>VLOOKUP(C:C,재고차이!B:C,2,0)</f>
        <v/>
      </c>
      <c r="E18" s="10" t="n">
        <v>45</v>
      </c>
      <c r="F18" s="10" t="n"/>
      <c r="G18" s="185" t="n"/>
      <c r="H18" s="185" t="n"/>
      <c r="I18" s="184" t="n">
        <v>46352</v>
      </c>
      <c r="J18" s="184" t="n"/>
      <c r="K18" s="20">
        <f>+P18</f>
        <v/>
      </c>
      <c r="L18" s="282">
        <f>IF(I18="","",SUMIF(제품등록!B:B,'창고1(실사표)'!C:C,제품등록!F:F))</f>
        <v/>
      </c>
      <c r="M18" s="11">
        <f>IF(I18=0,"",I18-L18)</f>
        <v/>
      </c>
      <c r="N18" s="283">
        <f>IF(L18="","",L18*상미75)</f>
        <v/>
      </c>
      <c r="O18" s="19">
        <f>IF(M18="","",M18+N18)</f>
        <v/>
      </c>
      <c r="P18" s="17">
        <f>IF(O18="","",O18-$I$1)</f>
        <v/>
      </c>
    </row>
    <row r="19" ht="17.25" customHeight="1" s="237">
      <c r="A19" s="10">
        <f>ROW()-2</f>
        <v/>
      </c>
      <c r="B19" s="10" t="n">
        <v>6103</v>
      </c>
      <c r="C19" s="22">
        <f>VLOOKUP(B:B,재고차이!A:B,2,0)</f>
        <v/>
      </c>
      <c r="D19" s="22">
        <f>VLOOKUP(C:C,재고차이!B:C,2,0)</f>
        <v/>
      </c>
      <c r="E19" s="10" t="n">
        <v>15</v>
      </c>
      <c r="F19" s="10" t="n"/>
      <c r="G19" s="185" t="n"/>
      <c r="H19" s="185" t="n"/>
      <c r="I19" s="184" t="n">
        <v>46252</v>
      </c>
      <c r="J19" s="184" t="n"/>
      <c r="K19" s="20">
        <f>+P19</f>
        <v/>
      </c>
      <c r="L19" s="282">
        <f>IF(I19="","",SUMIF(제품등록!B:B,'창고1(실사표)'!C:C,제품등록!F:F))</f>
        <v/>
      </c>
      <c r="M19" s="11">
        <f>IF(I19=0,"",I19-L19)</f>
        <v/>
      </c>
      <c r="N19" s="283">
        <f>IF(L19="","",L19*상미75)</f>
        <v/>
      </c>
      <c r="O19" s="19">
        <f>IF(M19="","",M19+N19)</f>
        <v/>
      </c>
      <c r="P19" s="17">
        <f>IF(O19="","",O19-$I$1)</f>
        <v/>
      </c>
    </row>
    <row r="20" ht="17.25" customHeight="1" s="237">
      <c r="A20" s="10">
        <f>ROW()-2</f>
        <v/>
      </c>
      <c r="B20" s="10" t="n">
        <v>6277</v>
      </c>
      <c r="C20" s="22">
        <f>VLOOKUP(B:B,재고차이!A:B,2,0)</f>
        <v/>
      </c>
      <c r="D20" s="22">
        <f>VLOOKUP(C:C,재고차이!B:C,2,0)</f>
        <v/>
      </c>
      <c r="E20" s="185">
        <f>40+23</f>
        <v/>
      </c>
      <c r="F20" s="185" t="n"/>
      <c r="G20" s="185" t="n"/>
      <c r="H20" s="185" t="n"/>
      <c r="I20" s="151" t="n">
        <v>46347</v>
      </c>
      <c r="J20" s="151" t="n"/>
      <c r="K20" s="20">
        <f>+P20</f>
        <v/>
      </c>
      <c r="L20" s="282">
        <f>IF(I20="","",SUMIF(제품등록!B:B,'창고1(실사표)'!C:C,제품등록!F:F))</f>
        <v/>
      </c>
      <c r="M20" s="11">
        <f>IF(I20=0,"",I20-L20)</f>
        <v/>
      </c>
      <c r="N20" s="283">
        <f>IF(L20="","",L20*상미75)</f>
        <v/>
      </c>
      <c r="O20" s="19">
        <f>IF(M20="","",M20+N20)</f>
        <v/>
      </c>
      <c r="P20" s="17">
        <f>IF(O20="","",O20-$I$1)</f>
        <v/>
      </c>
    </row>
    <row r="21" ht="17.25" customHeight="1" s="237">
      <c r="A21" s="10">
        <f>ROW()-2</f>
        <v/>
      </c>
      <c r="B21" s="10" t="n">
        <v>6285</v>
      </c>
      <c r="C21" s="22">
        <f>VLOOKUP(B:B,재고차이!A:B,2,0)</f>
        <v/>
      </c>
      <c r="D21" s="22">
        <f>VLOOKUP(C:C,재고차이!B:C,2,0)</f>
        <v/>
      </c>
      <c r="E21" s="10" t="n">
        <v>37</v>
      </c>
      <c r="F21" s="10" t="n"/>
      <c r="G21" s="185" t="n"/>
      <c r="H21" s="185" t="n"/>
      <c r="I21" s="184" t="n">
        <v>46287</v>
      </c>
      <c r="J21" s="151" t="n"/>
      <c r="K21" s="20">
        <f>+P21</f>
        <v/>
      </c>
      <c r="L21" s="282">
        <f>IF(I21="","",SUMIF(제품등록!B:B,'창고1(실사표)'!C:C,제품등록!F:F))</f>
        <v/>
      </c>
      <c r="M21" s="11">
        <f>IF(I21=0,"",I21-L21)</f>
        <v/>
      </c>
      <c r="N21" s="283">
        <f>IF(L21="","",L21*상미75)</f>
        <v/>
      </c>
      <c r="O21" s="19">
        <f>IF(M21="","",M21+N21)</f>
        <v/>
      </c>
      <c r="P21" s="17">
        <f>IF(O21="","",O21-$I$1)</f>
        <v/>
      </c>
    </row>
    <row r="22" ht="17.25" customHeight="1" s="237">
      <c r="A22" s="10">
        <f>ROW()-2</f>
        <v/>
      </c>
      <c r="B22" s="10" t="n">
        <v>6285</v>
      </c>
      <c r="C22" s="22">
        <f>VLOOKUP(B:B,재고차이!A:B,2,0)</f>
        <v/>
      </c>
      <c r="D22" s="22">
        <f>VLOOKUP(C:C,재고차이!B:C,2,0)</f>
        <v/>
      </c>
      <c r="E22" s="10">
        <f>32+21</f>
        <v/>
      </c>
      <c r="F22" s="10" t="n"/>
      <c r="G22" s="185" t="n"/>
      <c r="H22" s="185" t="n"/>
      <c r="I22" s="184" t="n">
        <v>46322</v>
      </c>
      <c r="J22" s="151" t="n"/>
      <c r="K22" s="20">
        <f>+P22</f>
        <v/>
      </c>
      <c r="L22" s="282">
        <f>IF(I22="","",SUMIF(제품등록!B:B,'창고1(실사표)'!C:C,제품등록!F:F))</f>
        <v/>
      </c>
      <c r="M22" s="11">
        <f>IF(I22=0,"",I22-L22)</f>
        <v/>
      </c>
      <c r="N22" s="283">
        <f>IF(L22="","",L22*상미75)</f>
        <v/>
      </c>
      <c r="O22" s="19">
        <f>IF(M22="","",M22+N22)</f>
        <v/>
      </c>
      <c r="P22" s="17">
        <f>IF(O22="","",O22-$I$1)</f>
        <v/>
      </c>
    </row>
    <row r="23" ht="17.25" customHeight="1" s="237">
      <c r="A23" s="10">
        <f>ROW()-2</f>
        <v/>
      </c>
      <c r="B23" s="10" t="n">
        <v>6676</v>
      </c>
      <c r="C23" s="22">
        <f>VLOOKUP(B:B,재고차이!A:B,2,0)</f>
        <v/>
      </c>
      <c r="D23" s="22">
        <f>VLOOKUP(C:C,재고차이!B:C,2,0)</f>
        <v/>
      </c>
      <c r="E23" s="10">
        <f>38+1</f>
        <v/>
      </c>
      <c r="F23" s="10" t="n"/>
      <c r="G23" s="185" t="n"/>
      <c r="H23" s="185" t="n"/>
      <c r="I23" s="184" t="n">
        <v>46358</v>
      </c>
      <c r="J23" s="184" t="n"/>
      <c r="K23" s="20">
        <f>+P23</f>
        <v/>
      </c>
      <c r="L23" s="282">
        <f>IF(I23="","",SUMIF(제품등록!B:B,'창고1(실사표)'!C:C,제품등록!F:F))</f>
        <v/>
      </c>
      <c r="M23" s="11">
        <f>IF(I23=0,"",I23-L23)</f>
        <v/>
      </c>
      <c r="N23" s="283">
        <f>IF(L23="","",L23*상미75)</f>
        <v/>
      </c>
      <c r="O23" s="19">
        <f>IF(M23="","",M23+N23)</f>
        <v/>
      </c>
      <c r="P23" s="17">
        <f>IF(O23="","",O23-$I$1)</f>
        <v/>
      </c>
    </row>
    <row r="24" ht="17.25" customHeight="1" s="237">
      <c r="A24" s="10">
        <f>ROW()-2</f>
        <v/>
      </c>
      <c r="B24" s="10" t="n">
        <v>6676</v>
      </c>
      <c r="C24" s="22">
        <f>VLOOKUP(B:B,재고차이!A:B,2,0)</f>
        <v/>
      </c>
      <c r="D24" s="22">
        <f>VLOOKUP(C:C,재고차이!B:C,2,0)</f>
        <v/>
      </c>
      <c r="E24" s="10">
        <f>32+31+40</f>
        <v/>
      </c>
      <c r="F24" s="10" t="n"/>
      <c r="G24" s="185" t="n"/>
      <c r="H24" s="185" t="n"/>
      <c r="I24" s="184" t="n">
        <v>46366</v>
      </c>
      <c r="J24" s="184" t="n"/>
      <c r="K24" s="20">
        <f>+P24</f>
        <v/>
      </c>
      <c r="L24" s="282">
        <f>IF(I24="","",SUMIF(제품등록!B:B,'창고1(실사표)'!C:C,제품등록!F:F))</f>
        <v/>
      </c>
      <c r="M24" s="11">
        <f>IF(I24=0,"",I24-L24)</f>
        <v/>
      </c>
      <c r="N24" s="283">
        <f>IF(L24="","",L24*상미75)</f>
        <v/>
      </c>
      <c r="O24" s="19">
        <f>IF(M24="","",M24+N24)</f>
        <v/>
      </c>
      <c r="P24" s="17">
        <f>IF(O24="","",O24-$I$1)</f>
        <v/>
      </c>
    </row>
    <row r="25" ht="17.25" customHeight="1" s="237">
      <c r="A25" s="10">
        <f>ROW()-2</f>
        <v/>
      </c>
      <c r="B25" s="10" t="n">
        <v>6871</v>
      </c>
      <c r="C25" s="22">
        <f>VLOOKUP(B:B,재고차이!A:B,2,0)</f>
        <v/>
      </c>
      <c r="D25" s="22">
        <f>VLOOKUP(C:C,재고차이!B:C,2,0)</f>
        <v/>
      </c>
      <c r="E25" s="10">
        <f>19+34+34</f>
        <v/>
      </c>
      <c r="F25" s="10" t="n"/>
      <c r="G25" s="185" t="n"/>
      <c r="H25" s="185" t="n"/>
      <c r="I25" s="184" t="n">
        <v>46358</v>
      </c>
      <c r="J25" s="151" t="n"/>
      <c r="K25" s="20">
        <f>+P25</f>
        <v/>
      </c>
      <c r="L25" s="282">
        <f>IF(I25="","",SUMIF(제품등록!B:B,'창고1(실사표)'!C:C,제품등록!F:F))</f>
        <v/>
      </c>
      <c r="M25" s="11">
        <f>IF(I25=0,"",I25-L25)</f>
        <v/>
      </c>
      <c r="N25" s="283">
        <f>IF(L25="","",L25*상미75)</f>
        <v/>
      </c>
      <c r="O25" s="19">
        <f>IF(M25="","",M25+N25)</f>
        <v/>
      </c>
      <c r="P25" s="17">
        <f>IF(O25="","",O25-$I$1)</f>
        <v/>
      </c>
    </row>
    <row r="26" ht="17.25" customHeight="1" s="237">
      <c r="A26" s="10">
        <f>ROW()-2</f>
        <v/>
      </c>
      <c r="B26" s="10" t="n">
        <v>7923</v>
      </c>
      <c r="C26" s="22">
        <f>VLOOKUP(B:B,재고차이!A:B,2,0)</f>
        <v/>
      </c>
      <c r="D26" s="22">
        <f>VLOOKUP(C:C,재고차이!B:C,2,0)</f>
        <v/>
      </c>
      <c r="E26" s="10">
        <f>40+40+30+1</f>
        <v/>
      </c>
      <c r="F26" s="10" t="n"/>
      <c r="G26" s="185" t="n"/>
      <c r="H26" s="185" t="n"/>
      <c r="I26" s="184" t="n">
        <v>46359</v>
      </c>
      <c r="J26" s="151" t="n"/>
      <c r="K26" s="20">
        <f>+P26</f>
        <v/>
      </c>
      <c r="L26" s="282">
        <f>IF(I26="","",SUMIF(제품등록!B:B,'창고1(실사표)'!C:C,제품등록!F:F))</f>
        <v/>
      </c>
      <c r="M26" s="11">
        <f>IF(I26=0,"",I26-L26)</f>
        <v/>
      </c>
      <c r="N26" s="283">
        <f>IF(L26="","",L26*상미75)</f>
        <v/>
      </c>
      <c r="O26" s="19">
        <f>IF(M26="","",M26+N26)</f>
        <v/>
      </c>
      <c r="P26" s="17">
        <f>IF(O26="","",O26-$I$1)</f>
        <v/>
      </c>
    </row>
    <row r="27" ht="17.25" customHeight="1" s="237">
      <c r="A27" s="10">
        <f>ROW()-2</f>
        <v/>
      </c>
      <c r="B27" s="10" t="n">
        <v>7923</v>
      </c>
      <c r="C27" s="22">
        <f>VLOOKUP(B:B,재고차이!A:B,2,0)</f>
        <v/>
      </c>
      <c r="D27" s="22">
        <f>VLOOKUP(C:C,재고차이!B:C,2,0)</f>
        <v/>
      </c>
      <c r="E27" s="10">
        <f>46+18</f>
        <v/>
      </c>
      <c r="F27" s="10" t="n"/>
      <c r="G27" s="185" t="n"/>
      <c r="H27" s="185" t="n"/>
      <c r="I27" s="184" t="n">
        <v>46367</v>
      </c>
      <c r="J27" s="151" t="n"/>
      <c r="K27" s="20">
        <f>+P27</f>
        <v/>
      </c>
      <c r="L27" s="282">
        <f>IF(I27="","",SUMIF(제품등록!B:B,'창고1(실사표)'!C:C,제품등록!F:F))</f>
        <v/>
      </c>
      <c r="M27" s="11">
        <f>IF(I27=0,"",I27-L27)</f>
        <v/>
      </c>
      <c r="N27" s="283">
        <f>IF(L27="","",L27*상미75)</f>
        <v/>
      </c>
      <c r="O27" s="19">
        <f>IF(M27="","",M27+N27)</f>
        <v/>
      </c>
      <c r="P27" s="17">
        <f>IF(O27="","",O27-$I$1)</f>
        <v/>
      </c>
    </row>
    <row r="28" ht="17.25" customHeight="1" s="237">
      <c r="A28" s="10">
        <f>ROW()-2</f>
        <v/>
      </c>
      <c r="B28" s="10" t="n">
        <v>8058</v>
      </c>
      <c r="C28" s="22">
        <f>VLOOKUP(B:B,재고차이!A:B,2,0)</f>
        <v/>
      </c>
      <c r="D28" s="22">
        <f>VLOOKUP(C:C,재고차이!B:C,2,0)</f>
        <v/>
      </c>
      <c r="E28" s="185" t="n">
        <v>18</v>
      </c>
      <c r="F28" s="185" t="n"/>
      <c r="G28" s="185" t="n"/>
      <c r="H28" s="185" t="n"/>
      <c r="I28" s="151" t="n">
        <v>46309</v>
      </c>
      <c r="J28" s="151" t="n"/>
      <c r="K28" s="20">
        <f>+P28</f>
        <v/>
      </c>
      <c r="L28" s="282">
        <f>IF(I28="","",SUMIF(제품등록!B:B,'창고1(실사표)'!C:C,제품등록!F:F))</f>
        <v/>
      </c>
      <c r="M28" s="11">
        <f>IF(I28=0,"",I28-L28)</f>
        <v/>
      </c>
      <c r="N28" s="283">
        <f>IF(L28="","",L28*상미75)</f>
        <v/>
      </c>
      <c r="O28" s="19">
        <f>IF(M28="","",M28+N28)</f>
        <v/>
      </c>
      <c r="P28" s="17">
        <f>IF(O28="","",O28-$I$1)</f>
        <v/>
      </c>
    </row>
    <row r="29" ht="17.25" customHeight="1" s="237">
      <c r="A29" s="10">
        <f>ROW()-2</f>
        <v/>
      </c>
      <c r="B29" s="10" t="n">
        <v>8058</v>
      </c>
      <c r="C29" s="22">
        <f>VLOOKUP(B:B,재고차이!A:B,2,0)</f>
        <v/>
      </c>
      <c r="D29" s="22">
        <f>VLOOKUP(C:C,재고차이!B:C,2,0)</f>
        <v/>
      </c>
      <c r="E29" s="185" t="n">
        <v>26</v>
      </c>
      <c r="F29" s="185" t="n"/>
      <c r="G29" s="185" t="n"/>
      <c r="H29" s="185" t="n"/>
      <c r="I29" s="151" t="n">
        <v>46324</v>
      </c>
      <c r="J29" s="151" t="n"/>
      <c r="K29" s="20">
        <f>+P29</f>
        <v/>
      </c>
      <c r="L29" s="282">
        <f>IF(I29="","",SUMIF(제품등록!B:B,'창고1(실사표)'!C:C,제품등록!F:F))</f>
        <v/>
      </c>
      <c r="M29" s="11">
        <f>IF(I29=0,"",I29-L29)</f>
        <v/>
      </c>
      <c r="N29" s="283">
        <f>IF(L29="","",L29*상미75)</f>
        <v/>
      </c>
      <c r="O29" s="19">
        <f>IF(M29="","",M29+N29)</f>
        <v/>
      </c>
      <c r="P29" s="17">
        <f>IF(O29="","",O29-$I$1)</f>
        <v/>
      </c>
    </row>
    <row r="30" ht="17.25" customHeight="1" s="237">
      <c r="A30" s="10">
        <f>ROW()-2</f>
        <v/>
      </c>
      <c r="B30" s="10" t="n">
        <v>8058</v>
      </c>
      <c r="C30" s="22">
        <f>VLOOKUP(B:B,재고차이!A:B,2,0)</f>
        <v/>
      </c>
      <c r="D30" s="22">
        <f>VLOOKUP(C:C,재고차이!B:C,2,0)</f>
        <v/>
      </c>
      <c r="E30" s="185" t="n">
        <v>6</v>
      </c>
      <c r="F30" s="185" t="n"/>
      <c r="G30" s="185" t="n"/>
      <c r="H30" s="185" t="n"/>
      <c r="I30" s="151" t="n">
        <v>46350</v>
      </c>
      <c r="J30" s="151" t="n"/>
      <c r="K30" s="20">
        <f>+P30</f>
        <v/>
      </c>
      <c r="L30" s="282">
        <f>IF(I30="","",SUMIF(제품등록!B:B,'창고1(실사표)'!C:C,제품등록!F:F))</f>
        <v/>
      </c>
      <c r="M30" s="11">
        <f>IF(I30=0,"",I30-L30)</f>
        <v/>
      </c>
      <c r="N30" s="283">
        <f>IF(L30="","",L30*상미75)</f>
        <v/>
      </c>
      <c r="O30" s="19">
        <f>IF(M30="","",M30+N30)</f>
        <v/>
      </c>
      <c r="P30" s="17">
        <f>IF(O30="","",O30-$I$1)</f>
        <v/>
      </c>
    </row>
    <row r="31" ht="17.25" customHeight="1" s="237">
      <c r="A31" s="10">
        <f>ROW()-2</f>
        <v/>
      </c>
      <c r="B31" s="10" t="n">
        <v>8065</v>
      </c>
      <c r="C31" s="22">
        <f>VLOOKUP(B:B,재고차이!A:B,2,0)</f>
        <v/>
      </c>
      <c r="D31" s="22">
        <f>VLOOKUP(C:C,재고차이!B:C,2,0)</f>
        <v/>
      </c>
      <c r="E31" s="185" t="n">
        <v>19</v>
      </c>
      <c r="F31" s="185" t="n"/>
      <c r="G31" s="185" t="n"/>
      <c r="H31" s="185" t="n"/>
      <c r="I31" s="151" t="n">
        <v>46328</v>
      </c>
      <c r="J31" s="151" t="n"/>
      <c r="K31" s="20">
        <f>+P31</f>
        <v/>
      </c>
      <c r="L31" s="282">
        <f>IF(I31="","",SUMIF(제품등록!B:B,'창고1(실사표)'!C:C,제품등록!F:F))</f>
        <v/>
      </c>
      <c r="M31" s="11">
        <f>IF(I31=0,"",I31-L31)</f>
        <v/>
      </c>
      <c r="N31" s="283">
        <f>IF(L31="","",L31*상미75)</f>
        <v/>
      </c>
      <c r="O31" s="19">
        <f>IF(M31="","",M31+N31)</f>
        <v/>
      </c>
      <c r="P31" s="17">
        <f>IF(O31="","",O31-$I$1)</f>
        <v/>
      </c>
    </row>
    <row r="32" ht="17.25" customHeight="1" s="237">
      <c r="A32" s="10">
        <f>ROW()-2</f>
        <v/>
      </c>
      <c r="B32" s="10" t="n">
        <v>8065</v>
      </c>
      <c r="C32" s="22">
        <f>VLOOKUP(B:B,재고차이!A:B,2,0)</f>
        <v/>
      </c>
      <c r="D32" s="22">
        <f>VLOOKUP(C:C,재고차이!B:C,2,0)</f>
        <v/>
      </c>
      <c r="E32" s="185">
        <f>58+53</f>
        <v/>
      </c>
      <c r="F32" s="185" t="n"/>
      <c r="G32" s="185" t="n"/>
      <c r="H32" s="185" t="n"/>
      <c r="I32" s="151" t="n">
        <v>46329</v>
      </c>
      <c r="J32" s="151" t="n"/>
      <c r="K32" s="20">
        <f>+P32</f>
        <v/>
      </c>
      <c r="L32" s="282">
        <f>IF(I32="","",SUMIF(제품등록!B:B,'창고1(실사표)'!C:C,제품등록!F:F))</f>
        <v/>
      </c>
      <c r="M32" s="11">
        <f>IF(I32=0,"",I32-L32)</f>
        <v/>
      </c>
      <c r="N32" s="283">
        <f>IF(L32="","",L32*상미75)</f>
        <v/>
      </c>
      <c r="O32" s="19">
        <f>IF(M32="","",M32+N32)</f>
        <v/>
      </c>
      <c r="P32" s="17">
        <f>IF(O32="","",O32-$I$1)</f>
        <v/>
      </c>
    </row>
    <row r="33" ht="17.25" customHeight="1" s="237">
      <c r="A33" s="10">
        <f>ROW()-2</f>
        <v/>
      </c>
      <c r="B33" s="10" t="n">
        <v>8066</v>
      </c>
      <c r="C33" s="22">
        <f>VLOOKUP(B:B,재고차이!A:B,2,0)</f>
        <v/>
      </c>
      <c r="D33" s="22">
        <f>VLOOKUP(C:C,재고차이!B:C,2,0)</f>
        <v/>
      </c>
      <c r="E33" s="185">
        <f>16+52</f>
        <v/>
      </c>
      <c r="F33" s="185" t="n"/>
      <c r="G33" s="185" t="n"/>
      <c r="H33" s="185" t="n"/>
      <c r="I33" s="151" t="n">
        <v>46289</v>
      </c>
      <c r="J33" s="151" t="n"/>
      <c r="K33" s="20">
        <f>+P33</f>
        <v/>
      </c>
      <c r="L33" s="282">
        <f>IF(I33="","",SUMIF(제품등록!B:B,'창고1(실사표)'!C:C,제품등록!F:F))</f>
        <v/>
      </c>
      <c r="M33" s="11">
        <f>IF(I33=0,"",I33-L33)</f>
        <v/>
      </c>
      <c r="N33" s="283">
        <f>IF(L33="","",L33*상미75)</f>
        <v/>
      </c>
      <c r="O33" s="19">
        <f>IF(M33="","",M33+N33)</f>
        <v/>
      </c>
      <c r="P33" s="17">
        <f>IF(O33="","",O33-$I$1)</f>
        <v/>
      </c>
    </row>
    <row r="34" ht="17.25" customHeight="1" s="237">
      <c r="A34" s="10">
        <f>ROW()-2</f>
        <v/>
      </c>
      <c r="B34" s="10" t="n">
        <v>8278</v>
      </c>
      <c r="C34" s="22">
        <f>VLOOKUP(B:B,재고차이!A:B,2,0)</f>
        <v/>
      </c>
      <c r="D34" s="22">
        <f>VLOOKUP(C:C,재고차이!B:C,2,0)</f>
        <v/>
      </c>
      <c r="E34" s="185" t="n">
        <v>22</v>
      </c>
      <c r="F34" s="185" t="n"/>
      <c r="G34" s="185" t="n"/>
      <c r="H34" s="185" t="n"/>
      <c r="I34" s="151" t="n">
        <v>46284</v>
      </c>
      <c r="J34" s="151" t="n"/>
      <c r="K34" s="20">
        <f>+P34</f>
        <v/>
      </c>
      <c r="L34" s="282">
        <f>IF(I34="","",SUMIF(제품등록!B:B,'창고1(실사표)'!C:C,제품등록!F:F))</f>
        <v/>
      </c>
      <c r="M34" s="11">
        <f>IF(I34=0,"",I34-L34)</f>
        <v/>
      </c>
      <c r="N34" s="283">
        <f>IF(L34="","",L34*상미75)</f>
        <v/>
      </c>
      <c r="O34" s="19">
        <f>IF(M34="","",M34+N34)</f>
        <v/>
      </c>
      <c r="P34" s="17">
        <f>IF(O34="","",O34-$I$1)</f>
        <v/>
      </c>
    </row>
    <row r="35" ht="17.25" customHeight="1" s="237">
      <c r="A35" s="10">
        <f>ROW()-2</f>
        <v/>
      </c>
      <c r="B35" s="10" t="n">
        <v>8541</v>
      </c>
      <c r="C35" s="22">
        <f>VLOOKUP(B:B,재고차이!A:B,2,0)</f>
        <v/>
      </c>
      <c r="D35" s="22">
        <f>VLOOKUP(C:C,재고차이!B:C,2,0)</f>
        <v/>
      </c>
      <c r="E35" s="10">
        <f>18+46</f>
        <v/>
      </c>
      <c r="F35" s="10" t="n"/>
      <c r="G35" s="185" t="n"/>
      <c r="H35" s="185" t="n"/>
      <c r="I35" s="184" t="n">
        <v>46351</v>
      </c>
      <c r="J35" s="151" t="n"/>
      <c r="K35" s="20">
        <f>+P35</f>
        <v/>
      </c>
      <c r="L35" s="282">
        <f>IF(I35="","",SUMIF(제품등록!B:B,'창고1(실사표)'!C:C,제품등록!F:F))</f>
        <v/>
      </c>
      <c r="M35" s="11">
        <f>IF(I35=0,"",I35-L35)</f>
        <v/>
      </c>
      <c r="N35" s="283">
        <f>IF(L35="","",L35*상미75)</f>
        <v/>
      </c>
      <c r="O35" s="19">
        <f>IF(M35="","",M35+N35)</f>
        <v/>
      </c>
      <c r="P35" s="17">
        <f>IF(O35="","",O35-$I$1)</f>
        <v/>
      </c>
    </row>
    <row r="36" ht="17.25" customHeight="1" s="237">
      <c r="A36" s="10">
        <f>ROW()-2</f>
        <v/>
      </c>
      <c r="B36" s="10" t="n">
        <v>8561</v>
      </c>
      <c r="C36" s="22">
        <f>VLOOKUP(B:B,재고차이!A:B,2,0)</f>
        <v/>
      </c>
      <c r="D36" s="22">
        <f>VLOOKUP(C:C,재고차이!B:C,2,0)</f>
        <v/>
      </c>
      <c r="E36" s="10">
        <f>26+52</f>
        <v/>
      </c>
      <c r="F36" s="10" t="n"/>
      <c r="G36" s="185" t="n"/>
      <c r="H36" s="185" t="n"/>
      <c r="I36" s="184" t="n">
        <v>46344</v>
      </c>
      <c r="J36" s="184" t="n"/>
      <c r="K36" s="20">
        <f>+P36</f>
        <v/>
      </c>
      <c r="L36" s="282">
        <f>IF(I36="","",SUMIF(제품등록!B:B,'창고1(실사표)'!C:C,제품등록!F:F))</f>
        <v/>
      </c>
      <c r="M36" s="11">
        <f>IF(I36=0,"",I36-L36)</f>
        <v/>
      </c>
      <c r="N36" s="283">
        <f>IF(L36="","",L36*상미75)</f>
        <v/>
      </c>
      <c r="O36" s="19">
        <f>IF(M36="","",M36+N36)</f>
        <v/>
      </c>
      <c r="P36" s="17">
        <f>IF(O36="","",O36-$I$1)</f>
        <v/>
      </c>
    </row>
    <row r="37" ht="17.25" customHeight="1" s="237">
      <c r="A37" s="10">
        <f>ROW()-2</f>
        <v/>
      </c>
      <c r="B37" s="10" t="n">
        <v>8590</v>
      </c>
      <c r="C37" s="22">
        <f>VLOOKUP(B:B,재고차이!A:B,2,0)</f>
        <v/>
      </c>
      <c r="D37" s="22">
        <f>VLOOKUP(C:C,재고차이!B:C,2,0)</f>
        <v/>
      </c>
      <c r="E37" s="10">
        <f>58+9</f>
        <v/>
      </c>
      <c r="F37" s="10" t="n"/>
      <c r="G37" s="185" t="n"/>
      <c r="H37" s="185" t="n"/>
      <c r="I37" s="184" t="n">
        <v>46342</v>
      </c>
      <c r="J37" s="184" t="n"/>
      <c r="K37" s="20">
        <f>+P37</f>
        <v/>
      </c>
      <c r="L37" s="282">
        <f>IF(I37="","",SUMIF(제품등록!B:B,'창고1(실사표)'!C:C,제품등록!F:F))</f>
        <v/>
      </c>
      <c r="M37" s="11">
        <f>IF(I37=0,"",I37-L37)</f>
        <v/>
      </c>
      <c r="N37" s="283">
        <f>IF(L37="","",L37*상미75)</f>
        <v/>
      </c>
      <c r="O37" s="19">
        <f>IF(M37="","",M37+N37)</f>
        <v/>
      </c>
      <c r="P37" s="17">
        <f>IF(O37="","",O37-$I$1)</f>
        <v/>
      </c>
    </row>
    <row r="38" ht="17.25" customHeight="1" s="237">
      <c r="A38" s="10">
        <f>ROW()-2</f>
        <v/>
      </c>
      <c r="B38" s="10" t="inlineStr">
        <is>
          <t>PA0002</t>
        </is>
      </c>
      <c r="C38" s="22">
        <f>VLOOKUP(B:B,재고차이!A:B,2,0)</f>
        <v/>
      </c>
      <c r="D38" s="22">
        <f>VLOOKUP(C:C,재고차이!B:C,2,0)</f>
        <v/>
      </c>
      <c r="E38" s="10" t="n">
        <v>16</v>
      </c>
      <c r="F38" s="10" t="n"/>
      <c r="G38" s="185" t="n"/>
      <c r="H38" s="185" t="n"/>
      <c r="I38" s="184" t="n">
        <v>46348</v>
      </c>
      <c r="J38" s="151" t="n"/>
      <c r="K38" s="20">
        <f>+P38</f>
        <v/>
      </c>
      <c r="L38" s="282">
        <f>IF(I38="","",SUMIF(제품등록!B:B,'창고1(실사표)'!C:C,제품등록!F:F))</f>
        <v/>
      </c>
      <c r="M38" s="11">
        <f>IF(I38=0,"",I38-L38)</f>
        <v/>
      </c>
      <c r="N38" s="283">
        <f>IF(L38="","",L38*상미75)</f>
        <v/>
      </c>
      <c r="O38" s="19">
        <f>IF(M38="","",M38+N38)</f>
        <v/>
      </c>
      <c r="P38" s="17">
        <f>IF(O38="","",O38-$I$1)</f>
        <v/>
      </c>
    </row>
  </sheetData>
  <autoFilter ref="A2:P2">
    <sortState ref="A3:P31">
      <sortCondition ref="B2"/>
    </sortState>
  </autoFilter>
  <conditionalFormatting sqref="K1:K1048576 P3:P38">
    <cfRule type="cellIs" priority="1" operator="lessThan" dxfId="0">
      <formula>0</formula>
    </cfRule>
  </conditionalFormatting>
  <pageMargins left="0.1968503937007874" right="0" top="0.7874015748031497" bottom="0" header="0.3149606299212598" footer="0.3149606299212598"/>
  <pageSetup orientation="portrait" paperSize="9" scale="62" cellComments="asDisplayed"/>
  <colBreaks count="1" manualBreakCount="1">
    <brk id="11" min="0" max="1048575" man="1"/>
  </colBreaks>
</worksheet>
</file>

<file path=xl/worksheets/sheet5.xml><?xml version="1.0" encoding="utf-8"?>
<worksheet xmlns="http://schemas.openxmlformats.org/spreadsheetml/2006/main">
  <sheetPr codeName="Sheet5">
    <tabColor rgb="FFFF0000"/>
    <outlinePr summaryBelow="1" summaryRight="1"/>
    <pageSetUpPr/>
  </sheetPr>
  <dimension ref="A1:P48"/>
  <sheetViews>
    <sheetView zoomScaleNormal="100" workbookViewId="0">
      <pane ySplit="2" topLeftCell="A3" activePane="bottomLeft" state="frozen"/>
      <selection activeCell="E32" sqref="E32"/>
      <selection pane="bottomLeft" activeCell="A3" sqref="A3"/>
    </sheetView>
  </sheetViews>
  <sheetFormatPr baseColWidth="8" defaultRowHeight="16.5"/>
  <cols>
    <col width="5.75" customWidth="1" style="5" min="1" max="1"/>
    <col width="9.125" bestFit="1" customWidth="1" style="5" min="2" max="2"/>
    <col width="11.25" customWidth="1" style="5" min="3" max="3"/>
    <col width="38.125" customWidth="1" style="5" min="4" max="4"/>
    <col width="11.375" customWidth="1" style="5" min="5" max="5"/>
    <col hidden="1" width="11.375" customWidth="1" style="5" min="6" max="7"/>
    <col hidden="1" width="13.5" customWidth="1" style="5" min="8" max="8"/>
    <col width="13" customWidth="1" style="5" min="9" max="9"/>
    <col width="41.5" customWidth="1" style="5" min="10" max="10"/>
    <col width="14.75" customWidth="1" style="5" min="11" max="11"/>
    <col hidden="1" width="10.375" customWidth="1" style="280" min="12" max="12"/>
    <col hidden="1" width="12.375" customWidth="1" style="5" min="13" max="13"/>
    <col hidden="1" width="11" customWidth="1" style="5" min="14" max="14"/>
    <col hidden="1" width="12.75" customWidth="1" style="5" min="15" max="15"/>
    <col hidden="1" width="13.25" customWidth="1" style="5" min="16" max="16"/>
    <col width="9" customWidth="1" style="5" min="17" max="17"/>
    <col width="9" customWidth="1" style="5" min="18" max="16384"/>
  </cols>
  <sheetData>
    <row r="1" ht="24" customHeight="1" s="237">
      <c r="C1" s="15" t="n"/>
      <c r="D1" s="15" t="n"/>
      <c r="H1" s="5" t="inlineStr">
        <is>
          <t>조사일</t>
        </is>
      </c>
      <c r="I1" s="11">
        <f>TODAY()</f>
        <v/>
      </c>
      <c r="J1" s="11" t="n"/>
      <c r="L1" s="281" t="inlineStr">
        <is>
          <t>중요</t>
        </is>
      </c>
      <c r="N1" s="14" t="n"/>
    </row>
    <row r="2" ht="33" customHeight="1" s="237">
      <c r="A2" s="86" t="n"/>
      <c r="B2" s="86" t="inlineStr">
        <is>
          <t>제품코드</t>
        </is>
      </c>
      <c r="C2" s="86" t="inlineStr">
        <is>
          <t>SAP코드</t>
        </is>
      </c>
      <c r="D2" s="86" t="inlineStr">
        <is>
          <t>Brand Name</t>
        </is>
      </c>
      <c r="E2" s="86" t="inlineStr">
        <is>
          <t>아주</t>
        </is>
      </c>
      <c r="F2" s="86" t="inlineStr">
        <is>
          <t>940P</t>
        </is>
      </c>
      <c r="G2" s="86" t="inlineStr">
        <is>
          <t>잔량</t>
        </is>
      </c>
      <c r="H2" s="87" t="inlineStr">
        <is>
          <t>보류재고</t>
        </is>
      </c>
      <c r="I2" s="86" t="inlineStr">
        <is>
          <t>소비기한</t>
        </is>
      </c>
      <c r="J2" s="86" t="inlineStr">
        <is>
          <t>홀딩테그</t>
        </is>
      </c>
      <c r="K2" s="88" t="inlineStr">
        <is>
          <t>75% 사용가능</t>
        </is>
      </c>
      <c r="L2" s="284" t="inlineStr">
        <is>
          <t>소비기한</t>
        </is>
      </c>
      <c r="M2" s="5" t="inlineStr">
        <is>
          <t>생산일자</t>
        </is>
      </c>
      <c r="N2" s="89" t="n">
        <v>0.75</v>
      </c>
      <c r="O2" s="17" t="inlineStr">
        <is>
          <t>사용가능</t>
        </is>
      </c>
      <c r="P2" s="90" t="inlineStr">
        <is>
          <t>사용가능일수       75%</t>
        </is>
      </c>
    </row>
    <row r="3" ht="17.25" customHeight="1" s="237">
      <c r="A3" s="10">
        <f>ROW()-2</f>
        <v/>
      </c>
      <c r="B3" s="10" t="n">
        <v>1000</v>
      </c>
      <c r="C3" s="22">
        <f>VLOOKUP(B:B,재고차이!A:B,2,0)</f>
        <v/>
      </c>
      <c r="D3" s="22">
        <f>VLOOKUP(C:C,재고차이!B:C,2,0)</f>
        <v/>
      </c>
      <c r="E3" s="185" t="n">
        <v>1</v>
      </c>
      <c r="F3" s="185" t="n"/>
      <c r="G3" s="185" t="n"/>
      <c r="H3" s="185" t="n"/>
      <c r="I3" s="151" t="n">
        <v>46330</v>
      </c>
      <c r="J3" s="184" t="n"/>
      <c r="K3" s="20">
        <f>+P3</f>
        <v/>
      </c>
      <c r="L3" s="282">
        <f>IF(I3="","",SUMIF(제품등록!B:B,'창고2(실사표)'!C:C,제품등록!F:F))</f>
        <v/>
      </c>
      <c r="M3" s="11">
        <f>IF(I3=0,"",I3-L3)</f>
        <v/>
      </c>
      <c r="N3" s="283">
        <f>IF(M3="","",L3*상미75)</f>
        <v/>
      </c>
      <c r="O3" s="19">
        <f>IF(N3="","",M3+N3)</f>
        <v/>
      </c>
      <c r="P3" s="17">
        <f>IF(O3="","",O3-$I$1)</f>
        <v/>
      </c>
    </row>
    <row r="4" ht="17.25" customHeight="1" s="237">
      <c r="A4" s="10">
        <f>ROW()-2</f>
        <v/>
      </c>
      <c r="B4" s="10" t="n">
        <v>1000</v>
      </c>
      <c r="C4" s="22">
        <f>VLOOKUP(B:B,재고차이!A:B,2,0)</f>
        <v/>
      </c>
      <c r="D4" s="22">
        <f>VLOOKUP(C:C,재고차이!B:C,2,0)</f>
        <v/>
      </c>
      <c r="E4" s="185" t="n">
        <v>16</v>
      </c>
      <c r="F4" s="185" t="n"/>
      <c r="G4" s="185" t="n"/>
      <c r="H4" s="185" t="n"/>
      <c r="I4" s="151" t="n">
        <v>46364</v>
      </c>
      <c r="J4" s="184" t="n"/>
      <c r="K4" s="20">
        <f>+P4</f>
        <v/>
      </c>
      <c r="L4" s="282">
        <f>IF(I4="","",SUMIF(제품등록!B:B,'창고2(실사표)'!C:C,제품등록!F:F))</f>
        <v/>
      </c>
      <c r="M4" s="11">
        <f>IF(I4=0,"",I4-L4)</f>
        <v/>
      </c>
      <c r="N4" s="283">
        <f>IF(M4="","",L4*상미75)</f>
        <v/>
      </c>
      <c r="O4" s="19">
        <f>IF(N4="","",M4+N4)</f>
        <v/>
      </c>
      <c r="P4" s="17">
        <f>IF(O4="","",O4-$I$1)</f>
        <v/>
      </c>
    </row>
    <row r="5" ht="17.25" customHeight="1" s="237">
      <c r="A5" s="10">
        <f>ROW()-2</f>
        <v/>
      </c>
      <c r="B5" s="10" t="n">
        <v>1001</v>
      </c>
      <c r="C5" s="22">
        <f>VLOOKUP(B:B,재고차이!A:B,2,0)</f>
        <v/>
      </c>
      <c r="D5" s="22">
        <f>VLOOKUP(C:C,재고차이!B:C,2,0)</f>
        <v/>
      </c>
      <c r="E5" s="185" t="n">
        <v>1</v>
      </c>
      <c r="F5" s="185" t="n"/>
      <c r="G5" s="185" t="n"/>
      <c r="H5" s="185" t="n"/>
      <c r="I5" s="151" t="n">
        <v>46354</v>
      </c>
      <c r="J5" s="184" t="n"/>
      <c r="K5" s="20">
        <f>+P5</f>
        <v/>
      </c>
      <c r="L5" s="282">
        <f>IF(I5="","",SUMIF(제품등록!B:B,'창고2(실사표)'!C:C,제품등록!F:F))</f>
        <v/>
      </c>
      <c r="M5" s="11">
        <f>IF(I5=0,"",I5-L5)</f>
        <v/>
      </c>
      <c r="N5" s="283">
        <f>IF(M5="","",L5*상미75)</f>
        <v/>
      </c>
      <c r="O5" s="19">
        <f>IF(N5="","",M5+N5)</f>
        <v/>
      </c>
      <c r="P5" s="17">
        <f>IF(O5="","",O5-$I$1)</f>
        <v/>
      </c>
    </row>
    <row r="6" ht="17.25" customHeight="1" s="237">
      <c r="A6" s="10">
        <f>ROW()-2</f>
        <v/>
      </c>
      <c r="B6" s="10" t="n">
        <v>1002</v>
      </c>
      <c r="C6" s="22">
        <f>VLOOKUP(B:B,재고차이!A:B,2,0)</f>
        <v/>
      </c>
      <c r="D6" s="22">
        <f>VLOOKUP(C:C,재고차이!B:C,2,0)</f>
        <v/>
      </c>
      <c r="E6" s="185" t="n">
        <v>7</v>
      </c>
      <c r="F6" s="185" t="n"/>
      <c r="G6" s="185" t="n"/>
      <c r="H6" s="185" t="n"/>
      <c r="I6" s="151" t="n">
        <v>46251</v>
      </c>
      <c r="J6" s="184" t="n"/>
      <c r="K6" s="20">
        <f>+P6</f>
        <v/>
      </c>
      <c r="L6" s="282">
        <f>IF(I6="","",SUMIF(제품등록!B:B,'창고2(실사표)'!C:C,제품등록!F:F))</f>
        <v/>
      </c>
      <c r="M6" s="11">
        <f>IF(I6=0,"",I6-L6)</f>
        <v/>
      </c>
      <c r="N6" s="283">
        <f>IF(M6="","",L6*상미75)</f>
        <v/>
      </c>
      <c r="O6" s="19">
        <f>IF(N6="","",M6+N6)</f>
        <v/>
      </c>
      <c r="P6" s="17">
        <f>IF(O6="","",O6-$I$1)</f>
        <v/>
      </c>
    </row>
    <row r="7" ht="17.25" customHeight="1" s="237">
      <c r="A7" s="10">
        <f>ROW()-2</f>
        <v/>
      </c>
      <c r="B7" s="10" t="n">
        <v>2531</v>
      </c>
      <c r="C7" s="22">
        <f>VLOOKUP(B:B,재고차이!A:B,2,0)</f>
        <v/>
      </c>
      <c r="D7" s="22">
        <f>VLOOKUP(C:C,재고차이!B:C,2,0)</f>
        <v/>
      </c>
      <c r="E7" s="185" t="n">
        <v>34</v>
      </c>
      <c r="F7" s="185" t="n"/>
      <c r="G7" s="185" t="n"/>
      <c r="H7" s="185" t="n"/>
      <c r="I7" s="151" t="n">
        <v>46682</v>
      </c>
      <c r="J7" s="151" t="n"/>
      <c r="K7" s="20">
        <f>+P7</f>
        <v/>
      </c>
      <c r="L7" s="282">
        <f>IF(I7="","",SUMIF(제품등록!B:B,'창고2(실사표)'!C:C,제품등록!F:F))</f>
        <v/>
      </c>
      <c r="M7" s="11">
        <f>IF(I7=0,"",I7-L7)</f>
        <v/>
      </c>
      <c r="N7" s="283">
        <f>IF(M7="","",L7*상미75)</f>
        <v/>
      </c>
      <c r="O7" s="19">
        <f>IF(N7="","",M7+N7)</f>
        <v/>
      </c>
      <c r="P7" s="17">
        <f>IF(O7="","",O7-$I$1)</f>
        <v/>
      </c>
    </row>
    <row r="8" ht="17.25" customHeight="1" s="237">
      <c r="A8" s="10">
        <f>ROW()-2</f>
        <v/>
      </c>
      <c r="B8" s="10" t="n">
        <v>2825</v>
      </c>
      <c r="C8" s="22">
        <f>VLOOKUP(B:B,재고차이!A:B,2,0)</f>
        <v/>
      </c>
      <c r="D8" s="22">
        <f>VLOOKUP(C:C,재고차이!B:C,2,0)</f>
        <v/>
      </c>
      <c r="E8" s="185" t="n">
        <v>12</v>
      </c>
      <c r="F8" s="185" t="n"/>
      <c r="G8" s="185" t="n"/>
      <c r="H8" s="185" t="n"/>
      <c r="I8" s="151" t="n">
        <v>46270</v>
      </c>
      <c r="J8" s="184" t="n"/>
      <c r="K8" s="20">
        <f>+P8</f>
        <v/>
      </c>
      <c r="L8" s="282">
        <f>IF(I8="","",SUMIF(제품등록!B:B,'창고2(실사표)'!C:C,제품등록!F:F))</f>
        <v/>
      </c>
      <c r="M8" s="11">
        <f>IF(I8=0,"",I8-L8)</f>
        <v/>
      </c>
      <c r="N8" s="283">
        <f>IF(M8="","",L8*상미75)</f>
        <v/>
      </c>
      <c r="O8" s="19">
        <f>IF(N8="","",M8+N8)</f>
        <v/>
      </c>
      <c r="P8" s="17">
        <f>IF(O8="","",O8-$I$1)</f>
        <v/>
      </c>
    </row>
    <row r="9" ht="17.25" customHeight="1" s="237">
      <c r="A9" s="10">
        <f>ROW()-2</f>
        <v/>
      </c>
      <c r="B9" s="10" t="n">
        <v>2825</v>
      </c>
      <c r="C9" s="22">
        <f>VLOOKUP(B:B,재고차이!A:B,2,0)</f>
        <v/>
      </c>
      <c r="D9" s="22">
        <f>VLOOKUP(C:C,재고차이!B:C,2,0)</f>
        <v/>
      </c>
      <c r="E9" s="185" t="n">
        <v>10</v>
      </c>
      <c r="F9" s="185" t="n"/>
      <c r="G9" s="185" t="n"/>
      <c r="H9" s="185" t="n"/>
      <c r="I9" s="151" t="n">
        <v>46282</v>
      </c>
      <c r="J9" s="184" t="n"/>
      <c r="K9" s="20">
        <f>+P9</f>
        <v/>
      </c>
      <c r="L9" s="282">
        <f>IF(I9="","",SUMIF(제품등록!B:B,'창고2(실사표)'!C:C,제품등록!F:F))</f>
        <v/>
      </c>
      <c r="M9" s="11">
        <f>IF(I9=0,"",I9-L9)</f>
        <v/>
      </c>
      <c r="N9" s="283">
        <f>IF(M9="","",L9*상미75)</f>
        <v/>
      </c>
      <c r="O9" s="19">
        <f>IF(N9="","",M9+N9)</f>
        <v/>
      </c>
      <c r="P9" s="17">
        <f>IF(O9="","",O9-$I$1)</f>
        <v/>
      </c>
    </row>
    <row r="10" ht="17.25" customHeight="1" s="237">
      <c r="A10" s="10">
        <f>ROW()-2</f>
        <v/>
      </c>
      <c r="B10" s="10" t="n">
        <v>2826</v>
      </c>
      <c r="C10" s="22">
        <f>VLOOKUP(B:B,재고차이!A:B,2,0)</f>
        <v/>
      </c>
      <c r="D10" s="22">
        <f>VLOOKUP(C:C,재고차이!B:C,2,0)</f>
        <v/>
      </c>
      <c r="E10" s="185" t="n">
        <v>6</v>
      </c>
      <c r="F10" s="185" t="n"/>
      <c r="G10" s="185" t="n"/>
      <c r="H10" s="185" t="n"/>
      <c r="I10" s="151" t="n">
        <v>46270</v>
      </c>
      <c r="J10" s="184" t="n"/>
      <c r="K10" s="20">
        <f>+P10</f>
        <v/>
      </c>
      <c r="L10" s="282">
        <f>IF(I10="","",SUMIF(제품등록!B:B,'창고2(실사표)'!C:C,제품등록!F:F))</f>
        <v/>
      </c>
      <c r="M10" s="11">
        <f>IF(I10=0,"",I10-L10)</f>
        <v/>
      </c>
      <c r="N10" s="283">
        <f>IF(M10="","",L10*상미75)</f>
        <v/>
      </c>
      <c r="O10" s="19">
        <f>IF(N10="","",M10+N10)</f>
        <v/>
      </c>
      <c r="P10" s="17">
        <f>IF(O10="","",O10-$I$1)</f>
        <v/>
      </c>
    </row>
    <row r="11" ht="17.25" customHeight="1" s="237">
      <c r="A11" s="10">
        <f>ROW()-2</f>
        <v/>
      </c>
      <c r="B11" s="10" t="n">
        <v>4112</v>
      </c>
      <c r="C11" s="22">
        <f>VLOOKUP(B:B,재고차이!A:B,2,0)</f>
        <v/>
      </c>
      <c r="D11" s="22">
        <f>VLOOKUP(C:C,재고차이!B:C,2,0)</f>
        <v/>
      </c>
      <c r="E11" s="185" t="n">
        <v>1</v>
      </c>
      <c r="F11" s="185" t="n"/>
      <c r="G11" s="185" t="n"/>
      <c r="H11" s="185" t="n"/>
      <c r="I11" s="151" t="n">
        <v>46324</v>
      </c>
      <c r="J11" s="184" t="n"/>
      <c r="K11" s="20">
        <f>+P11</f>
        <v/>
      </c>
      <c r="L11" s="282">
        <f>IF(I11="","",SUMIF(제품등록!B:B,'창고2(실사표)'!C:C,제품등록!F:F))</f>
        <v/>
      </c>
      <c r="M11" s="11">
        <f>IF(I11=0,"",I11-L11)</f>
        <v/>
      </c>
      <c r="N11" s="283">
        <f>IF(M11="","",L11*상미75)</f>
        <v/>
      </c>
      <c r="O11" s="19">
        <f>IF(N11="","",M11+N11)</f>
        <v/>
      </c>
      <c r="P11" s="17">
        <f>IF(O11="","",O11-$I$1)</f>
        <v/>
      </c>
    </row>
    <row r="12" ht="17.25" customHeight="1" s="237">
      <c r="A12" s="10">
        <f>ROW()-2</f>
        <v/>
      </c>
      <c r="B12" s="10" t="n">
        <v>4125</v>
      </c>
      <c r="C12" s="22">
        <f>VLOOKUP(B:B,재고차이!A:B,2,0)</f>
        <v/>
      </c>
      <c r="D12" s="22">
        <f>VLOOKUP(C:C,재고차이!B:C,2,0)</f>
        <v/>
      </c>
      <c r="E12" s="185" t="n">
        <v>1</v>
      </c>
      <c r="F12" s="185" t="n"/>
      <c r="G12" s="185" t="n"/>
      <c r="H12" s="185" t="n"/>
      <c r="I12" s="151" t="n">
        <v>46674</v>
      </c>
      <c r="J12" s="184" t="n"/>
      <c r="K12" s="20">
        <f>+P12</f>
        <v/>
      </c>
      <c r="L12" s="282">
        <f>IF(I12="","",SUMIF(제품등록!B:B,'창고2(실사표)'!C:C,제품등록!F:F))</f>
        <v/>
      </c>
      <c r="M12" s="11">
        <f>IF(I12=0,"",I12-L12)</f>
        <v/>
      </c>
      <c r="N12" s="283">
        <f>IF(M12="","",L12*상미75)</f>
        <v/>
      </c>
      <c r="O12" s="19">
        <f>IF(N12="","",M12+N12)</f>
        <v/>
      </c>
      <c r="P12" s="17">
        <f>IF(O12="","",O12-$I$1)</f>
        <v/>
      </c>
    </row>
    <row r="13" ht="17.25" customHeight="1" s="237">
      <c r="A13" s="10">
        <f>ROW()-2</f>
        <v/>
      </c>
      <c r="B13" s="10" t="n">
        <v>4125</v>
      </c>
      <c r="C13" s="22">
        <f>VLOOKUP(B:B,재고차이!A:B,2,0)</f>
        <v/>
      </c>
      <c r="D13" s="22">
        <f>VLOOKUP(C:C,재고차이!B:C,2,0)</f>
        <v/>
      </c>
      <c r="E13" s="185" t="n">
        <v>4</v>
      </c>
      <c r="F13" s="185" t="n"/>
      <c r="G13" s="185" t="n"/>
      <c r="H13" s="185" t="n"/>
      <c r="I13" s="151" t="n">
        <v>46697</v>
      </c>
      <c r="J13" s="184" t="n"/>
      <c r="K13" s="20">
        <f>+P13</f>
        <v/>
      </c>
      <c r="L13" s="282">
        <f>IF(I13="","",SUMIF(제품등록!B:B,'창고2(실사표)'!C:C,제품등록!F:F))</f>
        <v/>
      </c>
      <c r="M13" s="11">
        <f>IF(I13=0,"",I13-L13)</f>
        <v/>
      </c>
      <c r="N13" s="283">
        <f>IF(M13="","",L13*상미75)</f>
        <v/>
      </c>
      <c r="O13" s="19">
        <f>IF(N13="","",M13+N13)</f>
        <v/>
      </c>
      <c r="P13" s="17">
        <f>IF(O13="","",O13-$I$1)</f>
        <v/>
      </c>
    </row>
    <row r="14" ht="17.25" customHeight="1" s="237">
      <c r="A14" s="10">
        <f>ROW()-2</f>
        <v/>
      </c>
      <c r="B14" s="10" t="n">
        <v>4259</v>
      </c>
      <c r="C14" s="22">
        <f>VLOOKUP(B:B,재고차이!A:B,2,0)</f>
        <v/>
      </c>
      <c r="D14" s="22">
        <f>VLOOKUP(C:C,재고차이!B:C,2,0)</f>
        <v/>
      </c>
      <c r="E14" s="185" t="n">
        <v>6</v>
      </c>
      <c r="F14" s="185" t="n"/>
      <c r="G14" s="185" t="n"/>
      <c r="H14" s="185" t="n"/>
      <c r="I14" s="151" t="n">
        <v>46675</v>
      </c>
      <c r="J14" s="184" t="n"/>
      <c r="K14" s="20">
        <f>+P14</f>
        <v/>
      </c>
      <c r="L14" s="282">
        <f>IF(I14="","",SUMIF(제품등록!B:B,'창고2(실사표)'!C:C,제품등록!F:F))</f>
        <v/>
      </c>
      <c r="M14" s="11">
        <f>IF(I14=0,"",I14-L14)</f>
        <v/>
      </c>
      <c r="N14" s="283">
        <f>IF(M14="","",L14*상미75)</f>
        <v/>
      </c>
      <c r="O14" s="19">
        <f>IF(N14="","",M14+N14)</f>
        <v/>
      </c>
      <c r="P14" s="17">
        <f>IF(O14="","",O14-$I$1)</f>
        <v/>
      </c>
    </row>
    <row r="15" ht="17.25" customHeight="1" s="237">
      <c r="A15" s="10">
        <f>ROW()-2</f>
        <v/>
      </c>
      <c r="B15" s="10" t="n">
        <v>4259</v>
      </c>
      <c r="C15" s="22">
        <f>VLOOKUP(B:B,재고차이!A:B,2,0)</f>
        <v/>
      </c>
      <c r="D15" s="22">
        <f>VLOOKUP(C:C,재고차이!B:C,2,0)</f>
        <v/>
      </c>
      <c r="E15" s="185" t="n">
        <v>3</v>
      </c>
      <c r="F15" s="185" t="n"/>
      <c r="G15" s="185" t="n"/>
      <c r="H15" s="185" t="n"/>
      <c r="I15" s="151" t="n">
        <v>46676</v>
      </c>
      <c r="J15" s="184" t="n"/>
      <c r="K15" s="20">
        <f>+P15</f>
        <v/>
      </c>
      <c r="L15" s="282">
        <f>IF(I15="","",SUMIF(제품등록!B:B,'창고2(실사표)'!C:C,제품등록!F:F))</f>
        <v/>
      </c>
      <c r="M15" s="11">
        <f>IF(I15=0,"",I15-L15)</f>
        <v/>
      </c>
      <c r="N15" s="283">
        <f>IF(M15="","",L15*상미75)</f>
        <v/>
      </c>
      <c r="O15" s="19">
        <f>IF(N15="","",M15+N15)</f>
        <v/>
      </c>
      <c r="P15" s="17">
        <f>IF(O15="","",O15-$I$1)</f>
        <v/>
      </c>
    </row>
    <row r="16" ht="17.25" customHeight="1" s="237">
      <c r="A16" s="10">
        <f>ROW()-2</f>
        <v/>
      </c>
      <c r="B16" s="10" t="n">
        <v>4281</v>
      </c>
      <c r="C16" s="22">
        <f>VLOOKUP(B:B,재고차이!A:B,2,0)</f>
        <v/>
      </c>
      <c r="D16" s="22">
        <f>VLOOKUP(C:C,재고차이!B:C,2,0)</f>
        <v/>
      </c>
      <c r="E16" s="185" t="n">
        <v>1</v>
      </c>
      <c r="F16" s="185" t="n"/>
      <c r="G16" s="185" t="n"/>
      <c r="H16" s="185" t="n"/>
      <c r="I16" s="151" t="n">
        <v>46297</v>
      </c>
      <c r="J16" s="184" t="n"/>
      <c r="K16" s="20">
        <f>+P16</f>
        <v/>
      </c>
      <c r="L16" s="282">
        <f>IF(I16="","",SUMIF(제품등록!B:B,'창고2(실사표)'!C:C,제품등록!F:F))</f>
        <v/>
      </c>
      <c r="M16" s="11">
        <f>IF(I16=0,"",I16-L16)</f>
        <v/>
      </c>
      <c r="N16" s="283">
        <f>IF(M16="","",L16*상미75)</f>
        <v/>
      </c>
      <c r="O16" s="19">
        <f>IF(N16="","",M16+N16)</f>
        <v/>
      </c>
      <c r="P16" s="17">
        <f>IF(O16="","",O16-$I$1)</f>
        <v/>
      </c>
    </row>
    <row r="17" ht="17.25" customHeight="1" s="237">
      <c r="A17" s="10">
        <f>ROW()-2</f>
        <v/>
      </c>
      <c r="B17" s="10" t="n">
        <v>4281</v>
      </c>
      <c r="C17" s="22">
        <f>VLOOKUP(B:B,재고차이!A:B,2,0)</f>
        <v/>
      </c>
      <c r="D17" s="22">
        <f>VLOOKUP(C:C,재고차이!B:C,2,0)</f>
        <v/>
      </c>
      <c r="E17" s="185" t="n">
        <v>2</v>
      </c>
      <c r="F17" s="185" t="n"/>
      <c r="G17" s="185" t="n"/>
      <c r="H17" s="185" t="n"/>
      <c r="I17" s="151" t="n">
        <v>46339</v>
      </c>
      <c r="J17" s="184" t="n"/>
      <c r="K17" s="20">
        <f>+P17</f>
        <v/>
      </c>
      <c r="L17" s="282">
        <f>IF(I17="","",SUMIF(제품등록!B:B,'창고2(실사표)'!C:C,제품등록!F:F))</f>
        <v/>
      </c>
      <c r="M17" s="11">
        <f>IF(I17=0,"",I17-L17)</f>
        <v/>
      </c>
      <c r="N17" s="283">
        <f>IF(M17="","",L17*상미75)</f>
        <v/>
      </c>
      <c r="O17" s="19">
        <f>IF(N17="","",M17+N17)</f>
        <v/>
      </c>
      <c r="P17" s="17">
        <f>IF(O17="","",O17-$I$1)</f>
        <v/>
      </c>
    </row>
    <row r="18" ht="17.25" customHeight="1" s="237">
      <c r="A18" s="10">
        <f>ROW()-2</f>
        <v/>
      </c>
      <c r="B18" s="10" t="n">
        <v>4290</v>
      </c>
      <c r="C18" s="22">
        <f>VLOOKUP(B:B,재고차이!A:B,2,0)</f>
        <v/>
      </c>
      <c r="D18" s="22">
        <f>VLOOKUP(C:C,재고차이!B:C,2,0)</f>
        <v/>
      </c>
      <c r="E18" s="185" t="n">
        <v>10</v>
      </c>
      <c r="F18" s="185" t="n"/>
      <c r="G18" s="185" t="n"/>
      <c r="H18" s="185" t="n"/>
      <c r="I18" s="151" t="n">
        <v>46349</v>
      </c>
      <c r="J18" s="184" t="n"/>
      <c r="K18" s="20">
        <f>+P18</f>
        <v/>
      </c>
      <c r="L18" s="282">
        <f>IF(I18="","",SUMIF(제품등록!B:B,'창고2(실사표)'!C:C,제품등록!F:F))</f>
        <v/>
      </c>
      <c r="M18" s="11">
        <f>IF(I18=0,"",I18-L18)</f>
        <v/>
      </c>
      <c r="N18" s="283">
        <f>IF(M18="","",L18*상미75)</f>
        <v/>
      </c>
      <c r="O18" s="19">
        <f>IF(N18="","",M18+N18)</f>
        <v/>
      </c>
      <c r="P18" s="17">
        <f>IF(O18="","",O18-$I$1)</f>
        <v/>
      </c>
    </row>
    <row r="19" ht="17.25" customHeight="1" s="237">
      <c r="A19" s="10">
        <f>ROW()-2</f>
        <v/>
      </c>
      <c r="B19" s="10" t="n">
        <v>4929</v>
      </c>
      <c r="C19" s="22">
        <f>VLOOKUP(B:B,재고차이!A:B,2,0)</f>
        <v/>
      </c>
      <c r="D19" s="22">
        <f>VLOOKUP(C:C,재고차이!B:C,2,0)</f>
        <v/>
      </c>
      <c r="E19" s="185" t="n">
        <v>9</v>
      </c>
      <c r="F19" s="185" t="n"/>
      <c r="G19" s="185" t="n"/>
      <c r="H19" s="185" t="n"/>
      <c r="I19" s="151" t="n">
        <v>46682</v>
      </c>
      <c r="J19" s="184" t="n"/>
      <c r="K19" s="20">
        <f>+P19</f>
        <v/>
      </c>
      <c r="L19" s="282">
        <f>IF(I19="","",SUMIF(제품등록!B:B,'창고2(실사표)'!C:C,제품등록!F:F))</f>
        <v/>
      </c>
      <c r="M19" s="11">
        <f>IF(I19=0,"",I19-L19)</f>
        <v/>
      </c>
      <c r="N19" s="283">
        <f>IF(M19="","",L19*상미75)</f>
        <v/>
      </c>
      <c r="O19" s="19">
        <f>IF(N19="","",M19+N19)</f>
        <v/>
      </c>
      <c r="P19" s="17">
        <f>IF(O19="","",O19-$I$1)</f>
        <v/>
      </c>
    </row>
    <row r="20" ht="17.25" customHeight="1" s="237">
      <c r="A20" s="10">
        <f>ROW()-2</f>
        <v/>
      </c>
      <c r="B20" s="10" t="n">
        <v>4929</v>
      </c>
      <c r="C20" s="22">
        <f>VLOOKUP(B:B,재고차이!A:B,2,0)</f>
        <v/>
      </c>
      <c r="D20" s="22">
        <f>VLOOKUP(C:C,재고차이!B:C,2,0)</f>
        <v/>
      </c>
      <c r="E20" s="185" t="n">
        <v>14</v>
      </c>
      <c r="F20" s="185" t="n"/>
      <c r="G20" s="185" t="n"/>
      <c r="H20" s="185" t="n"/>
      <c r="I20" s="151" t="n">
        <v>46687</v>
      </c>
      <c r="J20" s="184" t="n"/>
      <c r="K20" s="20">
        <f>+P20</f>
        <v/>
      </c>
      <c r="L20" s="282">
        <f>IF(I20="","",SUMIF(제품등록!B:B,'창고2(실사표)'!C:C,제품등록!F:F))</f>
        <v/>
      </c>
      <c r="M20" s="11">
        <f>IF(I20=0,"",I20-L20)</f>
        <v/>
      </c>
      <c r="N20" s="283">
        <f>IF(M20="","",L20*상미75)</f>
        <v/>
      </c>
      <c r="O20" s="19">
        <f>IF(N20="","",M20+N20)</f>
        <v/>
      </c>
      <c r="P20" s="17">
        <f>IF(O20="","",O20-$I$1)</f>
        <v/>
      </c>
    </row>
    <row r="21" ht="17.25" customHeight="1" s="237">
      <c r="A21" s="10">
        <f>ROW()-2</f>
        <v/>
      </c>
      <c r="B21" s="10" t="n">
        <v>4929</v>
      </c>
      <c r="C21" s="22">
        <f>VLOOKUP(B:B,재고차이!A:B,2,0)</f>
        <v/>
      </c>
      <c r="D21" s="22">
        <f>VLOOKUP(C:C,재고차이!B:C,2,0)</f>
        <v/>
      </c>
      <c r="E21" s="185" t="n">
        <v>16</v>
      </c>
      <c r="F21" s="185" t="n"/>
      <c r="G21" s="185" t="n"/>
      <c r="H21" s="185" t="n"/>
      <c r="I21" s="151" t="n">
        <v>46694</v>
      </c>
      <c r="J21" s="184" t="n"/>
      <c r="K21" s="20">
        <f>+P21</f>
        <v/>
      </c>
      <c r="L21" s="282">
        <f>IF(I21="","",SUMIF(제품등록!B:B,'창고2(실사표)'!C:C,제품등록!F:F))</f>
        <v/>
      </c>
      <c r="M21" s="11">
        <f>IF(I21=0,"",I21-L21)</f>
        <v/>
      </c>
      <c r="N21" s="283">
        <f>IF(M21="","",L21*상미75)</f>
        <v/>
      </c>
      <c r="O21" s="19">
        <f>IF(N21="","",M21+N21)</f>
        <v/>
      </c>
      <c r="P21" s="17">
        <f>IF(O21="","",O21-$I$1)</f>
        <v/>
      </c>
    </row>
    <row r="22" ht="17.25" customHeight="1" s="237">
      <c r="A22" s="10">
        <f>ROW()-2</f>
        <v/>
      </c>
      <c r="B22" s="10" t="n">
        <v>4969</v>
      </c>
      <c r="C22" s="22">
        <f>VLOOKUP(B:B,재고차이!A:B,2,0)</f>
        <v/>
      </c>
      <c r="D22" s="22">
        <f>VLOOKUP(C:C,재고차이!B:C,2,0)</f>
        <v/>
      </c>
      <c r="E22" s="185">
        <f>12+37</f>
        <v/>
      </c>
      <c r="F22" s="185" t="n"/>
      <c r="G22" s="185" t="n"/>
      <c r="H22" s="185" t="n"/>
      <c r="I22" s="151" t="n">
        <v>46315</v>
      </c>
      <c r="J22" s="184" t="n"/>
      <c r="K22" s="20">
        <f>+P22</f>
        <v/>
      </c>
      <c r="L22" s="282">
        <f>IF(I22="","",SUMIF(제품등록!B:B,'창고2(실사표)'!C:C,제품등록!F:F))</f>
        <v/>
      </c>
      <c r="M22" s="11">
        <f>IF(I22=0,"",I22-L22)</f>
        <v/>
      </c>
      <c r="N22" s="283">
        <f>IF(M22="","",L22*상미75)</f>
        <v/>
      </c>
      <c r="O22" s="19">
        <f>IF(N22="","",M22+N22)</f>
        <v/>
      </c>
      <c r="P22" s="17">
        <f>IF(O22="","",O22-$I$1)</f>
        <v/>
      </c>
    </row>
    <row r="23" ht="17.25" customHeight="1" s="237">
      <c r="A23" s="10">
        <f>ROW()-2</f>
        <v/>
      </c>
      <c r="B23" s="10" t="n">
        <v>5375</v>
      </c>
      <c r="C23" s="22">
        <f>VLOOKUP(B:B,재고차이!A:B,2,0)</f>
        <v/>
      </c>
      <c r="D23" s="22">
        <f>VLOOKUP(C:C,재고차이!B:C,2,0)</f>
        <v/>
      </c>
      <c r="E23" s="185" t="n">
        <v>40</v>
      </c>
      <c r="F23" s="185" t="n"/>
      <c r="G23" s="185" t="n"/>
      <c r="H23" s="185" t="n"/>
      <c r="I23" s="151" t="n">
        <v>46339</v>
      </c>
      <c r="J23" s="184" t="n"/>
      <c r="K23" s="20">
        <f>+P23</f>
        <v/>
      </c>
      <c r="L23" s="282">
        <f>IF(I23="","",SUMIF(제품등록!B:B,'창고2(실사표)'!C:C,제품등록!F:F))</f>
        <v/>
      </c>
      <c r="M23" s="11">
        <f>IF(I23=0,"",I23-L23)</f>
        <v/>
      </c>
      <c r="N23" s="283">
        <f>IF(M23="","",L23*상미75)</f>
        <v/>
      </c>
      <c r="O23" s="19">
        <f>IF(N23="","",M23+N23)</f>
        <v/>
      </c>
      <c r="P23" s="17">
        <f>IF(O23="","",O23-$I$1)</f>
        <v/>
      </c>
    </row>
    <row r="24" ht="17.25" customHeight="1" s="237">
      <c r="A24" s="10">
        <f>ROW()-2</f>
        <v/>
      </c>
      <c r="B24" s="10" t="n">
        <v>5672</v>
      </c>
      <c r="C24" s="22">
        <f>VLOOKUP(B:B,재고차이!A:B,2,0)</f>
        <v/>
      </c>
      <c r="D24" s="22">
        <f>VLOOKUP(C:C,재고차이!B:C,2,0)</f>
        <v/>
      </c>
      <c r="E24" s="185" t="n">
        <v>15</v>
      </c>
      <c r="F24" s="185" t="n"/>
      <c r="G24" s="185" t="n"/>
      <c r="H24" s="185" t="n"/>
      <c r="I24" s="151" t="n">
        <v>46585</v>
      </c>
      <c r="J24" s="151" t="n"/>
      <c r="K24" s="20">
        <f>+P24</f>
        <v/>
      </c>
      <c r="L24" s="282">
        <f>IF(I24="","",SUMIF(제품등록!B:B,'창고2(실사표)'!C:C,제품등록!F:F))</f>
        <v/>
      </c>
      <c r="M24" s="11">
        <f>IF(I24=0,"",I24-L24)</f>
        <v/>
      </c>
      <c r="N24" s="283">
        <f>IF(M24="","",L24*상미75)</f>
        <v/>
      </c>
      <c r="O24" s="19">
        <f>IF(N24="","",M24+N24)</f>
        <v/>
      </c>
      <c r="P24" s="17">
        <f>IF(O24="","",O24-$I$1)</f>
        <v/>
      </c>
    </row>
    <row r="25" ht="17.25" customHeight="1" s="237">
      <c r="A25" s="10">
        <f>ROW()-2</f>
        <v/>
      </c>
      <c r="B25" s="10" t="n">
        <v>5672</v>
      </c>
      <c r="C25" s="22">
        <f>VLOOKUP(B:B,재고차이!A:B,2,0)</f>
        <v/>
      </c>
      <c r="D25" s="22">
        <f>VLOOKUP(C:C,재고차이!B:C,2,0)</f>
        <v/>
      </c>
      <c r="E25" s="185" t="n">
        <v>8</v>
      </c>
      <c r="F25" s="185" t="n"/>
      <c r="G25" s="185" t="n"/>
      <c r="H25" s="185" t="n"/>
      <c r="I25" s="151" t="n">
        <v>46586</v>
      </c>
      <c r="J25" s="151" t="n"/>
      <c r="K25" s="20">
        <f>+P25</f>
        <v/>
      </c>
      <c r="L25" s="282">
        <f>IF(I25="","",SUMIF(제품등록!B:B,'창고2(실사표)'!C:C,제품등록!F:F))</f>
        <v/>
      </c>
      <c r="M25" s="11">
        <f>IF(I25=0,"",I25-L25)</f>
        <v/>
      </c>
      <c r="N25" s="283">
        <f>IF(M25="","",L25*상미75)</f>
        <v/>
      </c>
      <c r="O25" s="19">
        <f>IF(N25="","",M25+N25)</f>
        <v/>
      </c>
      <c r="P25" s="17">
        <f>IF(O25="","",O25-$I$1)</f>
        <v/>
      </c>
    </row>
    <row r="26" ht="17.25" customHeight="1" s="237">
      <c r="A26" s="10">
        <f>ROW()-2</f>
        <v/>
      </c>
      <c r="B26" s="10" t="n">
        <v>5673</v>
      </c>
      <c r="C26" s="22">
        <f>VLOOKUP(B:B,재고차이!A:B,2,0)</f>
        <v/>
      </c>
      <c r="D26" s="22">
        <f>VLOOKUP(C:C,재고차이!B:C,2,0)</f>
        <v/>
      </c>
      <c r="E26" s="185" t="n">
        <v>37</v>
      </c>
      <c r="F26" s="185" t="n"/>
      <c r="G26" s="185" t="n"/>
      <c r="H26" s="185" t="n"/>
      <c r="I26" s="151" t="n">
        <v>46682</v>
      </c>
      <c r="J26" s="184" t="n"/>
      <c r="K26" s="20">
        <f>+P26</f>
        <v/>
      </c>
      <c r="L26" s="282">
        <f>IF(I26="","",SUMIF(제품등록!B:B,'창고2(실사표)'!C:C,제품등록!F:F))</f>
        <v/>
      </c>
      <c r="M26" s="11">
        <f>IF(I26=0,"",I26-L26)</f>
        <v/>
      </c>
      <c r="N26" s="283">
        <f>IF(M26="","",L26*상미75)</f>
        <v/>
      </c>
      <c r="O26" s="19">
        <f>IF(N26="","",M26+N26)</f>
        <v/>
      </c>
      <c r="P26" s="17">
        <f>IF(O26="","",O26-$I$1)</f>
        <v/>
      </c>
    </row>
    <row r="27" ht="17.25" customHeight="1" s="237">
      <c r="A27" s="10">
        <f>ROW()-2</f>
        <v/>
      </c>
      <c r="B27" s="10" t="n">
        <v>5777</v>
      </c>
      <c r="C27" s="22">
        <f>VLOOKUP(B:B,재고차이!A:B,2,0)</f>
        <v/>
      </c>
      <c r="D27" s="22">
        <f>VLOOKUP(C:C,재고차이!B:C,2,0)</f>
        <v/>
      </c>
      <c r="E27" s="10" t="n">
        <v>44</v>
      </c>
      <c r="F27" s="10" t="n"/>
      <c r="G27" s="185" t="n"/>
      <c r="H27" s="185" t="n"/>
      <c r="I27" s="151" t="n">
        <v>46344</v>
      </c>
      <c r="J27" s="184" t="n"/>
      <c r="K27" s="20">
        <f>+P27</f>
        <v/>
      </c>
      <c r="L27" s="282">
        <f>IF(I27="","",SUMIF(제품등록!B:B,'창고2(실사표)'!C:C,제품등록!F:F))</f>
        <v/>
      </c>
      <c r="M27" s="11">
        <f>IF(I27=0,"",I27-L27)</f>
        <v/>
      </c>
      <c r="N27" s="283">
        <f>IF(M27="","",L27*상미75)</f>
        <v/>
      </c>
      <c r="O27" s="19">
        <f>IF(N27="","",M27+N27)</f>
        <v/>
      </c>
      <c r="P27" s="17">
        <f>IF(O27="","",O27-$I$1)</f>
        <v/>
      </c>
    </row>
    <row r="28" ht="17.25" customHeight="1" s="237">
      <c r="A28" s="10">
        <f>ROW()-2</f>
        <v/>
      </c>
      <c r="B28" s="10" t="n">
        <v>5777</v>
      </c>
      <c r="C28" s="22">
        <f>VLOOKUP(B:B,재고차이!A:B,2,0)</f>
        <v/>
      </c>
      <c r="D28" s="22">
        <f>VLOOKUP(C:C,재고차이!B:C,2,0)</f>
        <v/>
      </c>
      <c r="E28" s="10" t="n">
        <v>7</v>
      </c>
      <c r="F28" s="10" t="n"/>
      <c r="G28" s="185" t="n"/>
      <c r="H28" s="185" t="n"/>
      <c r="I28" s="151" t="n">
        <v>46358</v>
      </c>
      <c r="J28" s="184" t="n"/>
      <c r="K28" s="20">
        <f>+P28</f>
        <v/>
      </c>
      <c r="L28" s="282">
        <f>IF(I28="","",SUMIF(제품등록!B:B,'창고2(실사표)'!C:C,제품등록!F:F))</f>
        <v/>
      </c>
      <c r="M28" s="11">
        <f>IF(I28=0,"",I28-L28)</f>
        <v/>
      </c>
      <c r="N28" s="283">
        <f>IF(M28="","",L28*상미75)</f>
        <v/>
      </c>
      <c r="O28" s="19">
        <f>IF(N28="","",M28+N28)</f>
        <v/>
      </c>
      <c r="P28" s="17">
        <f>IF(O28="","",O28-$I$1)</f>
        <v/>
      </c>
    </row>
    <row r="29" ht="17.25" customHeight="1" s="237">
      <c r="A29" s="10">
        <f>ROW()-2</f>
        <v/>
      </c>
      <c r="B29" s="10" t="n">
        <v>5777</v>
      </c>
      <c r="C29" s="22">
        <f>VLOOKUP(B:B,재고차이!A:B,2,0)</f>
        <v/>
      </c>
      <c r="D29" s="22">
        <f>VLOOKUP(C:C,재고차이!B:C,2,0)</f>
        <v/>
      </c>
      <c r="E29" s="10" t="n">
        <v>21</v>
      </c>
      <c r="F29" s="10" t="n"/>
      <c r="G29" s="185" t="n"/>
      <c r="H29" s="185" t="n"/>
      <c r="I29" s="151" t="n">
        <v>46359</v>
      </c>
      <c r="J29" s="184" t="n"/>
      <c r="K29" s="20">
        <f>+P29</f>
        <v/>
      </c>
      <c r="L29" s="282">
        <f>IF(I29="","",SUMIF(제품등록!B:B,'창고2(실사표)'!C:C,제품등록!F:F))</f>
        <v/>
      </c>
      <c r="M29" s="11">
        <f>IF(I29=0,"",I29-L29)</f>
        <v/>
      </c>
      <c r="N29" s="283">
        <f>IF(M29="","",L29*상미75)</f>
        <v/>
      </c>
      <c r="O29" s="19">
        <f>IF(N29="","",M29+N29)</f>
        <v/>
      </c>
      <c r="P29" s="17">
        <f>IF(O29="","",O29-$I$1)</f>
        <v/>
      </c>
    </row>
    <row r="30" ht="17.25" customHeight="1" s="237">
      <c r="A30" s="10">
        <f>ROW()-2</f>
        <v/>
      </c>
      <c r="B30" s="10" t="n">
        <v>6117</v>
      </c>
      <c r="C30" s="22">
        <f>VLOOKUP(B:B,재고차이!A:B,2,0)</f>
        <v/>
      </c>
      <c r="D30" s="22">
        <f>VLOOKUP(C:C,재고차이!B:C,2,0)</f>
        <v/>
      </c>
      <c r="E30" s="185">
        <f>1+18</f>
        <v/>
      </c>
      <c r="F30" s="185" t="n"/>
      <c r="G30" s="185" t="n"/>
      <c r="H30" s="185" t="n"/>
      <c r="I30" s="151" t="n">
        <v>46343</v>
      </c>
      <c r="J30" s="184" t="n"/>
      <c r="K30" s="20">
        <f>+P30</f>
        <v/>
      </c>
      <c r="L30" s="282">
        <f>IF(I30="","",SUMIF(제품등록!B:B,'창고2(실사표)'!C:C,제품등록!F:F))</f>
        <v/>
      </c>
      <c r="M30" s="11">
        <f>IF(I30=0,"",I30-L30)</f>
        <v/>
      </c>
      <c r="N30" s="283">
        <f>IF(M30="","",L30*상미75)</f>
        <v/>
      </c>
      <c r="O30" s="19">
        <f>IF(N30="","",M30+N30)</f>
        <v/>
      </c>
      <c r="P30" s="17">
        <f>IF(O30="","",O30-$I$1)</f>
        <v/>
      </c>
    </row>
    <row r="31" ht="17.25" customHeight="1" s="237">
      <c r="A31" s="10">
        <f>ROW()-2</f>
        <v/>
      </c>
      <c r="B31" s="10" t="n">
        <v>6117</v>
      </c>
      <c r="C31" s="22">
        <f>VLOOKUP(B:B,재고차이!A:B,2,0)</f>
        <v/>
      </c>
      <c r="D31" s="22">
        <f>VLOOKUP(C:C,재고차이!B:C,2,0)</f>
        <v/>
      </c>
      <c r="E31" s="185" t="n">
        <v>33</v>
      </c>
      <c r="F31" s="185" t="n"/>
      <c r="G31" s="185" t="n"/>
      <c r="H31" s="185" t="n"/>
      <c r="I31" s="151" t="n">
        <v>46349</v>
      </c>
      <c r="J31" s="184" t="n"/>
      <c r="K31" s="20">
        <f>+P31</f>
        <v/>
      </c>
      <c r="L31" s="282">
        <f>IF(I31="","",SUMIF(제품등록!B:B,'창고2(실사표)'!C:C,제품등록!F:F))</f>
        <v/>
      </c>
      <c r="M31" s="11">
        <f>IF(I31=0,"",I31-L31)</f>
        <v/>
      </c>
      <c r="N31" s="283">
        <f>IF(M31="","",L31*상미75)</f>
        <v/>
      </c>
      <c r="O31" s="19">
        <f>IF(N31="","",M31+N31)</f>
        <v/>
      </c>
      <c r="P31" s="17">
        <f>IF(O31="","",O31-$I$1)</f>
        <v/>
      </c>
    </row>
    <row r="32" ht="17.25" customHeight="1" s="237">
      <c r="A32" s="10">
        <f>ROW()-2</f>
        <v/>
      </c>
      <c r="B32" s="10" t="n">
        <v>6117</v>
      </c>
      <c r="C32" s="22">
        <f>VLOOKUP(B:B,재고차이!A:B,2,0)</f>
        <v/>
      </c>
      <c r="D32" s="22">
        <f>VLOOKUP(C:C,재고차이!B:C,2,0)</f>
        <v/>
      </c>
      <c r="E32" s="185">
        <f>40+10</f>
        <v/>
      </c>
      <c r="F32" s="185" t="n"/>
      <c r="G32" s="185" t="n"/>
      <c r="H32" s="185" t="n"/>
      <c r="I32" s="151" t="n">
        <v>46350</v>
      </c>
      <c r="J32" s="184" t="n"/>
      <c r="K32" s="20">
        <f>+P32</f>
        <v/>
      </c>
      <c r="L32" s="282">
        <f>IF(I32="","",SUMIF(제품등록!B:B,'창고2(실사표)'!C:C,제품등록!F:F))</f>
        <v/>
      </c>
      <c r="M32" s="11">
        <f>IF(I32=0,"",I32-L32)</f>
        <v/>
      </c>
      <c r="N32" s="283">
        <f>IF(M32="","",L32*상미75)</f>
        <v/>
      </c>
      <c r="O32" s="19">
        <f>IF(N32="","",M32+N32)</f>
        <v/>
      </c>
      <c r="P32" s="17">
        <f>IF(O32="","",O32-$I$1)</f>
        <v/>
      </c>
    </row>
    <row r="33" ht="17.25" customHeight="1" s="237">
      <c r="A33" s="10">
        <f>ROW()-2</f>
        <v/>
      </c>
      <c r="B33" s="10" t="n">
        <v>6120</v>
      </c>
      <c r="C33" s="22">
        <f>VLOOKUP(B:B,재고차이!A:B,2,0)</f>
        <v/>
      </c>
      <c r="D33" s="22">
        <f>VLOOKUP(C:C,재고차이!B:C,2,0)</f>
        <v/>
      </c>
      <c r="E33" s="185">
        <f>46+33</f>
        <v/>
      </c>
      <c r="F33" s="185" t="n"/>
      <c r="G33" s="185" t="n"/>
      <c r="H33" s="185" t="n"/>
      <c r="I33" s="151" t="n">
        <v>46349</v>
      </c>
      <c r="J33" s="184" t="n"/>
      <c r="K33" s="20">
        <f>+P33</f>
        <v/>
      </c>
      <c r="L33" s="282">
        <f>IF(I33="","",SUMIF(제품등록!B:B,'창고2(실사표)'!C:C,제품등록!F:F))</f>
        <v/>
      </c>
      <c r="M33" s="11">
        <f>IF(I33=0,"",I33-L33)</f>
        <v/>
      </c>
      <c r="N33" s="283">
        <f>IF(M33="","",L33*상미75)</f>
        <v/>
      </c>
      <c r="O33" s="19">
        <f>IF(N33="","",M33+N33)</f>
        <v/>
      </c>
      <c r="P33" s="17">
        <f>IF(O33="","",O33-$I$1)</f>
        <v/>
      </c>
    </row>
    <row r="34" ht="17.25" customHeight="1" s="237">
      <c r="A34" s="10">
        <f>ROW()-2</f>
        <v/>
      </c>
      <c r="B34" s="10" t="n">
        <v>6509</v>
      </c>
      <c r="C34" s="22">
        <f>VLOOKUP(B:B,재고차이!A:B,2,0)</f>
        <v/>
      </c>
      <c r="D34" s="22">
        <f>VLOOKUP(C:C,재고차이!B:C,2,0)</f>
        <v/>
      </c>
      <c r="E34" s="185">
        <f>6+16</f>
        <v/>
      </c>
      <c r="F34" s="185" t="n"/>
      <c r="G34" s="185" t="n"/>
      <c r="H34" s="185" t="n"/>
      <c r="I34" s="151" t="n">
        <v>46217</v>
      </c>
      <c r="J34" s="184" t="n"/>
      <c r="K34" s="20">
        <f>+P34</f>
        <v/>
      </c>
      <c r="L34" s="282">
        <f>IF(I34="","",SUMIF(제품등록!B:B,'창고2(실사표)'!C:C,제품등록!F:F))</f>
        <v/>
      </c>
      <c r="M34" s="11">
        <f>IF(I34=0,"",I34-L34)</f>
        <v/>
      </c>
      <c r="N34" s="283">
        <f>IF(M34="","",L34*상미75)</f>
        <v/>
      </c>
      <c r="O34" s="19">
        <f>IF(N34="","",M34+N34)</f>
        <v/>
      </c>
      <c r="P34" s="17">
        <f>IF(O34="","",O34-$I$1)</f>
        <v/>
      </c>
    </row>
    <row r="35" ht="17.25" customHeight="1" s="237">
      <c r="A35" s="10">
        <f>ROW()-2</f>
        <v/>
      </c>
      <c r="B35" s="10" t="n">
        <v>6509</v>
      </c>
      <c r="C35" s="22">
        <f>VLOOKUP(B:B,재고차이!A:B,2,0)</f>
        <v/>
      </c>
      <c r="D35" s="22">
        <f>VLOOKUP(C:C,재고차이!B:C,2,0)</f>
        <v/>
      </c>
      <c r="E35" s="185" t="n">
        <v>2</v>
      </c>
      <c r="F35" s="185" t="n"/>
      <c r="G35" s="185" t="n"/>
      <c r="H35" s="185" t="n"/>
      <c r="I35" s="151" t="n">
        <v>46258</v>
      </c>
      <c r="J35" s="184" t="n"/>
      <c r="K35" s="20">
        <f>+P35</f>
        <v/>
      </c>
      <c r="L35" s="282">
        <f>IF(I35="","",SUMIF(제품등록!B:B,'창고2(실사표)'!C:C,제품등록!F:F))</f>
        <v/>
      </c>
      <c r="M35" s="11">
        <f>IF(I35=0,"",I35-L35)</f>
        <v/>
      </c>
      <c r="N35" s="283">
        <f>IF(M35="","",L35*상미75)</f>
        <v/>
      </c>
      <c r="O35" s="19">
        <f>IF(N35="","",M35+N35)</f>
        <v/>
      </c>
      <c r="P35" s="17">
        <f>IF(O35="","",O35-$I$1)</f>
        <v/>
      </c>
    </row>
    <row r="36" ht="17.25" customHeight="1" s="237">
      <c r="A36" s="10">
        <f>ROW()-2</f>
        <v/>
      </c>
      <c r="B36" s="10" t="n">
        <v>6705</v>
      </c>
      <c r="C36" s="22">
        <f>VLOOKUP(B:B,재고차이!A:B,2,0)</f>
        <v/>
      </c>
      <c r="D36" s="22">
        <f>VLOOKUP(C:C,재고차이!B:C,2,0)</f>
        <v/>
      </c>
      <c r="E36" s="185" t="n">
        <v>7</v>
      </c>
      <c r="F36" s="185" t="n"/>
      <c r="G36" s="185" t="n"/>
      <c r="H36" s="185" t="n"/>
      <c r="I36" s="151" t="n">
        <v>46243</v>
      </c>
      <c r="J36" s="184" t="n"/>
      <c r="K36" s="20">
        <f>+P36</f>
        <v/>
      </c>
      <c r="L36" s="282">
        <f>IF(I36="","",SUMIF(제품등록!B:B,'창고2(실사표)'!C:C,제품등록!F:F))</f>
        <v/>
      </c>
      <c r="M36" s="11">
        <f>IF(I36=0,"",I36-L36)</f>
        <v/>
      </c>
      <c r="N36" s="283">
        <f>IF(M36="","",L36*상미75)</f>
        <v/>
      </c>
      <c r="O36" s="19">
        <f>IF(N36="","",M36+N36)</f>
        <v/>
      </c>
      <c r="P36" s="17">
        <f>IF(O36="","",O36-$I$1)</f>
        <v/>
      </c>
    </row>
    <row r="37" ht="17.25" customHeight="1" s="237">
      <c r="A37" s="10">
        <f>ROW()-2</f>
        <v/>
      </c>
      <c r="B37" s="10" t="n">
        <v>7719</v>
      </c>
      <c r="C37" s="22">
        <f>VLOOKUP(B:B,재고차이!A:B,2,0)</f>
        <v/>
      </c>
      <c r="D37" s="22">
        <f>VLOOKUP(C:C,재고차이!B:C,2,0)</f>
        <v/>
      </c>
      <c r="E37" s="185" t="n">
        <v>1</v>
      </c>
      <c r="F37" s="185" t="n"/>
      <c r="G37" s="185" t="n"/>
      <c r="H37" s="185" t="n"/>
      <c r="I37" s="151" t="n">
        <v>46620</v>
      </c>
      <c r="J37" s="184" t="n"/>
      <c r="K37" s="20">
        <f>+P37</f>
        <v/>
      </c>
      <c r="L37" s="282">
        <f>IF(I37="","",SUMIF(제품등록!B:B,'창고2(실사표)'!C:C,제품등록!F:F))</f>
        <v/>
      </c>
      <c r="M37" s="11">
        <f>IF(I37=0,"",I37-L37)</f>
        <v/>
      </c>
      <c r="N37" s="283">
        <f>IF(M37="","",L37*상미75)</f>
        <v/>
      </c>
      <c r="O37" s="19">
        <f>IF(N37="","",M37+N37)</f>
        <v/>
      </c>
      <c r="P37" s="17">
        <f>IF(O37="","",O37-$I$1)</f>
        <v/>
      </c>
    </row>
    <row r="38" ht="17.25" customHeight="1" s="237">
      <c r="A38" s="10">
        <f>ROW()-2</f>
        <v/>
      </c>
      <c r="B38" s="10" t="n">
        <v>7949</v>
      </c>
      <c r="C38" s="22">
        <f>VLOOKUP(B:B,재고차이!A:B,2,0)</f>
        <v/>
      </c>
      <c r="D38" s="22">
        <f>VLOOKUP(C:C,재고차이!B:C,2,0)</f>
        <v/>
      </c>
      <c r="E38" s="185" t="n">
        <v>1</v>
      </c>
      <c r="F38" s="185" t="n"/>
      <c r="G38" s="185" t="n"/>
      <c r="H38" s="185" t="n"/>
      <c r="I38" s="151" t="n">
        <v>46238</v>
      </c>
      <c r="J38" s="184" t="n"/>
      <c r="K38" s="20">
        <f>+P38</f>
        <v/>
      </c>
      <c r="L38" s="282">
        <f>IF(I38="","",SUMIF(제품등록!B:B,'창고2(실사표)'!C:C,제품등록!F:F))</f>
        <v/>
      </c>
      <c r="M38" s="11">
        <f>IF(I38=0,"",I38-L38)</f>
        <v/>
      </c>
      <c r="N38" s="283">
        <f>IF(M38="","",L38*상미75)</f>
        <v/>
      </c>
      <c r="O38" s="19">
        <f>IF(N38="","",M38+N38)</f>
        <v/>
      </c>
      <c r="P38" s="17">
        <f>IF(O38="","",O38-$I$1)</f>
        <v/>
      </c>
    </row>
    <row r="39" ht="17.25" customHeight="1" s="237">
      <c r="A39" s="10">
        <f>ROW()-2</f>
        <v/>
      </c>
      <c r="B39" s="10" t="n">
        <v>7949</v>
      </c>
      <c r="C39" s="22">
        <f>VLOOKUP(B:B,재고차이!A:B,2,0)</f>
        <v/>
      </c>
      <c r="D39" s="22">
        <f>VLOOKUP(C:C,재고차이!B:C,2,0)</f>
        <v/>
      </c>
      <c r="E39" s="185">
        <f>16+8</f>
        <v/>
      </c>
      <c r="F39" s="185" t="n"/>
      <c r="G39" s="185" t="n"/>
      <c r="H39" s="185" t="n"/>
      <c r="I39" s="151" t="n">
        <v>46252</v>
      </c>
      <c r="J39" s="184" t="n"/>
      <c r="K39" s="20">
        <f>+P39</f>
        <v/>
      </c>
      <c r="L39" s="282">
        <f>IF(I39="","",SUMIF(제품등록!B:B,'창고2(실사표)'!C:C,제품등록!F:F))</f>
        <v/>
      </c>
      <c r="M39" s="11">
        <f>IF(I39=0,"",I39-L39)</f>
        <v/>
      </c>
      <c r="N39" s="283">
        <f>IF(M39="","",L39*상미75)</f>
        <v/>
      </c>
      <c r="O39" s="19">
        <f>IF(N39="","",M39+N39)</f>
        <v/>
      </c>
      <c r="P39" s="17">
        <f>IF(O39="","",O39-$I$1)</f>
        <v/>
      </c>
    </row>
    <row r="40" ht="17.25" customHeight="1" s="237">
      <c r="A40" s="10">
        <f>ROW()-2</f>
        <v/>
      </c>
      <c r="B40" s="10" t="n">
        <v>7988</v>
      </c>
      <c r="C40" s="22">
        <f>VLOOKUP(B:B,재고차이!A:B,2,0)</f>
        <v/>
      </c>
      <c r="D40" s="22">
        <f>VLOOKUP(C:C,재고차이!B:C,2,0)</f>
        <v/>
      </c>
      <c r="E40" s="185" t="n">
        <v>25</v>
      </c>
      <c r="F40" s="185" t="n"/>
      <c r="G40" s="185" t="n"/>
      <c r="H40" s="185" t="n"/>
      <c r="I40" s="151" t="n">
        <v>46323</v>
      </c>
      <c r="J40" s="151" t="n"/>
      <c r="K40" s="20">
        <f>+P40</f>
        <v/>
      </c>
      <c r="L40" s="282">
        <f>IF(I40="","",SUMIF(제품등록!B:B,'창고2(실사표)'!C:C,제품등록!F:F))</f>
        <v/>
      </c>
      <c r="M40" s="11">
        <f>IF(I40=0,"",I40-L40)</f>
        <v/>
      </c>
      <c r="N40" s="283">
        <f>IF(M40="","",L40*상미75)</f>
        <v/>
      </c>
      <c r="O40" s="19">
        <f>IF(N40="","",M40+N40)</f>
        <v/>
      </c>
      <c r="P40" s="17">
        <f>IF(O40="","",O40-$I$1)</f>
        <v/>
      </c>
    </row>
    <row r="41" ht="17.25" customHeight="1" s="237">
      <c r="A41" s="10">
        <f>ROW()-2</f>
        <v/>
      </c>
      <c r="B41" s="10" t="n">
        <v>8273</v>
      </c>
      <c r="C41" s="22">
        <f>VLOOKUP(B:B,재고차이!A:B,2,0)</f>
        <v/>
      </c>
      <c r="D41" s="22">
        <f>VLOOKUP(C:C,재고차이!B:C,2,0)</f>
        <v/>
      </c>
      <c r="E41" s="185" t="n">
        <v>9</v>
      </c>
      <c r="F41" s="185" t="n"/>
      <c r="G41" s="185" t="n"/>
      <c r="H41" s="185" t="n"/>
      <c r="I41" s="151" t="n">
        <v>46330</v>
      </c>
      <c r="J41" s="151" t="n"/>
      <c r="K41" s="20">
        <f>+P41</f>
        <v/>
      </c>
      <c r="L41" s="282">
        <f>IF(I41="","",SUMIF(제품등록!B:B,'창고2(실사표)'!C:C,제품등록!F:F))</f>
        <v/>
      </c>
      <c r="M41" s="11">
        <f>IF(I41=0,"",I41-L41)</f>
        <v/>
      </c>
      <c r="N41" s="283">
        <f>IF(M41="","",L41*상미75)</f>
        <v/>
      </c>
      <c r="O41" s="19">
        <f>IF(N41="","",M41+N41)</f>
        <v/>
      </c>
      <c r="P41" s="17">
        <f>IF(O41="","",O41-$I$1)</f>
        <v/>
      </c>
    </row>
    <row r="42" ht="17.25" customHeight="1" s="237">
      <c r="A42" s="10">
        <f>ROW()-2</f>
        <v/>
      </c>
      <c r="B42" s="10" t="n">
        <v>8275</v>
      </c>
      <c r="C42" s="22">
        <f>VLOOKUP(B:B,재고차이!A:B,2,0)</f>
        <v/>
      </c>
      <c r="D42" s="22">
        <f>VLOOKUP(C:C,재고차이!B:C,2,0)</f>
        <v/>
      </c>
      <c r="E42" s="185" t="n">
        <v>31</v>
      </c>
      <c r="F42" s="185" t="n"/>
      <c r="G42" s="185" t="n"/>
      <c r="H42" s="185" t="n"/>
      <c r="I42" s="151" t="n">
        <v>46289</v>
      </c>
      <c r="J42" s="151" t="n"/>
      <c r="K42" s="20">
        <f>+P42</f>
        <v/>
      </c>
      <c r="L42" s="282">
        <f>IF(I42="","",SUMIF(제품등록!B:B,'창고2(실사표)'!C:C,제품등록!F:F))</f>
        <v/>
      </c>
      <c r="M42" s="11">
        <f>IF(I42=0,"",I42-L42)</f>
        <v/>
      </c>
      <c r="N42" s="283">
        <f>IF(M42="","",L42*상미75)</f>
        <v/>
      </c>
      <c r="O42" s="19">
        <f>IF(N42="","",M42+N42)</f>
        <v/>
      </c>
      <c r="P42" s="17">
        <f>IF(O42="","",O42-$I$1)</f>
        <v/>
      </c>
    </row>
    <row r="43" ht="17.25" customHeight="1" s="237">
      <c r="A43" s="10">
        <f>ROW()-2</f>
        <v/>
      </c>
      <c r="B43" s="10" t="n">
        <v>8571</v>
      </c>
      <c r="C43" s="22">
        <f>VLOOKUP(B:B,재고차이!A:B,2,0)</f>
        <v/>
      </c>
      <c r="D43" s="22">
        <f>VLOOKUP(C:C,재고차이!B:C,2,0)</f>
        <v/>
      </c>
      <c r="E43" s="185">
        <f>12+10</f>
        <v/>
      </c>
      <c r="F43" s="185" t="n"/>
      <c r="G43" s="185" t="n"/>
      <c r="H43" s="185" t="n"/>
      <c r="I43" s="151" t="n">
        <v>46321</v>
      </c>
      <c r="J43" s="184" t="n"/>
      <c r="K43" s="20">
        <f>+P43</f>
        <v/>
      </c>
      <c r="L43" s="282">
        <f>IF(I43="","",SUMIF(제품등록!B:B,'창고2(실사표)'!C:C,제품등록!F:F))</f>
        <v/>
      </c>
      <c r="M43" s="11">
        <f>IF(I43=0,"",I43-L43)</f>
        <v/>
      </c>
      <c r="N43" s="283">
        <f>IF(M43="","",L43*상미75)</f>
        <v/>
      </c>
      <c r="O43" s="19">
        <f>IF(N43="","",M43+N43)</f>
        <v/>
      </c>
      <c r="P43" s="17">
        <f>IF(O43="","",O43-$I$1)</f>
        <v/>
      </c>
    </row>
    <row r="44" ht="17.25" customHeight="1" s="237">
      <c r="A44" s="10">
        <f>ROW()-2</f>
        <v/>
      </c>
      <c r="B44" s="10" t="n">
        <v>9120</v>
      </c>
      <c r="C44" s="22">
        <f>VLOOKUP(B:B,재고차이!A:B,2,0)</f>
        <v/>
      </c>
      <c r="D44" s="22">
        <f>VLOOKUP(C:C,재고차이!B:C,2,0)</f>
        <v/>
      </c>
      <c r="E44" s="185" t="n">
        <v>4</v>
      </c>
      <c r="F44" s="185" t="n"/>
      <c r="G44" s="185" t="n"/>
      <c r="H44" s="185" t="n"/>
      <c r="I44" s="151" t="n">
        <v>46310</v>
      </c>
      <c r="J44" s="184" t="n"/>
      <c r="K44" s="20">
        <f>+P44</f>
        <v/>
      </c>
      <c r="L44" s="282">
        <f>IF(I44="","",SUMIF(제품등록!B:B,'창고2(실사표)'!C:C,제품등록!F:F))</f>
        <v/>
      </c>
      <c r="M44" s="11">
        <f>IF(I44=0,"",I44-L44)</f>
        <v/>
      </c>
      <c r="N44" s="283">
        <f>IF(M44="","",L44*상미75)</f>
        <v/>
      </c>
      <c r="O44" s="19">
        <f>IF(N44="","",M44+N44)</f>
        <v/>
      </c>
      <c r="P44" s="17">
        <f>IF(O44="","",O44-$I$1)</f>
        <v/>
      </c>
    </row>
    <row r="45" ht="17.25" customHeight="1" s="237">
      <c r="A45" s="10">
        <f>ROW()-2</f>
        <v/>
      </c>
      <c r="B45" s="10" t="inlineStr">
        <is>
          <t>gs0012</t>
        </is>
      </c>
      <c r="C45" s="22">
        <f>VLOOKUP(B:B,재고차이!A:B,2,0)</f>
        <v/>
      </c>
      <c r="D45" s="22">
        <f>VLOOKUP(C:C,재고차이!B:C,2,0)</f>
        <v/>
      </c>
      <c r="E45" s="185" t="n">
        <v>9</v>
      </c>
      <c r="F45" s="185" t="n"/>
      <c r="G45" s="185" t="n"/>
      <c r="H45" s="185" t="n"/>
      <c r="I45" s="151" t="n">
        <v>46321</v>
      </c>
      <c r="J45" s="184" t="n"/>
      <c r="K45" s="20">
        <f>+P45</f>
        <v/>
      </c>
      <c r="L45" s="282">
        <f>IF(I45="","",SUMIF(제품등록!B:B,'창고2(실사표)'!C:C,제품등록!F:F))</f>
        <v/>
      </c>
      <c r="M45" s="11">
        <f>IF(I45=0,"",I45-L45)</f>
        <v/>
      </c>
      <c r="N45" s="283">
        <f>IF(M45="","",L45*상미75)</f>
        <v/>
      </c>
      <c r="O45" s="19">
        <f>IF(N45="","",M45+N45)</f>
        <v/>
      </c>
      <c r="P45" s="17">
        <f>IF(O45="","",O45-$I$1)</f>
        <v/>
      </c>
    </row>
    <row r="46" ht="17.25" customHeight="1" s="237">
      <c r="A46" s="10">
        <f>ROW()-2</f>
        <v/>
      </c>
      <c r="B46" s="10" t="inlineStr">
        <is>
          <t>gs0012</t>
        </is>
      </c>
      <c r="C46" s="22">
        <f>VLOOKUP(B:B,재고차이!A:B,2,0)</f>
        <v/>
      </c>
      <c r="D46" s="22">
        <f>VLOOKUP(C:C,재고차이!B:C,2,0)</f>
        <v/>
      </c>
      <c r="E46" s="185">
        <f>26+13</f>
        <v/>
      </c>
      <c r="F46" s="185" t="n"/>
      <c r="G46" s="185" t="n"/>
      <c r="H46" s="185" t="n"/>
      <c r="I46" s="151" t="n">
        <v>46322</v>
      </c>
      <c r="J46" s="184" t="n"/>
      <c r="K46" s="20">
        <f>+P46</f>
        <v/>
      </c>
      <c r="L46" s="282">
        <f>IF(I46="","",SUMIF(제품등록!B:B,'창고2(실사표)'!C:C,제품등록!F:F))</f>
        <v/>
      </c>
      <c r="M46" s="11">
        <f>IF(I46=0,"",I46-L46)</f>
        <v/>
      </c>
      <c r="N46" s="283">
        <f>IF(M46="","",L46*상미75)</f>
        <v/>
      </c>
      <c r="O46" s="19">
        <f>IF(N46="","",M46+N46)</f>
        <v/>
      </c>
      <c r="P46" s="17">
        <f>IF(O46="","",O46-$I$1)</f>
        <v/>
      </c>
    </row>
    <row r="47" ht="17.25" customHeight="1" s="237">
      <c r="A47" s="10">
        <f>ROW()-2</f>
        <v/>
      </c>
      <c r="B47" s="10" t="inlineStr">
        <is>
          <t>IH0001</t>
        </is>
      </c>
      <c r="C47" s="22">
        <f>VLOOKUP(B:B,재고차이!A:B,2,0)</f>
        <v/>
      </c>
      <c r="D47" s="22">
        <f>VLOOKUP(C:C,재고차이!B:C,2,0)</f>
        <v/>
      </c>
      <c r="E47" s="185" t="n">
        <v>5</v>
      </c>
      <c r="F47" s="185" t="n"/>
      <c r="G47" s="185" t="n"/>
      <c r="H47" s="185" t="n"/>
      <c r="I47" s="151" t="n">
        <v>46306</v>
      </c>
      <c r="J47" s="184" t="n"/>
      <c r="K47" s="20">
        <f>+P47</f>
        <v/>
      </c>
      <c r="L47" s="282">
        <f>IF(I47="","",SUMIF(제품등록!B:B,'창고2(실사표)'!C:C,제품등록!F:F))</f>
        <v/>
      </c>
      <c r="M47" s="11">
        <f>IF(I47=0,"",I47-L47)</f>
        <v/>
      </c>
      <c r="N47" s="283">
        <f>IF(M47="","",L47*상미75)</f>
        <v/>
      </c>
      <c r="O47" s="19">
        <f>IF(N47="","",M47+N47)</f>
        <v/>
      </c>
      <c r="P47" s="17">
        <f>IF(O47="","",O47-$I$1)</f>
        <v/>
      </c>
    </row>
    <row r="48" ht="17.25" customHeight="1" s="237">
      <c r="A48" s="10">
        <f>ROW()-2</f>
        <v/>
      </c>
      <c r="B48" s="10" t="inlineStr">
        <is>
          <t>kc1005</t>
        </is>
      </c>
      <c r="C48" s="22">
        <f>VLOOKUP(B:B,재고차이!A:B,2,0)</f>
        <v/>
      </c>
      <c r="D48" s="22">
        <f>VLOOKUP(C:C,재고차이!B:C,2,0)</f>
        <v/>
      </c>
      <c r="E48" s="185" t="n">
        <v>10</v>
      </c>
      <c r="F48" s="185" t="n"/>
      <c r="G48" s="185" t="n"/>
      <c r="H48" s="185" t="n"/>
      <c r="I48" s="151" t="n">
        <v>46223</v>
      </c>
      <c r="J48" s="184" t="n"/>
      <c r="K48" s="20">
        <f>+P48</f>
        <v/>
      </c>
      <c r="L48" s="282">
        <f>IF(I48="","",SUMIF(제품등록!B:B,'창고2(실사표)'!C:C,제품등록!F:F))</f>
        <v/>
      </c>
      <c r="M48" s="11">
        <f>IF(I48=0,"",I48-L48)</f>
        <v/>
      </c>
      <c r="N48" s="283">
        <f>IF(M48="","",L48*상미75)</f>
        <v/>
      </c>
      <c r="O48" s="19">
        <f>IF(N48="","",M48+N48)</f>
        <v/>
      </c>
      <c r="P48" s="17">
        <f>IF(O48="","",O48-$I$1)</f>
        <v/>
      </c>
    </row>
  </sheetData>
  <autoFilter ref="A2:Q2">
    <sortState ref="A3:P56">
      <sortCondition ref="B2"/>
    </sortState>
  </autoFilter>
  <conditionalFormatting sqref="K1:K1048576 P3:P48">
    <cfRule type="cellIs" priority="5" operator="lessThan" dxfId="0">
      <formula>0</formula>
    </cfRule>
  </conditionalFormatting>
  <printOptions horizontalCentered="1" verticalCentered="1"/>
  <pageMargins left="0.3149606299212598" right="0.3149606299212598" top="0.7480314960629921" bottom="0.7480314960629921" header="0.3149606299212598" footer="0.3149606299212598"/>
  <pageSetup orientation="portrait" paperSize="9" scale="70"/>
  <colBreaks count="1" manualBreakCount="1">
    <brk id="11" min="0" max="1048575" man="1"/>
  </colBreaks>
</worksheet>
</file>

<file path=xl/worksheets/sheet6.xml><?xml version="1.0" encoding="utf-8"?>
<worksheet xmlns="http://schemas.openxmlformats.org/spreadsheetml/2006/main">
  <sheetPr codeName="Sheet14">
    <tabColor rgb="FFFF0000"/>
    <outlinePr summaryBelow="1" summaryRight="1"/>
    <pageSetUpPr/>
  </sheetPr>
  <dimension ref="A1:P55"/>
  <sheetViews>
    <sheetView zoomScaleNormal="100" workbookViewId="0">
      <pane ySplit="2" topLeftCell="A3" activePane="bottomLeft" state="frozen"/>
      <selection activeCell="I52" sqref="I52"/>
      <selection pane="bottomLeft" activeCell="A3" sqref="A3"/>
    </sheetView>
  </sheetViews>
  <sheetFormatPr baseColWidth="8" defaultRowHeight="16.5"/>
  <cols>
    <col width="5.75" customWidth="1" style="5" min="1" max="1"/>
    <col width="9.125" bestFit="1" customWidth="1" style="5" min="2" max="2"/>
    <col width="11.25" customWidth="1" style="5" min="3" max="3"/>
    <col width="41.25" customWidth="1" style="5" min="4" max="4"/>
    <col width="11.375" customWidth="1" style="5" min="5" max="5"/>
    <col hidden="1" width="11.375" customWidth="1" style="5" min="6" max="7"/>
    <col hidden="1" width="13.5" customWidth="1" style="5" min="8" max="8"/>
    <col width="13" customWidth="1" style="5" min="9" max="9"/>
    <col width="41.5" customWidth="1" style="5" min="10" max="10"/>
    <col width="14.75" customWidth="1" style="5" min="11" max="11"/>
    <col hidden="1" width="10.375" customWidth="1" style="280" min="12" max="12"/>
    <col hidden="1" width="12.375" customWidth="1" style="5" min="13" max="13"/>
    <col hidden="1" width="11" customWidth="1" style="5" min="14" max="14"/>
    <col hidden="1" width="12.75" customWidth="1" style="5" min="15" max="15"/>
    <col hidden="1" width="13.25" customWidth="1" style="5" min="16" max="16"/>
    <col width="9" customWidth="1" style="5" min="17" max="17"/>
    <col width="9" customWidth="1" style="5" min="18" max="16384"/>
  </cols>
  <sheetData>
    <row r="1" ht="24" customHeight="1" s="237">
      <c r="C1" s="15" t="n"/>
      <c r="D1" s="15" t="n"/>
      <c r="H1" s="5" t="inlineStr">
        <is>
          <t>조사일</t>
        </is>
      </c>
      <c r="I1" s="11">
        <f>TODAY()</f>
        <v/>
      </c>
      <c r="J1" s="11" t="n"/>
      <c r="L1" s="281" t="inlineStr">
        <is>
          <t>중요</t>
        </is>
      </c>
      <c r="N1" s="14" t="n"/>
    </row>
    <row r="2" ht="33" customHeight="1" s="237">
      <c r="A2" s="86" t="n"/>
      <c r="B2" s="86" t="inlineStr">
        <is>
          <t>제품코드</t>
        </is>
      </c>
      <c r="C2" s="86" t="inlineStr">
        <is>
          <t>SAP코드</t>
        </is>
      </c>
      <c r="D2" s="86" t="inlineStr">
        <is>
          <t>Brand Name</t>
        </is>
      </c>
      <c r="E2" s="86" t="inlineStr">
        <is>
          <t>아주</t>
        </is>
      </c>
      <c r="F2" s="86" t="inlineStr">
        <is>
          <t>940P</t>
        </is>
      </c>
      <c r="G2" s="86" t="inlineStr">
        <is>
          <t>잔량</t>
        </is>
      </c>
      <c r="H2" s="87" t="inlineStr">
        <is>
          <t>보류재고</t>
        </is>
      </c>
      <c r="I2" s="86" t="inlineStr">
        <is>
          <t>소비기한</t>
        </is>
      </c>
      <c r="J2" s="86" t="inlineStr">
        <is>
          <t>홀딩테그</t>
        </is>
      </c>
      <c r="K2" s="88" t="inlineStr">
        <is>
          <t>75% 사용가능</t>
        </is>
      </c>
      <c r="L2" s="284" t="inlineStr">
        <is>
          <t>소비기한</t>
        </is>
      </c>
      <c r="M2" s="5" t="inlineStr">
        <is>
          <t>생산일자</t>
        </is>
      </c>
      <c r="N2" s="89" t="n">
        <v>0.75</v>
      </c>
      <c r="O2" s="17" t="inlineStr">
        <is>
          <t>사용가능</t>
        </is>
      </c>
      <c r="P2" s="90" t="inlineStr">
        <is>
          <t>사용가능일수       75%</t>
        </is>
      </c>
    </row>
    <row r="3" ht="17.25" customHeight="1" s="237">
      <c r="A3" s="10">
        <f>ROW()-2</f>
        <v/>
      </c>
      <c r="B3" s="10" t="n">
        <v>1300</v>
      </c>
      <c r="C3" s="22">
        <f>VLOOKUP(B:B,재고차이!A:B,2,0)</f>
        <v/>
      </c>
      <c r="D3" s="22">
        <f>VLOOKUP(C:C,재고차이!B:C,2,0)</f>
        <v/>
      </c>
      <c r="E3" s="185">
        <f>2+26</f>
        <v/>
      </c>
      <c r="F3" s="185" t="n"/>
      <c r="G3" s="185" t="n"/>
      <c r="H3" s="185" t="n"/>
      <c r="I3" s="151" t="n">
        <v>46717</v>
      </c>
      <c r="J3" s="151" t="n"/>
      <c r="K3" s="20">
        <f>+P3</f>
        <v/>
      </c>
      <c r="L3" s="282">
        <f>IF(I3="","",SUMIF(제품등록!B:B,'창고3(실사표)'!C:C,제품등록!F:F))</f>
        <v/>
      </c>
      <c r="M3" s="11">
        <f>IF(I3=0,"",I3-L3)</f>
        <v/>
      </c>
      <c r="N3" s="283">
        <f>IF(M3="","",L3*상미75)</f>
        <v/>
      </c>
      <c r="O3" s="19">
        <f>IF(N3="","",M3+N3)</f>
        <v/>
      </c>
      <c r="P3" s="17">
        <f>IF(O3="","",O3-$I$1)</f>
        <v/>
      </c>
    </row>
    <row r="4" ht="17.25" customHeight="1" s="237">
      <c r="A4" s="10">
        <f>ROW()-2</f>
        <v/>
      </c>
      <c r="B4" s="10" t="n">
        <v>1300</v>
      </c>
      <c r="C4" s="22">
        <f>VLOOKUP(B:B,재고차이!A:B,2,0)</f>
        <v/>
      </c>
      <c r="D4" s="22">
        <f>VLOOKUP(C:C,재고차이!B:C,2,0)</f>
        <v/>
      </c>
      <c r="E4" s="185" t="n">
        <v>8</v>
      </c>
      <c r="F4" s="185" t="n"/>
      <c r="G4" s="185" t="n"/>
      <c r="H4" s="185" t="n"/>
      <c r="I4" s="151" t="n">
        <v>46718</v>
      </c>
      <c r="J4" s="151" t="n"/>
      <c r="K4" s="20">
        <f>+P4</f>
        <v/>
      </c>
      <c r="L4" s="282">
        <f>IF(I4="","",SUMIF(제품등록!B:B,'창고3(실사표)'!C:C,제품등록!F:F))</f>
        <v/>
      </c>
      <c r="M4" s="11">
        <f>IF(I4=0,"",I4-L4)</f>
        <v/>
      </c>
      <c r="N4" s="283">
        <f>IF(M4="","",L4*상미75)</f>
        <v/>
      </c>
      <c r="O4" s="19">
        <f>IF(N4="","",M4+N4)</f>
        <v/>
      </c>
      <c r="P4" s="17">
        <f>IF(O4="","",O4-$I$1)</f>
        <v/>
      </c>
    </row>
    <row r="5" ht="17.25" customHeight="1" s="237">
      <c r="A5" s="10">
        <f>ROW()-2</f>
        <v/>
      </c>
      <c r="B5" s="10" t="n">
        <v>4177</v>
      </c>
      <c r="C5" s="22">
        <f>VLOOKUP(B:B,재고차이!A:B,2,0)</f>
        <v/>
      </c>
      <c r="D5" s="22">
        <f>VLOOKUP(C:C,재고차이!B:C,2,0)</f>
        <v/>
      </c>
      <c r="E5" s="185" t="n">
        <v>1</v>
      </c>
      <c r="F5" s="185" t="n"/>
      <c r="G5" s="185" t="n"/>
      <c r="H5" s="185" t="n"/>
      <c r="I5" s="151" t="n">
        <v>46570</v>
      </c>
      <c r="J5" s="151" t="n"/>
      <c r="K5" s="20">
        <f>+P5</f>
        <v/>
      </c>
      <c r="L5" s="282">
        <f>IF(I5="","",SUMIF(제품등록!B:B,'창고3(실사표)'!C:C,제품등록!F:F))</f>
        <v/>
      </c>
      <c r="M5" s="11">
        <f>IF(I5=0,"",I5-L5)</f>
        <v/>
      </c>
      <c r="N5" s="283">
        <f>IF(M5="","",L5*상미75)</f>
        <v/>
      </c>
      <c r="O5" s="19">
        <f>IF(N5="","",M5+N5)</f>
        <v/>
      </c>
      <c r="P5" s="17">
        <f>IF(O5="","",O5-$I$1)</f>
        <v/>
      </c>
    </row>
    <row r="6" ht="17.25" customHeight="1" s="237">
      <c r="A6" s="10">
        <f>ROW()-2</f>
        <v/>
      </c>
      <c r="B6" s="10" t="n">
        <v>4177</v>
      </c>
      <c r="C6" s="22">
        <f>VLOOKUP(B:B,재고차이!A:B,2,0)</f>
        <v/>
      </c>
      <c r="D6" s="22">
        <f>VLOOKUP(C:C,재고차이!B:C,2,0)</f>
        <v/>
      </c>
      <c r="E6" s="185" t="n">
        <v>5</v>
      </c>
      <c r="F6" s="185" t="n"/>
      <c r="G6" s="185" t="n"/>
      <c r="H6" s="185" t="n"/>
      <c r="I6" s="151" t="n">
        <v>46582</v>
      </c>
      <c r="J6" s="151" t="n"/>
      <c r="K6" s="20">
        <f>+P6</f>
        <v/>
      </c>
      <c r="L6" s="282">
        <f>IF(I6="","",SUMIF(제품등록!B:B,'창고3(실사표)'!C:C,제품등록!F:F))</f>
        <v/>
      </c>
      <c r="M6" s="11">
        <f>IF(I6=0,"",I6-L6)</f>
        <v/>
      </c>
      <c r="N6" s="283">
        <f>IF(M6="","",L6*상미75)</f>
        <v/>
      </c>
      <c r="O6" s="19">
        <f>IF(N6="","",M6+N6)</f>
        <v/>
      </c>
      <c r="P6" s="17">
        <f>IF(O6="","",O6-$I$1)</f>
        <v/>
      </c>
    </row>
    <row r="7" ht="17.25" customHeight="1" s="237">
      <c r="A7" s="10">
        <f>ROW()-2</f>
        <v/>
      </c>
      <c r="B7" s="10" t="n">
        <v>4179</v>
      </c>
      <c r="C7" s="22">
        <f>VLOOKUP(B:B,재고차이!A:B,2,0)</f>
        <v/>
      </c>
      <c r="D7" s="22">
        <f>VLOOKUP(C:C,재고차이!B:C,2,0)</f>
        <v/>
      </c>
      <c r="E7" s="185" t="n">
        <v>24</v>
      </c>
      <c r="F7" s="185" t="n"/>
      <c r="G7" s="185" t="n"/>
      <c r="H7" s="185" t="n"/>
      <c r="I7" s="151" t="n">
        <v>46683</v>
      </c>
      <c r="J7" s="151" t="n"/>
      <c r="K7" s="20">
        <f>+P7</f>
        <v/>
      </c>
      <c r="L7" s="282">
        <f>IF(I7="","",SUMIF(제품등록!B:B,'창고3(실사표)'!C:C,제품등록!F:F))</f>
        <v/>
      </c>
      <c r="M7" s="11">
        <f>IF(I7=0,"",I7-L7)</f>
        <v/>
      </c>
      <c r="N7" s="283">
        <f>IF(M7="","",L7*상미75)</f>
        <v/>
      </c>
      <c r="O7" s="19">
        <f>IF(N7="","",M7+N7)</f>
        <v/>
      </c>
      <c r="P7" s="17">
        <f>IF(O7="","",O7-$I$1)</f>
        <v/>
      </c>
    </row>
    <row r="8" ht="17.25" customHeight="1" s="237">
      <c r="A8" s="10">
        <f>ROW()-2</f>
        <v/>
      </c>
      <c r="B8" s="10" t="n">
        <v>4179</v>
      </c>
      <c r="C8" s="22">
        <f>VLOOKUP(B:B,재고차이!A:B,2,0)</f>
        <v/>
      </c>
      <c r="D8" s="22">
        <f>VLOOKUP(C:C,재고차이!B:C,2,0)</f>
        <v/>
      </c>
      <c r="E8" s="185" t="n">
        <v>14</v>
      </c>
      <c r="F8" s="185" t="n"/>
      <c r="G8" s="185" t="n"/>
      <c r="H8" s="185" t="n"/>
      <c r="I8" s="151" t="n">
        <v>46722</v>
      </c>
      <c r="J8" s="151" t="n"/>
      <c r="K8" s="20">
        <f>+P8</f>
        <v/>
      </c>
      <c r="L8" s="282">
        <f>IF(I8="","",SUMIF(제품등록!B:B,'창고3(실사표)'!C:C,제품등록!F:F))</f>
        <v/>
      </c>
      <c r="M8" s="11">
        <f>IF(I8=0,"",I8-L8)</f>
        <v/>
      </c>
      <c r="N8" s="283">
        <f>IF(M8="","",L8*상미75)</f>
        <v/>
      </c>
      <c r="O8" s="19">
        <f>IF(N8="","",M8+N8)</f>
        <v/>
      </c>
      <c r="P8" s="17">
        <f>IF(O8="","",O8-$I$1)</f>
        <v/>
      </c>
    </row>
    <row r="9" ht="17.25" customHeight="1" s="237">
      <c r="A9" s="10">
        <f>ROW()-2</f>
        <v/>
      </c>
      <c r="B9" s="10" t="n">
        <v>4182</v>
      </c>
      <c r="C9" s="22">
        <f>VLOOKUP(B:B,재고차이!A:B,2,0)</f>
        <v/>
      </c>
      <c r="D9" s="22">
        <f>VLOOKUP(C:C,재고차이!B:C,2,0)</f>
        <v/>
      </c>
      <c r="E9" s="185" t="n">
        <v>9</v>
      </c>
      <c r="F9" s="185" t="n"/>
      <c r="G9" s="185" t="n"/>
      <c r="H9" s="185" t="n"/>
      <c r="I9" s="151" t="n">
        <v>46322</v>
      </c>
      <c r="J9" s="151" t="n"/>
      <c r="K9" s="20">
        <f>+P9</f>
        <v/>
      </c>
      <c r="L9" s="282">
        <f>IF(I9="","",SUMIF(제품등록!B:B,'창고3(실사표)'!C:C,제품등록!F:F))</f>
        <v/>
      </c>
      <c r="M9" s="11">
        <f>IF(I9=0,"",I9-L9)</f>
        <v/>
      </c>
      <c r="N9" s="283">
        <f>IF(M9="","",L9*상미75)</f>
        <v/>
      </c>
      <c r="O9" s="19">
        <f>IF(N9="","",M9+N9)</f>
        <v/>
      </c>
      <c r="P9" s="17">
        <f>IF(O9="","",O9-$I$1)</f>
        <v/>
      </c>
    </row>
    <row r="10" ht="17.25" customHeight="1" s="237">
      <c r="A10" s="10">
        <f>ROW()-2</f>
        <v/>
      </c>
      <c r="B10" s="10" t="n">
        <v>4183</v>
      </c>
      <c r="C10" s="22">
        <f>VLOOKUP(B:B,재고차이!A:B,2,0)</f>
        <v/>
      </c>
      <c r="D10" s="22">
        <f>VLOOKUP(C:C,재고차이!B:C,2,0)</f>
        <v/>
      </c>
      <c r="E10" s="185">
        <f>64+39</f>
        <v/>
      </c>
      <c r="F10" s="185" t="n"/>
      <c r="G10" s="185" t="n"/>
      <c r="H10" s="185" t="n"/>
      <c r="I10" s="151" t="n">
        <v>46322</v>
      </c>
      <c r="J10" s="151" t="n"/>
      <c r="K10" s="20">
        <f>+P10</f>
        <v/>
      </c>
      <c r="L10" s="282">
        <f>IF(I10="","",SUMIF(제품등록!B:B,'창고3(실사표)'!C:C,제품등록!F:F))</f>
        <v/>
      </c>
      <c r="M10" s="11">
        <f>IF(I10=0,"",I10-L10)</f>
        <v/>
      </c>
      <c r="N10" s="283">
        <f>IF(M10="","",L10*상미75)</f>
        <v/>
      </c>
      <c r="O10" s="19">
        <f>IF(N10="","",M10+N10)</f>
        <v/>
      </c>
      <c r="P10" s="17">
        <f>IF(O10="","",O10-$I$1)</f>
        <v/>
      </c>
    </row>
    <row r="11" ht="17.25" customHeight="1" s="237">
      <c r="A11" s="10">
        <f>ROW()-2</f>
        <v/>
      </c>
      <c r="B11" s="10" t="n">
        <v>4184</v>
      </c>
      <c r="C11" s="22">
        <f>VLOOKUP(B:B,재고차이!A:B,2,0)</f>
        <v/>
      </c>
      <c r="D11" s="22">
        <f>VLOOKUP(C:C,재고차이!B:C,2,0)</f>
        <v/>
      </c>
      <c r="E11" s="185" t="n">
        <v>8</v>
      </c>
      <c r="F11" s="185" t="n"/>
      <c r="G11" s="185" t="n"/>
      <c r="H11" s="185" t="n"/>
      <c r="I11" s="151" t="n">
        <v>46310</v>
      </c>
      <c r="J11" s="184" t="n"/>
      <c r="K11" s="20">
        <f>+P11</f>
        <v/>
      </c>
      <c r="L11" s="282">
        <f>IF(I11="","",SUMIF(제품등록!B:B,'창고3(실사표)'!C:C,제품등록!F:F))</f>
        <v/>
      </c>
      <c r="M11" s="11">
        <f>IF(I11=0,"",I11-L11)</f>
        <v/>
      </c>
      <c r="N11" s="283">
        <f>IF(M11="","",L11*상미75)</f>
        <v/>
      </c>
      <c r="O11" s="19">
        <f>IF(N11="","",M11+N11)</f>
        <v/>
      </c>
      <c r="P11" s="17">
        <f>IF(O11="","",O11-$I$1)</f>
        <v/>
      </c>
    </row>
    <row r="12" ht="17.25" customHeight="1" s="237">
      <c r="A12" s="10">
        <f>ROW()-2</f>
        <v/>
      </c>
      <c r="B12" s="10" t="n">
        <v>4184</v>
      </c>
      <c r="C12" s="22">
        <f>VLOOKUP(B:B,재고차이!A:B,2,0)</f>
        <v/>
      </c>
      <c r="D12" s="22">
        <f>VLOOKUP(C:C,재고차이!B:C,2,0)</f>
        <v/>
      </c>
      <c r="E12" s="185" t="n">
        <v>28</v>
      </c>
      <c r="F12" s="185" t="n"/>
      <c r="G12" s="185" t="n"/>
      <c r="H12" s="185" t="n"/>
      <c r="I12" s="151" t="n">
        <v>46339</v>
      </c>
      <c r="J12" s="184" t="n"/>
      <c r="K12" s="20">
        <f>+P12</f>
        <v/>
      </c>
      <c r="L12" s="282">
        <f>IF(I12="","",SUMIF(제품등록!B:B,'창고3(실사표)'!C:C,제품등록!F:F))</f>
        <v/>
      </c>
      <c r="M12" s="11">
        <f>IF(I12=0,"",I12-L12)</f>
        <v/>
      </c>
      <c r="N12" s="283">
        <f>IF(M12="","",L12*상미75)</f>
        <v/>
      </c>
      <c r="O12" s="19">
        <f>IF(N12="","",M12+N12)</f>
        <v/>
      </c>
      <c r="P12" s="17">
        <f>IF(O12="","",O12-$I$1)</f>
        <v/>
      </c>
    </row>
    <row r="13" ht="17.25" customHeight="1" s="237">
      <c r="A13" s="10">
        <f>ROW()-2</f>
        <v/>
      </c>
      <c r="B13" s="10" t="n">
        <v>4823</v>
      </c>
      <c r="C13" s="22">
        <f>VLOOKUP(B:B,재고차이!A:B,2,0)</f>
        <v/>
      </c>
      <c r="D13" s="22">
        <f>VLOOKUP(C:C,재고차이!B:C,2,0)</f>
        <v/>
      </c>
      <c r="E13" s="185" t="n">
        <v>9</v>
      </c>
      <c r="F13" s="185" t="n"/>
      <c r="G13" s="185" t="n"/>
      <c r="H13" s="185" t="n"/>
      <c r="I13" s="151" t="n">
        <v>46708</v>
      </c>
      <c r="J13" s="151" t="n"/>
      <c r="K13" s="20">
        <f>+P13</f>
        <v/>
      </c>
      <c r="L13" s="282">
        <f>IF(I13="","",SUMIF(제품등록!B:B,'창고3(실사표)'!C:C,제품등록!F:F))</f>
        <v/>
      </c>
      <c r="M13" s="11">
        <f>IF(I13=0,"",I13-L13)</f>
        <v/>
      </c>
      <c r="N13" s="283">
        <f>IF(M13="","",L13*상미75)</f>
        <v/>
      </c>
      <c r="O13" s="19">
        <f>IF(N13="","",M13+N13)</f>
        <v/>
      </c>
      <c r="P13" s="17">
        <f>IF(O13="","",O13-$I$1)</f>
        <v/>
      </c>
    </row>
    <row r="14" ht="17.25" customHeight="1" s="237">
      <c r="A14" s="10">
        <f>ROW()-2</f>
        <v/>
      </c>
      <c r="B14" s="10" t="n">
        <v>4872</v>
      </c>
      <c r="C14" s="22">
        <f>VLOOKUP(B:B,재고차이!A:B,2,0)</f>
        <v/>
      </c>
      <c r="D14" s="22">
        <f>VLOOKUP(C:C,재고차이!B:C,2,0)</f>
        <v/>
      </c>
      <c r="E14" s="185" t="n">
        <v>10</v>
      </c>
      <c r="F14" s="185" t="n"/>
      <c r="G14" s="185" t="n"/>
      <c r="H14" s="185" t="n"/>
      <c r="I14" s="151" t="n">
        <v>46366</v>
      </c>
      <c r="J14" s="151" t="n"/>
      <c r="K14" s="20">
        <f>+P14</f>
        <v/>
      </c>
      <c r="L14" s="282">
        <f>IF(I14="","",SUMIF(제품등록!B:B,'창고3(실사표)'!C:C,제품등록!F:F))</f>
        <v/>
      </c>
      <c r="M14" s="11">
        <f>IF(I14=0,"",I14-L14)</f>
        <v/>
      </c>
      <c r="N14" s="283">
        <f>IF(M14="","",L14*상미75)</f>
        <v/>
      </c>
      <c r="O14" s="19">
        <f>IF(N14="","",M14+N14)</f>
        <v/>
      </c>
      <c r="P14" s="17">
        <f>IF(O14="","",O14-$I$1)</f>
        <v/>
      </c>
    </row>
    <row r="15" ht="17.25" customHeight="1" s="237">
      <c r="A15" s="10">
        <f>ROW()-2</f>
        <v/>
      </c>
      <c r="B15" s="10" t="n">
        <v>4872</v>
      </c>
      <c r="C15" s="22">
        <f>VLOOKUP(B:B,재고차이!A:B,2,0)</f>
        <v/>
      </c>
      <c r="D15" s="22">
        <f>VLOOKUP(C:C,재고차이!B:C,2,0)</f>
        <v/>
      </c>
      <c r="E15" s="185" t="n">
        <v>24</v>
      </c>
      <c r="F15" s="185" t="n"/>
      <c r="G15" s="185" t="n"/>
      <c r="H15" s="185" t="n"/>
      <c r="I15" s="151" t="n">
        <v>46367</v>
      </c>
      <c r="J15" s="151" t="n"/>
      <c r="K15" s="20">
        <f>+P15</f>
        <v/>
      </c>
      <c r="L15" s="282">
        <f>IF(I15="","",SUMIF(제품등록!B:B,'창고3(실사표)'!C:C,제품등록!F:F))</f>
        <v/>
      </c>
      <c r="M15" s="11">
        <f>IF(I15=0,"",I15-L15)</f>
        <v/>
      </c>
      <c r="N15" s="283">
        <f>IF(M15="","",L15*상미75)</f>
        <v/>
      </c>
      <c r="O15" s="19">
        <f>IF(N15="","",M15+N15)</f>
        <v/>
      </c>
      <c r="P15" s="17">
        <f>IF(O15="","",O15-$I$1)</f>
        <v/>
      </c>
    </row>
    <row r="16" ht="17.25" customHeight="1" s="237">
      <c r="A16" s="10">
        <f>ROW()-2</f>
        <v/>
      </c>
      <c r="B16" s="10" t="n">
        <v>4879</v>
      </c>
      <c r="C16" s="22">
        <f>VLOOKUP(B:B,재고차이!A:B,2,0)</f>
        <v/>
      </c>
      <c r="D16" s="22">
        <f>VLOOKUP(C:C,재고차이!B:C,2,0)</f>
        <v/>
      </c>
      <c r="E16" s="185" t="n">
        <v>5</v>
      </c>
      <c r="F16" s="185" t="n"/>
      <c r="G16" s="185" t="n"/>
      <c r="H16" s="185" t="n"/>
      <c r="I16" s="151" t="n">
        <v>46358</v>
      </c>
      <c r="J16" s="151" t="n"/>
      <c r="K16" s="20">
        <f>+P16</f>
        <v/>
      </c>
      <c r="L16" s="282">
        <f>IF(I16="","",SUMIF(제품등록!B:B,'창고3(실사표)'!C:C,제품등록!F:F))</f>
        <v/>
      </c>
      <c r="M16" s="11">
        <f>IF(I16=0,"",I16-L16)</f>
        <v/>
      </c>
      <c r="N16" s="283">
        <f>IF(M16="","",L16*상미75)</f>
        <v/>
      </c>
      <c r="O16" s="19">
        <f>IF(N16="","",M16+N16)</f>
        <v/>
      </c>
      <c r="P16" s="17">
        <f>IF(O16="","",O16-$I$1)</f>
        <v/>
      </c>
    </row>
    <row r="17" ht="17.25" customHeight="1" s="237">
      <c r="A17" s="10">
        <f>ROW()-2</f>
        <v/>
      </c>
      <c r="B17" s="10" t="n">
        <v>4899</v>
      </c>
      <c r="C17" s="22">
        <f>VLOOKUP(B:B,재고차이!A:B,2,0)</f>
        <v/>
      </c>
      <c r="D17" s="22">
        <f>VLOOKUP(C:C,재고차이!B:C,2,0)</f>
        <v/>
      </c>
      <c r="E17" s="185" t="n">
        <v>12</v>
      </c>
      <c r="F17" s="185" t="n"/>
      <c r="G17" s="185" t="n"/>
      <c r="H17" s="185" t="n"/>
      <c r="I17" s="151" t="n">
        <v>46343</v>
      </c>
      <c r="J17" s="151" t="n"/>
      <c r="K17" s="20">
        <f>+P17</f>
        <v/>
      </c>
      <c r="L17" s="282">
        <f>IF(I17="","",SUMIF(제품등록!B:B,'창고3(실사표)'!C:C,제품등록!F:F))</f>
        <v/>
      </c>
      <c r="M17" s="11">
        <f>IF(I17=0,"",I17-L17)</f>
        <v/>
      </c>
      <c r="N17" s="283">
        <f>IF(M17="","",L17*상미75)</f>
        <v/>
      </c>
      <c r="O17" s="19">
        <f>IF(N17="","",M17+N17)</f>
        <v/>
      </c>
      <c r="P17" s="17">
        <f>IF(O17="","",O17-$I$1)</f>
        <v/>
      </c>
    </row>
    <row r="18" ht="17.25" customHeight="1" s="237">
      <c r="A18" s="10">
        <f>ROW()-2</f>
        <v/>
      </c>
      <c r="B18" s="10" t="n">
        <v>5194</v>
      </c>
      <c r="C18" s="22">
        <f>VLOOKUP(B:B,재고차이!A:B,2,0)</f>
        <v/>
      </c>
      <c r="D18" s="22">
        <f>VLOOKUP(C:C,재고차이!B:C,2,0)</f>
        <v/>
      </c>
      <c r="E18" s="185" t="n">
        <v>18</v>
      </c>
      <c r="F18" s="185" t="n"/>
      <c r="G18" s="185" t="n"/>
      <c r="H18" s="185" t="n"/>
      <c r="I18" s="151" t="n">
        <v>46526</v>
      </c>
      <c r="J18" s="151" t="n"/>
      <c r="K18" s="20">
        <f>+P18</f>
        <v/>
      </c>
      <c r="L18" s="282">
        <f>IF(I18="","",SUMIF(제품등록!B:B,'창고3(실사표)'!C:C,제품등록!F:F))</f>
        <v/>
      </c>
      <c r="M18" s="11">
        <f>IF(I18=0,"",I18-L18)</f>
        <v/>
      </c>
      <c r="N18" s="283">
        <f>IF(M18="","",L18*상미75)</f>
        <v/>
      </c>
      <c r="O18" s="19">
        <f>IF(N18="","",M18+N18)</f>
        <v/>
      </c>
      <c r="P18" s="17">
        <f>IF(O18="","",O18-$I$1)</f>
        <v/>
      </c>
    </row>
    <row r="19" ht="17.25" customHeight="1" s="237">
      <c r="A19" s="10">
        <f>ROW()-2</f>
        <v/>
      </c>
      <c r="B19" s="10" t="n">
        <v>5312</v>
      </c>
      <c r="C19" s="22">
        <f>VLOOKUP(B:B,재고차이!A:B,2,0)</f>
        <v/>
      </c>
      <c r="D19" s="22">
        <f>VLOOKUP(C:C,재고차이!B:C,2,0)</f>
        <v/>
      </c>
      <c r="E19" s="185" t="n">
        <v>4</v>
      </c>
      <c r="F19" s="185" t="n"/>
      <c r="G19" s="185" t="n"/>
      <c r="H19" s="185" t="n"/>
      <c r="I19" s="151" t="n">
        <v>46649</v>
      </c>
      <c r="J19" s="151" t="n"/>
      <c r="K19" s="20">
        <f>+P19</f>
        <v/>
      </c>
      <c r="L19" s="282">
        <f>IF(I19="","",SUMIF(제품등록!B:B,'창고3(실사표)'!C:C,제품등록!F:F))</f>
        <v/>
      </c>
      <c r="M19" s="11">
        <f>IF(I19=0,"",I19-L19)</f>
        <v/>
      </c>
      <c r="N19" s="283">
        <f>IF(M19="","",L19*상미75)</f>
        <v/>
      </c>
      <c r="O19" s="19">
        <f>IF(N19="","",M19+N19)</f>
        <v/>
      </c>
      <c r="P19" s="17">
        <f>IF(O19="","",O19-$I$1)</f>
        <v/>
      </c>
    </row>
    <row r="20" ht="17.25" customHeight="1" s="237">
      <c r="A20" s="10">
        <f>ROW()-2</f>
        <v/>
      </c>
      <c r="B20" s="10" t="n">
        <v>5628</v>
      </c>
      <c r="C20" s="22">
        <f>VLOOKUP(B:B,재고차이!A:B,2,0)</f>
        <v/>
      </c>
      <c r="D20" s="22">
        <f>VLOOKUP(C:C,재고차이!B:C,2,0)</f>
        <v/>
      </c>
      <c r="E20" s="185" t="n">
        <v>26</v>
      </c>
      <c r="F20" s="185" t="n"/>
      <c r="G20" s="185" t="n"/>
      <c r="H20" s="185" t="n"/>
      <c r="I20" s="151" t="n">
        <v>46634</v>
      </c>
      <c r="J20" s="151" t="n"/>
      <c r="K20" s="20">
        <f>+P20</f>
        <v/>
      </c>
      <c r="L20" s="282">
        <f>IF(I20="","",SUMIF(제품등록!B:B,'창고3(실사표)'!C:C,제품등록!F:F))</f>
        <v/>
      </c>
      <c r="M20" s="11">
        <f>IF(I20=0,"",I20-L20)</f>
        <v/>
      </c>
      <c r="N20" s="283">
        <f>IF(M20="","",L20*상미75)</f>
        <v/>
      </c>
      <c r="O20" s="19">
        <f>IF(N20="","",M20+N20)</f>
        <v/>
      </c>
      <c r="P20" s="17">
        <f>IF(O20="","",O20-$I$1)</f>
        <v/>
      </c>
    </row>
    <row r="21" ht="17.25" customHeight="1" s="237">
      <c r="A21" s="10">
        <f>ROW()-2</f>
        <v/>
      </c>
      <c r="B21" s="10" t="n">
        <v>5636</v>
      </c>
      <c r="C21" s="22">
        <f>VLOOKUP(B:B,재고차이!A:B,2,0)</f>
        <v/>
      </c>
      <c r="D21" s="22">
        <f>VLOOKUP(C:C,재고차이!B:C,2,0)</f>
        <v/>
      </c>
      <c r="E21" s="185" t="n">
        <v>41</v>
      </c>
      <c r="F21" s="185" t="n"/>
      <c r="G21" s="185" t="n"/>
      <c r="H21" s="185" t="n"/>
      <c r="I21" s="151" t="n">
        <v>46702</v>
      </c>
      <c r="J21" s="151" t="n"/>
      <c r="K21" s="20">
        <f>+P21</f>
        <v/>
      </c>
      <c r="L21" s="282">
        <f>IF(I21="","",SUMIF(제품등록!B:B,'창고3(실사표)'!C:C,제품등록!F:F))</f>
        <v/>
      </c>
      <c r="M21" s="11">
        <f>IF(I21=0,"",I21-L21)</f>
        <v/>
      </c>
      <c r="N21" s="283">
        <f>IF(M21="","",L21*상미75)</f>
        <v/>
      </c>
      <c r="O21" s="19">
        <f>IF(N21="","",M21+N21)</f>
        <v/>
      </c>
      <c r="P21" s="17">
        <f>IF(O21="","",O21-$I$1)</f>
        <v/>
      </c>
    </row>
    <row r="22" ht="17.25" customHeight="1" s="237">
      <c r="A22" s="10">
        <f>ROW()-2</f>
        <v/>
      </c>
      <c r="B22" s="10" t="n">
        <v>5639</v>
      </c>
      <c r="C22" s="22">
        <f>VLOOKUP(B:B,재고차이!A:B,2,0)</f>
        <v/>
      </c>
      <c r="D22" s="22">
        <f>VLOOKUP(C:C,재고차이!B:C,2,0)</f>
        <v/>
      </c>
      <c r="E22" s="185" t="n">
        <v>18</v>
      </c>
      <c r="F22" s="185" t="n"/>
      <c r="G22" s="185" t="n"/>
      <c r="H22" s="185" t="n"/>
      <c r="I22" s="151" t="n">
        <v>46645</v>
      </c>
      <c r="J22" s="151" t="n"/>
      <c r="K22" s="20">
        <f>+P22</f>
        <v/>
      </c>
      <c r="L22" s="282">
        <f>IF(I22="","",SUMIF(제품등록!B:B,'창고3(실사표)'!C:C,제품등록!F:F))</f>
        <v/>
      </c>
      <c r="M22" s="11">
        <f>IF(I22=0,"",I22-L22)</f>
        <v/>
      </c>
      <c r="N22" s="283">
        <f>IF(M22="","",L22*상미75)</f>
        <v/>
      </c>
      <c r="O22" s="19">
        <f>IF(N22="","",M22+N22)</f>
        <v/>
      </c>
      <c r="P22" s="17">
        <f>IF(O22="","",O22-$I$1)</f>
        <v/>
      </c>
    </row>
    <row r="23" ht="17.25" customHeight="1" s="237">
      <c r="A23" s="10">
        <f>ROW()-2</f>
        <v/>
      </c>
      <c r="B23" s="10" t="n">
        <v>5641</v>
      </c>
      <c r="C23" s="22">
        <f>VLOOKUP(B:B,재고차이!A:B,2,0)</f>
        <v/>
      </c>
      <c r="D23" s="22">
        <f>VLOOKUP(C:C,재고차이!B:C,2,0)</f>
        <v/>
      </c>
      <c r="E23" s="10">
        <f>14+22</f>
        <v/>
      </c>
      <c r="F23" s="10" t="n"/>
      <c r="G23" s="185" t="n"/>
      <c r="H23" s="185" t="n"/>
      <c r="I23" s="184" t="n">
        <v>46681</v>
      </c>
      <c r="J23" s="151" t="n"/>
      <c r="K23" s="20">
        <f>+P23</f>
        <v/>
      </c>
      <c r="L23" s="282">
        <f>IF(I23="","",SUMIF(제품등록!B:B,'창고3(실사표)'!C:C,제품등록!F:F))</f>
        <v/>
      </c>
      <c r="M23" s="11">
        <f>IF(I23=0,"",I23-L23)</f>
        <v/>
      </c>
      <c r="N23" s="283">
        <f>IF(M23="","",L23*상미75)</f>
        <v/>
      </c>
      <c r="O23" s="19">
        <f>IF(N23="","",M23+N23)</f>
        <v/>
      </c>
      <c r="P23" s="17">
        <f>IF(O23="","",O23-$I$1)</f>
        <v/>
      </c>
    </row>
    <row r="24" ht="17.25" customHeight="1" s="237">
      <c r="A24" s="10">
        <f>ROW()-2</f>
        <v/>
      </c>
      <c r="B24" s="10" t="n">
        <v>5641</v>
      </c>
      <c r="C24" s="22">
        <f>VLOOKUP(B:B,재고차이!A:B,2,0)</f>
        <v/>
      </c>
      <c r="D24" s="22">
        <f>VLOOKUP(C:C,재고차이!B:C,2,0)</f>
        <v/>
      </c>
      <c r="E24" s="10" t="n">
        <v>4</v>
      </c>
      <c r="F24" s="10" t="n"/>
      <c r="G24" s="185" t="n"/>
      <c r="H24" s="185" t="n"/>
      <c r="I24" s="184" t="n">
        <v>46694</v>
      </c>
      <c r="J24" s="151" t="n"/>
      <c r="K24" s="20">
        <f>+P24</f>
        <v/>
      </c>
      <c r="L24" s="282">
        <f>IF(I24="","",SUMIF(제품등록!B:B,'창고3(실사표)'!C:C,제품등록!F:F))</f>
        <v/>
      </c>
      <c r="M24" s="11">
        <f>IF(I24=0,"",I24-L24)</f>
        <v/>
      </c>
      <c r="N24" s="283">
        <f>IF(M24="","",L24*상미75)</f>
        <v/>
      </c>
      <c r="O24" s="19">
        <f>IF(N24="","",M24+N24)</f>
        <v/>
      </c>
      <c r="P24" s="17">
        <f>IF(O24="","",O24-$I$1)</f>
        <v/>
      </c>
    </row>
    <row r="25" ht="17.25" customHeight="1" s="237">
      <c r="A25" s="10">
        <f>ROW()-2</f>
        <v/>
      </c>
      <c r="B25" s="10" t="n">
        <v>5643</v>
      </c>
      <c r="C25" s="22">
        <f>VLOOKUP(B:B,재고차이!A:B,2,0)</f>
        <v/>
      </c>
      <c r="D25" s="22">
        <f>VLOOKUP(C:C,재고차이!B:C,2,0)</f>
        <v/>
      </c>
      <c r="E25" s="10" t="n">
        <v>12</v>
      </c>
      <c r="F25" s="10" t="n"/>
      <c r="G25" s="185" t="n"/>
      <c r="H25" s="185" t="n"/>
      <c r="I25" s="184" t="n">
        <v>46697</v>
      </c>
      <c r="J25" s="151" t="n"/>
      <c r="K25" s="20">
        <f>+P25</f>
        <v/>
      </c>
      <c r="L25" s="282">
        <f>IF(I25="","",SUMIF(제품등록!B:B,'창고3(실사표)'!C:C,제품등록!F:F))</f>
        <v/>
      </c>
      <c r="M25" s="11">
        <f>IF(I25=0,"",I25-L25)</f>
        <v/>
      </c>
      <c r="N25" s="283">
        <f>IF(M25="","",L25*상미75)</f>
        <v/>
      </c>
      <c r="O25" s="19">
        <f>IF(N25="","",M25+N25)</f>
        <v/>
      </c>
      <c r="P25" s="17">
        <f>IF(O25="","",O25-$I$1)</f>
        <v/>
      </c>
    </row>
    <row r="26" ht="17.25" customHeight="1" s="237">
      <c r="A26" s="10">
        <f>ROW()-2</f>
        <v/>
      </c>
      <c r="B26" s="10" t="n">
        <v>5643</v>
      </c>
      <c r="C26" s="22">
        <f>VLOOKUP(B:B,재고차이!A:B,2,0)</f>
        <v/>
      </c>
      <c r="D26" s="22">
        <f>VLOOKUP(C:C,재고차이!B:C,2,0)</f>
        <v/>
      </c>
      <c r="E26" s="10">
        <f>24+34</f>
        <v/>
      </c>
      <c r="F26" s="10" t="n"/>
      <c r="G26" s="185" t="n"/>
      <c r="H26" s="185" t="n"/>
      <c r="I26" s="184" t="n">
        <v>46708</v>
      </c>
      <c r="J26" s="151" t="n"/>
      <c r="K26" s="20">
        <f>+P26</f>
        <v/>
      </c>
      <c r="L26" s="282">
        <f>IF(I26="","",SUMIF(제품등록!B:B,'창고3(실사표)'!C:C,제품등록!F:F))</f>
        <v/>
      </c>
      <c r="M26" s="11">
        <f>IF(I26=0,"",I26-L26)</f>
        <v/>
      </c>
      <c r="N26" s="283">
        <f>IF(M26="","",L26*상미75)</f>
        <v/>
      </c>
      <c r="O26" s="19">
        <f>IF(N26="","",M26+N26)</f>
        <v/>
      </c>
      <c r="P26" s="17">
        <f>IF(O26="","",O26-$I$1)</f>
        <v/>
      </c>
    </row>
    <row r="27" ht="17.25" customHeight="1" s="237">
      <c r="A27" s="10">
        <f>ROW()-2</f>
        <v/>
      </c>
      <c r="B27" s="10" t="n">
        <v>5656</v>
      </c>
      <c r="C27" s="22">
        <f>VLOOKUP(B:B,재고차이!A:B,2,0)</f>
        <v/>
      </c>
      <c r="D27" s="22">
        <f>VLOOKUP(C:C,재고차이!B:C,2,0)</f>
        <v/>
      </c>
      <c r="E27" s="185" t="n">
        <v>23</v>
      </c>
      <c r="F27" s="185" t="n"/>
      <c r="G27" s="185" t="n"/>
      <c r="H27" s="185" t="n"/>
      <c r="I27" s="151" t="n">
        <v>46703</v>
      </c>
      <c r="J27" s="151" t="n"/>
      <c r="K27" s="20">
        <f>+P27</f>
        <v/>
      </c>
      <c r="L27" s="282">
        <f>IF(I27="","",SUMIF(제품등록!B:B,'창고3(실사표)'!C:C,제품등록!F:F))</f>
        <v/>
      </c>
      <c r="M27" s="11">
        <f>IF(I27=0,"",I27-L27)</f>
        <v/>
      </c>
      <c r="N27" s="283">
        <f>IF(M27="","",L27*상미75)</f>
        <v/>
      </c>
      <c r="O27" s="19">
        <f>IF(N27="","",M27+N27)</f>
        <v/>
      </c>
      <c r="P27" s="17">
        <f>IF(O27="","",O27-$I$1)</f>
        <v/>
      </c>
    </row>
    <row r="28" ht="17.25" customHeight="1" s="237">
      <c r="A28" s="10">
        <f>ROW()-2</f>
        <v/>
      </c>
      <c r="B28" s="10" t="n">
        <v>5656</v>
      </c>
      <c r="C28" s="22">
        <f>VLOOKUP(B:B,재고차이!A:B,2,0)</f>
        <v/>
      </c>
      <c r="D28" s="22">
        <f>VLOOKUP(C:C,재고차이!B:C,2,0)</f>
        <v/>
      </c>
      <c r="E28" s="185" t="n">
        <v>10</v>
      </c>
      <c r="F28" s="185" t="n"/>
      <c r="G28" s="185" t="n"/>
      <c r="H28" s="185" t="n"/>
      <c r="I28" s="151" t="n">
        <v>46729</v>
      </c>
      <c r="J28" s="151" t="n"/>
      <c r="K28" s="20">
        <f>+P28</f>
        <v/>
      </c>
      <c r="L28" s="282">
        <f>IF(I28="","",SUMIF(제품등록!B:B,'창고3(실사표)'!C:C,제품등록!F:F))</f>
        <v/>
      </c>
      <c r="M28" s="11">
        <f>IF(I28=0,"",I28-L28)</f>
        <v/>
      </c>
      <c r="N28" s="283">
        <f>IF(M28="","",L28*상미75)</f>
        <v/>
      </c>
      <c r="O28" s="19">
        <f>IF(N28="","",M28+N28)</f>
        <v/>
      </c>
      <c r="P28" s="17">
        <f>IF(O28="","",O28-$I$1)</f>
        <v/>
      </c>
    </row>
    <row r="29" ht="17.25" customHeight="1" s="237">
      <c r="A29" s="10">
        <f>ROW()-2</f>
        <v/>
      </c>
      <c r="B29" s="10" t="n">
        <v>5664</v>
      </c>
      <c r="C29" s="22">
        <f>VLOOKUP(B:B,재고차이!A:B,2,0)</f>
        <v/>
      </c>
      <c r="D29" s="22">
        <f>VLOOKUP(C:C,재고차이!B:C,2,0)</f>
        <v/>
      </c>
      <c r="E29" s="185" t="n">
        <v>10</v>
      </c>
      <c r="F29" s="185" t="n"/>
      <c r="G29" s="185" t="n"/>
      <c r="H29" s="185" t="n"/>
      <c r="I29" s="151" t="n">
        <v>46711</v>
      </c>
      <c r="J29" s="151" t="n"/>
      <c r="K29" s="20">
        <f>+P29</f>
        <v/>
      </c>
      <c r="L29" s="282">
        <f>IF(I29="","",SUMIF(제품등록!B:B,'창고3(실사표)'!C:C,제품등록!F:F))</f>
        <v/>
      </c>
      <c r="M29" s="11">
        <f>IF(I29=0,"",I29-L29)</f>
        <v/>
      </c>
      <c r="N29" s="283">
        <f>IF(M29="","",L29*상미75)</f>
        <v/>
      </c>
      <c r="O29" s="19">
        <f>IF(N29="","",M29+N29)</f>
        <v/>
      </c>
      <c r="P29" s="17">
        <f>IF(O29="","",O29-$I$1)</f>
        <v/>
      </c>
    </row>
    <row r="30" ht="17.25" customHeight="1" s="237">
      <c r="A30" s="10">
        <f>ROW()-2</f>
        <v/>
      </c>
      <c r="B30" s="10" t="n">
        <v>5664</v>
      </c>
      <c r="C30" s="22">
        <f>VLOOKUP(B:B,재고차이!A:B,2,0)</f>
        <v/>
      </c>
      <c r="D30" s="22">
        <f>VLOOKUP(C:C,재고차이!B:C,2,0)</f>
        <v/>
      </c>
      <c r="E30" s="185" t="n">
        <v>14</v>
      </c>
      <c r="F30" s="185" t="n"/>
      <c r="G30" s="185" t="n"/>
      <c r="H30" s="185" t="n"/>
      <c r="I30" s="151" t="n">
        <v>46729</v>
      </c>
      <c r="J30" s="151" t="n"/>
      <c r="K30" s="20">
        <f>+P30</f>
        <v/>
      </c>
      <c r="L30" s="282">
        <f>IF(I30="","",SUMIF(제품등록!B:B,'창고3(실사표)'!C:C,제품등록!F:F))</f>
        <v/>
      </c>
      <c r="M30" s="11">
        <f>IF(I30=0,"",I30-L30)</f>
        <v/>
      </c>
      <c r="N30" s="283">
        <f>IF(M30="","",L30*상미75)</f>
        <v/>
      </c>
      <c r="O30" s="19">
        <f>IF(N30="","",M30+N30)</f>
        <v/>
      </c>
      <c r="P30" s="17">
        <f>IF(O30="","",O30-$I$1)</f>
        <v/>
      </c>
    </row>
    <row r="31" ht="17.25" customHeight="1" s="237">
      <c r="A31" s="10">
        <f>ROW()-2</f>
        <v/>
      </c>
      <c r="B31" s="10" t="n">
        <v>5668</v>
      </c>
      <c r="C31" s="22">
        <f>VLOOKUP(B:B,재고차이!A:B,2,0)</f>
        <v/>
      </c>
      <c r="D31" s="22">
        <f>VLOOKUP(C:C,재고차이!B:C,2,0)</f>
        <v/>
      </c>
      <c r="E31" s="185" t="n">
        <v>1</v>
      </c>
      <c r="F31" s="185" t="n"/>
      <c r="G31" s="185" t="n"/>
      <c r="H31" s="185" t="n"/>
      <c r="I31" s="151" t="n">
        <v>46599</v>
      </c>
      <c r="J31" s="151" t="n"/>
      <c r="K31" s="20">
        <f>+P31</f>
        <v/>
      </c>
      <c r="L31" s="282">
        <f>IF(I31="","",SUMIF(제품등록!B:B,'창고3(실사표)'!C:C,제품등록!F:F))</f>
        <v/>
      </c>
      <c r="M31" s="11">
        <f>IF(I31=0,"",I31-L31)</f>
        <v/>
      </c>
      <c r="N31" s="283">
        <f>IF(M31="","",L31*상미75)</f>
        <v/>
      </c>
      <c r="O31" s="19">
        <f>IF(N31="","",M31+N31)</f>
        <v/>
      </c>
      <c r="P31" s="17">
        <f>IF(O31="","",O31-$I$1)</f>
        <v/>
      </c>
    </row>
    <row r="32" ht="17.25" customHeight="1" s="237">
      <c r="A32" s="10">
        <f>ROW()-2</f>
        <v/>
      </c>
      <c r="B32" s="10" t="n">
        <v>5668</v>
      </c>
      <c r="C32" s="22">
        <f>VLOOKUP(B:B,재고차이!A:B,2,0)</f>
        <v/>
      </c>
      <c r="D32" s="22">
        <f>VLOOKUP(C:C,재고차이!B:C,2,0)</f>
        <v/>
      </c>
      <c r="E32" s="185" t="n">
        <v>13</v>
      </c>
      <c r="F32" s="185" t="n"/>
      <c r="G32" s="185" t="n"/>
      <c r="H32" s="185" t="n"/>
      <c r="I32" s="151" t="n">
        <v>46645</v>
      </c>
      <c r="J32" s="151" t="n"/>
      <c r="K32" s="20">
        <f>+P32</f>
        <v/>
      </c>
      <c r="L32" s="282">
        <f>IF(I32="","",SUMIF(제품등록!B:B,'창고3(실사표)'!C:C,제품등록!F:F))</f>
        <v/>
      </c>
      <c r="M32" s="11">
        <f>IF(I32=0,"",I32-L32)</f>
        <v/>
      </c>
      <c r="N32" s="283">
        <f>IF(M32="","",L32*상미75)</f>
        <v/>
      </c>
      <c r="O32" s="19">
        <f>IF(N32="","",M32+N32)</f>
        <v/>
      </c>
      <c r="P32" s="17">
        <f>IF(O32="","",O32-$I$1)</f>
        <v/>
      </c>
    </row>
    <row r="33" ht="17.25" customHeight="1" s="237">
      <c r="A33" s="10">
        <f>ROW()-2</f>
        <v/>
      </c>
      <c r="B33" s="10" t="n">
        <v>5676</v>
      </c>
      <c r="C33" s="22">
        <f>VLOOKUP(B:B,재고차이!A:B,2,0)</f>
        <v/>
      </c>
      <c r="D33" s="22">
        <f>VLOOKUP(C:C,재고차이!B:C,2,0)</f>
        <v/>
      </c>
      <c r="E33" s="185" t="n">
        <v>1</v>
      </c>
      <c r="F33" s="185" t="n"/>
      <c r="G33" s="185" t="n"/>
      <c r="H33" s="185" t="n"/>
      <c r="I33" s="151" t="n">
        <v>46682</v>
      </c>
      <c r="J33" s="151" t="n"/>
      <c r="K33" s="20">
        <f>+P33</f>
        <v/>
      </c>
      <c r="L33" s="282">
        <f>IF(I33="","",SUMIF(제품등록!B:B,'창고3(실사표)'!C:C,제품등록!F:F))</f>
        <v/>
      </c>
      <c r="M33" s="11">
        <f>IF(I33=0,"",I33-L33)</f>
        <v/>
      </c>
      <c r="N33" s="283">
        <f>IF(M33="","",L33*상미75)</f>
        <v/>
      </c>
      <c r="O33" s="19">
        <f>IF(N33="","",M33+N33)</f>
        <v/>
      </c>
      <c r="P33" s="17">
        <f>IF(O33="","",O33-$I$1)</f>
        <v/>
      </c>
    </row>
    <row r="34" ht="17.25" customHeight="1" s="237">
      <c r="A34" s="10">
        <f>ROW()-2</f>
        <v/>
      </c>
      <c r="B34" s="10" t="n">
        <v>5676</v>
      </c>
      <c r="C34" s="22">
        <f>VLOOKUP(B:B,재고차이!A:B,2,0)</f>
        <v/>
      </c>
      <c r="D34" s="22">
        <f>VLOOKUP(C:C,재고차이!B:C,2,0)</f>
        <v/>
      </c>
      <c r="E34" s="185" t="n">
        <v>14</v>
      </c>
      <c r="F34" s="185" t="n"/>
      <c r="G34" s="185" t="n"/>
      <c r="H34" s="185" t="n"/>
      <c r="I34" s="151" t="n">
        <v>46710</v>
      </c>
      <c r="J34" s="151" t="n"/>
      <c r="K34" s="20">
        <f>+P34</f>
        <v/>
      </c>
      <c r="L34" s="282">
        <f>IF(I34="","",SUMIF(제품등록!B:B,'창고3(실사표)'!C:C,제품등록!F:F))</f>
        <v/>
      </c>
      <c r="M34" s="11">
        <f>IF(I34=0,"",I34-L34)</f>
        <v/>
      </c>
      <c r="N34" s="283">
        <f>IF(M34="","",L34*상미75)</f>
        <v/>
      </c>
      <c r="O34" s="19">
        <f>IF(N34="","",M34+N34)</f>
        <v/>
      </c>
      <c r="P34" s="17">
        <f>IF(O34="","",O34-$I$1)</f>
        <v/>
      </c>
    </row>
    <row r="35" ht="17.25" customHeight="1" s="237">
      <c r="A35" s="10">
        <f>ROW()-2</f>
        <v/>
      </c>
      <c r="B35" s="10" t="n">
        <v>5679</v>
      </c>
      <c r="C35" s="22">
        <f>VLOOKUP(B:B,재고차이!A:B,2,0)</f>
        <v/>
      </c>
      <c r="D35" s="22">
        <f>VLOOKUP(C:C,재고차이!B:C,2,0)</f>
        <v/>
      </c>
      <c r="E35" s="10" t="n">
        <v>16</v>
      </c>
      <c r="F35" s="10" t="n"/>
      <c r="G35" s="185" t="n"/>
      <c r="H35" s="185" t="n"/>
      <c r="I35" s="184" t="n">
        <v>46724</v>
      </c>
      <c r="J35" s="151" t="n"/>
      <c r="K35" s="20">
        <f>+P35</f>
        <v/>
      </c>
      <c r="L35" s="282">
        <f>IF(I35="","",SUMIF(제품등록!B:B,'창고3(실사표)'!C:C,제품등록!F:F))</f>
        <v/>
      </c>
      <c r="M35" s="11">
        <f>IF(I35=0,"",I35-L35)</f>
        <v/>
      </c>
      <c r="N35" s="283">
        <f>IF(M35="","",L35*상미75)</f>
        <v/>
      </c>
      <c r="O35" s="19">
        <f>IF(N35="","",M35+N35)</f>
        <v/>
      </c>
      <c r="P35" s="17">
        <f>IF(O35="","",O35-$I$1)</f>
        <v/>
      </c>
    </row>
    <row r="36" ht="17.25" customHeight="1" s="237">
      <c r="A36" s="10">
        <f>ROW()-2</f>
        <v/>
      </c>
      <c r="B36" s="10" t="n">
        <v>5748</v>
      </c>
      <c r="C36" s="22">
        <f>VLOOKUP(B:B,재고차이!A:B,2,0)</f>
        <v/>
      </c>
      <c r="D36" s="22">
        <f>VLOOKUP(C:C,재고차이!B:C,2,0)</f>
        <v/>
      </c>
      <c r="E36" s="10" t="n">
        <v>1</v>
      </c>
      <c r="F36" s="10" t="n"/>
      <c r="G36" s="185" t="n"/>
      <c r="H36" s="185" t="n"/>
      <c r="I36" s="184" t="n">
        <v>46332</v>
      </c>
      <c r="J36" s="151" t="n"/>
      <c r="K36" s="20">
        <f>+P36</f>
        <v/>
      </c>
      <c r="L36" s="282">
        <f>IF(I36="","",SUMIF(제품등록!B:B,'창고3(실사표)'!C:C,제품등록!F:F))</f>
        <v/>
      </c>
      <c r="M36" s="11">
        <f>IF(I36=0,"",I36-L36)</f>
        <v/>
      </c>
      <c r="N36" s="283">
        <f>IF(M36="","",L36*상미75)</f>
        <v/>
      </c>
      <c r="O36" s="19">
        <f>IF(N36="","",M36+N36)</f>
        <v/>
      </c>
      <c r="P36" s="17">
        <f>IF(O36="","",O36-$I$1)</f>
        <v/>
      </c>
    </row>
    <row r="37" ht="17.25" customHeight="1" s="237">
      <c r="A37" s="10">
        <f>ROW()-2</f>
        <v/>
      </c>
      <c r="B37" s="10" t="n">
        <v>5748</v>
      </c>
      <c r="C37" s="22">
        <f>VLOOKUP(B:B,재고차이!A:B,2,0)</f>
        <v/>
      </c>
      <c r="D37" s="22">
        <f>VLOOKUP(C:C,재고차이!B:C,2,0)</f>
        <v/>
      </c>
      <c r="E37" s="10" t="n">
        <v>14</v>
      </c>
      <c r="F37" s="10" t="n"/>
      <c r="G37" s="185" t="n"/>
      <c r="H37" s="185" t="n"/>
      <c r="I37" s="184" t="n">
        <v>46333</v>
      </c>
      <c r="J37" s="151" t="n"/>
      <c r="K37" s="20">
        <f>+P37</f>
        <v/>
      </c>
      <c r="L37" s="282">
        <f>IF(I37="","",SUMIF(제품등록!B:B,'창고3(실사표)'!C:C,제품등록!F:F))</f>
        <v/>
      </c>
      <c r="M37" s="11">
        <f>IF(I37=0,"",I37-L37)</f>
        <v/>
      </c>
      <c r="N37" s="283">
        <f>IF(M37="","",L37*상미75)</f>
        <v/>
      </c>
      <c r="O37" s="19">
        <f>IF(N37="","",M37+N37)</f>
        <v/>
      </c>
      <c r="P37" s="17">
        <f>IF(O37="","",O37-$I$1)</f>
        <v/>
      </c>
    </row>
    <row r="38" ht="17.25" customHeight="1" s="237">
      <c r="A38" s="10">
        <f>ROW()-2</f>
        <v/>
      </c>
      <c r="B38" s="10" t="n">
        <v>5749</v>
      </c>
      <c r="C38" s="22">
        <f>VLOOKUP(B:B,재고차이!A:B,2,0)</f>
        <v/>
      </c>
      <c r="D38" s="22">
        <f>VLOOKUP(C:C,재고차이!B:C,2,0)</f>
        <v/>
      </c>
      <c r="E38" s="10">
        <f>28+22</f>
        <v/>
      </c>
      <c r="F38" s="10" t="n"/>
      <c r="G38" s="185" t="n"/>
      <c r="H38" s="185" t="n"/>
      <c r="I38" s="184" t="n">
        <v>46350</v>
      </c>
      <c r="J38" s="151" t="n"/>
      <c r="K38" s="20">
        <f>+P38</f>
        <v/>
      </c>
      <c r="L38" s="282">
        <f>IF(I38="","",SUMIF(제품등록!B:B,'창고3(실사표)'!C:C,제품등록!F:F))</f>
        <v/>
      </c>
      <c r="M38" s="11">
        <f>IF(I38=0,"",I38-L38)</f>
        <v/>
      </c>
      <c r="N38" s="283">
        <f>IF(M38="","",L38*상미75)</f>
        <v/>
      </c>
      <c r="O38" s="19">
        <f>IF(N38="","",M38+N38)</f>
        <v/>
      </c>
      <c r="P38" s="17">
        <f>IF(O38="","",O38-$I$1)</f>
        <v/>
      </c>
    </row>
    <row r="39" ht="17.25" customHeight="1" s="237">
      <c r="A39" s="10">
        <f>ROW()-2</f>
        <v/>
      </c>
      <c r="B39" s="10" t="n">
        <v>5769</v>
      </c>
      <c r="C39" s="22">
        <f>VLOOKUP(B:B,재고차이!A:B,2,0)</f>
        <v/>
      </c>
      <c r="D39" s="22">
        <f>VLOOKUP(C:C,재고차이!B:C,2,0)</f>
        <v/>
      </c>
      <c r="E39" s="185" t="n">
        <v>7</v>
      </c>
      <c r="F39" s="185" t="n"/>
      <c r="G39" s="185" t="n"/>
      <c r="H39" s="185" t="n"/>
      <c r="I39" s="151" t="n">
        <v>46506</v>
      </c>
      <c r="J39" s="151" t="n"/>
      <c r="K39" s="20">
        <f>+P39</f>
        <v/>
      </c>
      <c r="L39" s="282">
        <f>IF(I39="","",SUMIF(제품등록!B:B,'창고3(실사표)'!C:C,제품등록!F:F))</f>
        <v/>
      </c>
      <c r="M39" s="11">
        <f>IF(I39=0,"",I39-L39)</f>
        <v/>
      </c>
      <c r="N39" s="283">
        <f>IF(M39="","",L39*상미75)</f>
        <v/>
      </c>
      <c r="O39" s="19">
        <f>IF(N39="","",M39+N39)</f>
        <v/>
      </c>
      <c r="P39" s="17">
        <f>IF(O39="","",O39-$I$1)</f>
        <v/>
      </c>
    </row>
    <row r="40" ht="17.25" customHeight="1" s="237">
      <c r="A40" s="10">
        <f>ROW()-2</f>
        <v/>
      </c>
      <c r="B40" s="10" t="n">
        <v>5771</v>
      </c>
      <c r="C40" s="22">
        <f>VLOOKUP(B:B,재고차이!A:B,2,0)</f>
        <v/>
      </c>
      <c r="D40" s="22">
        <f>VLOOKUP(C:C,재고차이!B:C,2,0)</f>
        <v/>
      </c>
      <c r="E40" s="185" t="n">
        <v>2</v>
      </c>
      <c r="F40" s="185" t="n"/>
      <c r="G40" s="185" t="n"/>
      <c r="H40" s="185" t="n"/>
      <c r="I40" s="151" t="n">
        <v>46524</v>
      </c>
      <c r="J40" s="151" t="n"/>
      <c r="K40" s="20">
        <f>+P40</f>
        <v/>
      </c>
      <c r="L40" s="282">
        <f>IF(I40="","",SUMIF(제품등록!B:B,'창고3(실사표)'!C:C,제품등록!F:F))</f>
        <v/>
      </c>
      <c r="M40" s="11">
        <f>IF(I40=0,"",I40-L40)</f>
        <v/>
      </c>
      <c r="N40" s="283">
        <f>IF(M40="","",L40*상미75)</f>
        <v/>
      </c>
      <c r="O40" s="19">
        <f>IF(N40="","",M40+N40)</f>
        <v/>
      </c>
      <c r="P40" s="17">
        <f>IF(O40="","",O40-$I$1)</f>
        <v/>
      </c>
    </row>
    <row r="41" ht="17.25" customHeight="1" s="237">
      <c r="A41" s="10">
        <f>ROW()-2</f>
        <v/>
      </c>
      <c r="B41" s="10" t="n">
        <v>6103</v>
      </c>
      <c r="C41" s="22">
        <f>VLOOKUP(B:B,재고차이!A:B,2,0)</f>
        <v/>
      </c>
      <c r="D41" s="22">
        <f>VLOOKUP(C:C,재고차이!B:C,2,0)</f>
        <v/>
      </c>
      <c r="E41" s="185" t="n">
        <v>34</v>
      </c>
      <c r="F41" s="185" t="n"/>
      <c r="G41" s="185" t="n"/>
      <c r="H41" s="185" t="n"/>
      <c r="I41" s="151" t="n">
        <v>46252</v>
      </c>
      <c r="J41" s="151" t="n"/>
      <c r="K41" s="20">
        <f>+P41</f>
        <v/>
      </c>
      <c r="L41" s="282">
        <f>IF(I41="","",SUMIF(제품등록!B:B,'창고3(실사표)'!C:C,제품등록!F:F))</f>
        <v/>
      </c>
      <c r="M41" s="11">
        <f>IF(I41=0,"",I41-L41)</f>
        <v/>
      </c>
      <c r="N41" s="283">
        <f>IF(M41="","",L41*상미75)</f>
        <v/>
      </c>
      <c r="O41" s="19">
        <f>IF(N41="","",M41+N41)</f>
        <v/>
      </c>
      <c r="P41" s="17">
        <f>IF(O41="","",O41-$I$1)</f>
        <v/>
      </c>
    </row>
    <row r="42" ht="17.25" customHeight="1" s="237">
      <c r="A42" s="10">
        <f>ROW()-2</f>
        <v/>
      </c>
      <c r="B42" s="10" t="n">
        <v>6111</v>
      </c>
      <c r="C42" s="22">
        <f>VLOOKUP(B:B,재고차이!A:B,2,0)</f>
        <v/>
      </c>
      <c r="D42" s="22">
        <f>VLOOKUP(C:C,재고차이!B:C,2,0)</f>
        <v/>
      </c>
      <c r="E42" s="185" t="n">
        <v>3</v>
      </c>
      <c r="F42" s="185" t="n"/>
      <c r="G42" s="185" t="n"/>
      <c r="H42" s="185" t="n"/>
      <c r="I42" s="151" t="n">
        <v>46583</v>
      </c>
      <c r="J42" s="151" t="n"/>
      <c r="K42" s="20">
        <f>+P42</f>
        <v/>
      </c>
      <c r="L42" s="282">
        <f>IF(I42="","",SUMIF(제품등록!B:B,'창고3(실사표)'!C:C,제품등록!F:F))</f>
        <v/>
      </c>
      <c r="M42" s="11">
        <f>IF(I42=0,"",I42-L42)</f>
        <v/>
      </c>
      <c r="N42" s="283">
        <f>IF(M42="","",L42*상미75)</f>
        <v/>
      </c>
      <c r="O42" s="19">
        <f>IF(N42="","",M42+N42)</f>
        <v/>
      </c>
      <c r="P42" s="17">
        <f>IF(O42="","",O42-$I$1)</f>
        <v/>
      </c>
    </row>
    <row r="43" ht="17.25" customHeight="1" s="237">
      <c r="A43" s="10">
        <f>ROW()-2</f>
        <v/>
      </c>
      <c r="B43" s="10" t="n">
        <v>6349</v>
      </c>
      <c r="C43" s="22">
        <f>VLOOKUP(B:B,재고차이!A:B,2,0)</f>
        <v/>
      </c>
      <c r="D43" s="22">
        <f>VLOOKUP(C:C,재고차이!B:C,2,0)</f>
        <v/>
      </c>
      <c r="E43" s="185">
        <f>62+5</f>
        <v/>
      </c>
      <c r="F43" s="185" t="n"/>
      <c r="G43" s="185" t="n"/>
      <c r="H43" s="185" t="n"/>
      <c r="I43" s="151" t="n">
        <v>46336</v>
      </c>
      <c r="J43" s="151" t="n"/>
      <c r="K43" s="20">
        <f>+P43</f>
        <v/>
      </c>
      <c r="L43" s="282">
        <f>IF(I43="","",SUMIF(제품등록!B:B,'창고3(실사표)'!C:C,제품등록!F:F))</f>
        <v/>
      </c>
      <c r="M43" s="11">
        <f>IF(I43=0,"",I43-L43)</f>
        <v/>
      </c>
      <c r="N43" s="283">
        <f>IF(M43="","",L43*상미75)</f>
        <v/>
      </c>
      <c r="O43" s="19">
        <f>IF(N43="","",M43+N43)</f>
        <v/>
      </c>
      <c r="P43" s="17">
        <f>IF(O43="","",O43-$I$1)</f>
        <v/>
      </c>
    </row>
    <row r="44" ht="17.25" customHeight="1" s="237">
      <c r="A44" s="10">
        <f>ROW()-2</f>
        <v/>
      </c>
      <c r="B44" s="10" t="n">
        <v>7994</v>
      </c>
      <c r="C44" s="22">
        <f>VLOOKUP(B:B,재고차이!A:B,2,0)</f>
        <v/>
      </c>
      <c r="D44" s="22">
        <f>VLOOKUP(C:C,재고차이!B:C,2,0)</f>
        <v/>
      </c>
      <c r="E44" s="185">
        <f>16+22</f>
        <v/>
      </c>
      <c r="F44" s="185" t="n"/>
      <c r="G44" s="185" t="n"/>
      <c r="H44" s="185" t="n"/>
      <c r="I44" s="151" t="n">
        <v>46343</v>
      </c>
      <c r="J44" s="151" t="n"/>
      <c r="K44" s="20">
        <f>+P44</f>
        <v/>
      </c>
      <c r="L44" s="282">
        <f>IF(I44="","",SUMIF(제품등록!B:B,'창고3(실사표)'!C:C,제품등록!F:F))</f>
        <v/>
      </c>
      <c r="M44" s="11">
        <f>IF(I44=0,"",I44-L44)</f>
        <v/>
      </c>
      <c r="N44" s="283">
        <f>IF(M44="","",L44*상미75)</f>
        <v/>
      </c>
      <c r="O44" s="19">
        <f>IF(N44="","",M44+N44)</f>
        <v/>
      </c>
      <c r="P44" s="17">
        <f>IF(O44="","",O44-$I$1)</f>
        <v/>
      </c>
    </row>
    <row r="45" ht="17.25" customHeight="1" s="237">
      <c r="A45" s="10">
        <f>ROW()-2</f>
        <v/>
      </c>
      <c r="B45" s="10" t="n">
        <v>8273</v>
      </c>
      <c r="C45" s="22">
        <f>VLOOKUP(B:B,재고차이!A:B,2,0)</f>
        <v/>
      </c>
      <c r="D45" s="22">
        <f>VLOOKUP(C:C,재고차이!B:C,2,0)</f>
        <v/>
      </c>
      <c r="E45" s="185" t="n">
        <v>5</v>
      </c>
      <c r="F45" s="185" t="n"/>
      <c r="G45" s="185" t="n"/>
      <c r="H45" s="185" t="n"/>
      <c r="I45" s="151" t="n">
        <v>46331</v>
      </c>
      <c r="J45" s="151" t="n"/>
      <c r="K45" s="20">
        <f>+P45</f>
        <v/>
      </c>
      <c r="L45" s="282">
        <f>IF(I45="","",SUMIF(제품등록!B:B,'창고3(실사표)'!C:C,제품등록!F:F))</f>
        <v/>
      </c>
      <c r="M45" s="11">
        <f>IF(I45=0,"",I45-L45)</f>
        <v/>
      </c>
      <c r="N45" s="283">
        <f>IF(M45="","",L45*상미75)</f>
        <v/>
      </c>
      <c r="O45" s="19">
        <f>IF(N45="","",M45+N45)</f>
        <v/>
      </c>
      <c r="P45" s="17">
        <f>IF(O45="","",O45-$I$1)</f>
        <v/>
      </c>
    </row>
    <row r="46" ht="17.25" customHeight="1" s="237">
      <c r="A46" s="10">
        <f>ROW()-2</f>
        <v/>
      </c>
      <c r="B46" s="10" t="n">
        <v>8278</v>
      </c>
      <c r="C46" s="22">
        <f>VLOOKUP(B:B,재고차이!A:B,2,0)</f>
        <v/>
      </c>
      <c r="D46" s="22">
        <f>VLOOKUP(C:C,재고차이!B:C,2,0)</f>
        <v/>
      </c>
      <c r="E46" s="185" t="n">
        <v>39</v>
      </c>
      <c r="F46" s="185" t="n"/>
      <c r="G46" s="185" t="n"/>
      <c r="H46" s="185" t="n"/>
      <c r="I46" s="151" t="n">
        <v>46284</v>
      </c>
      <c r="J46" s="151" t="n"/>
      <c r="K46" s="20">
        <f>+P46</f>
        <v/>
      </c>
      <c r="L46" s="282">
        <f>IF(I46="","",SUMIF(제품등록!B:B,'창고3(실사표)'!C:C,제품등록!F:F))</f>
        <v/>
      </c>
      <c r="M46" s="11">
        <f>IF(I46=0,"",I46-L46)</f>
        <v/>
      </c>
      <c r="N46" s="283">
        <f>IF(M46="","",L46*상미75)</f>
        <v/>
      </c>
      <c r="O46" s="19">
        <f>IF(N46="","",M46+N46)</f>
        <v/>
      </c>
      <c r="P46" s="17">
        <f>IF(O46="","",O46-$I$1)</f>
        <v/>
      </c>
    </row>
    <row r="47" ht="17.25" customHeight="1" s="237">
      <c r="A47" s="10">
        <f>ROW()-2</f>
        <v/>
      </c>
      <c r="B47" s="10" t="n">
        <v>8429</v>
      </c>
      <c r="C47" s="22">
        <f>VLOOKUP(B:B,재고차이!A:B,2,0)</f>
        <v/>
      </c>
      <c r="D47" s="22">
        <f>VLOOKUP(C:C,재고차이!B:C,2,0)</f>
        <v/>
      </c>
      <c r="E47" s="185">
        <f>17+64</f>
        <v/>
      </c>
      <c r="F47" s="185" t="n"/>
      <c r="G47" s="185" t="n"/>
      <c r="H47" s="185" t="n"/>
      <c r="I47" s="151" t="n">
        <v>46258</v>
      </c>
      <c r="J47" s="151" t="n"/>
      <c r="K47" s="20">
        <f>+P47</f>
        <v/>
      </c>
      <c r="L47" s="282">
        <f>IF(I47="","",SUMIF(제품등록!B:B,'창고3(실사표)'!C:C,제품등록!F:F))</f>
        <v/>
      </c>
      <c r="M47" s="11">
        <f>IF(I47=0,"",I47-L47)</f>
        <v/>
      </c>
      <c r="N47" s="283">
        <f>IF(M47="","",L47*상미75)</f>
        <v/>
      </c>
      <c r="O47" s="19">
        <f>IF(N47="","",M47+N47)</f>
        <v/>
      </c>
      <c r="P47" s="17">
        <f>IF(O47="","",O47-$I$1)</f>
        <v/>
      </c>
    </row>
    <row r="48" ht="17.25" customHeight="1" s="237">
      <c r="A48" s="10">
        <f>ROW()-2</f>
        <v/>
      </c>
      <c r="B48" s="10" t="n">
        <v>8429</v>
      </c>
      <c r="C48" s="22">
        <f>VLOOKUP(B:B,재고차이!A:B,2,0)</f>
        <v/>
      </c>
      <c r="D48" s="22">
        <f>VLOOKUP(C:C,재고차이!B:C,2,0)</f>
        <v/>
      </c>
      <c r="E48" s="185" t="n">
        <v>36</v>
      </c>
      <c r="F48" s="185" t="n"/>
      <c r="G48" s="185" t="n"/>
      <c r="H48" s="185" t="n"/>
      <c r="I48" s="151" t="n">
        <v>46259</v>
      </c>
      <c r="J48" s="151" t="n"/>
      <c r="K48" s="20">
        <f>+P48</f>
        <v/>
      </c>
      <c r="L48" s="282">
        <f>IF(I48="","",SUMIF(제품등록!B:B,'창고3(실사표)'!C:C,제품등록!F:F))</f>
        <v/>
      </c>
      <c r="M48" s="11">
        <f>IF(I48=0,"",I48-L48)</f>
        <v/>
      </c>
      <c r="N48" s="283">
        <f>IF(M48="","",L48*상미75)</f>
        <v/>
      </c>
      <c r="O48" s="19">
        <f>IF(N48="","",M48+N48)</f>
        <v/>
      </c>
      <c r="P48" s="17">
        <f>IF(O48="","",O48-$I$1)</f>
        <v/>
      </c>
    </row>
    <row r="49" ht="17.25" customHeight="1" s="237">
      <c r="A49" s="10">
        <f>ROW()-2</f>
        <v/>
      </c>
      <c r="B49" s="10" t="n">
        <v>8429</v>
      </c>
      <c r="C49" s="22">
        <f>VLOOKUP(B:B,재고차이!A:B,2,0)</f>
        <v/>
      </c>
      <c r="D49" s="22">
        <f>VLOOKUP(C:C,재고차이!B:C,2,0)</f>
        <v/>
      </c>
      <c r="E49" s="185">
        <f>64+4</f>
        <v/>
      </c>
      <c r="F49" s="185" t="n"/>
      <c r="G49" s="185" t="n"/>
      <c r="H49" s="185" t="n"/>
      <c r="I49" s="151" t="n">
        <v>46268</v>
      </c>
      <c r="J49" s="151" t="n"/>
      <c r="K49" s="20">
        <f>+P49</f>
        <v/>
      </c>
      <c r="L49" s="282">
        <f>IF(I49="","",SUMIF(제품등록!B:B,'창고3(실사표)'!C:C,제품등록!F:F))</f>
        <v/>
      </c>
      <c r="M49" s="11">
        <f>IF(I49=0,"",I49-L49)</f>
        <v/>
      </c>
      <c r="N49" s="283">
        <f>IF(M49="","",L49*상미75)</f>
        <v/>
      </c>
      <c r="O49" s="19">
        <f>IF(N49="","",M49+N49)</f>
        <v/>
      </c>
      <c r="P49" s="17">
        <f>IF(O49="","",O49-$I$1)</f>
        <v/>
      </c>
    </row>
    <row r="50" ht="17.25" customHeight="1" s="237">
      <c r="A50" s="10">
        <f>ROW()-2</f>
        <v/>
      </c>
      <c r="B50" s="10" t="n">
        <v>8521</v>
      </c>
      <c r="C50" s="22">
        <f>VLOOKUP(B:B,재고차이!A:B,2,0)</f>
        <v/>
      </c>
      <c r="D50" s="22">
        <f>VLOOKUP(C:C,재고차이!B:C,2,0)</f>
        <v/>
      </c>
      <c r="E50" s="185">
        <f>34+14</f>
        <v/>
      </c>
      <c r="F50" s="185" t="n"/>
      <c r="G50" s="185" t="n"/>
      <c r="H50" s="185" t="n"/>
      <c r="I50" s="151" t="n">
        <v>46625</v>
      </c>
      <c r="J50" s="151" t="n"/>
      <c r="K50" s="20">
        <f>+P50</f>
        <v/>
      </c>
      <c r="L50" s="282">
        <f>IF(I50="","",SUMIF(제품등록!B:B,'창고3(실사표)'!C:C,제품등록!F:F))</f>
        <v/>
      </c>
      <c r="M50" s="11">
        <f>IF(I50=0,"",I50-L50)</f>
        <v/>
      </c>
      <c r="N50" s="283">
        <f>IF(M50="","",L50*상미75)</f>
        <v/>
      </c>
      <c r="O50" s="19">
        <f>IF(N50="","",M50+N50)</f>
        <v/>
      </c>
      <c r="P50" s="17">
        <f>IF(O50="","",O50-$I$1)</f>
        <v/>
      </c>
    </row>
    <row r="51" ht="17.25" customHeight="1" s="237">
      <c r="A51" s="10">
        <f>ROW()-2</f>
        <v/>
      </c>
      <c r="B51" s="10" t="n">
        <v>8560</v>
      </c>
      <c r="C51" s="22">
        <f>VLOOKUP(B:B,재고차이!A:B,2,0)</f>
        <v/>
      </c>
      <c r="D51" s="22">
        <f>VLOOKUP(C:C,재고차이!B:C,2,0)</f>
        <v/>
      </c>
      <c r="E51" s="185" t="n">
        <v>4</v>
      </c>
      <c r="F51" s="185" t="n"/>
      <c r="G51" s="185" t="n"/>
      <c r="H51" s="185" t="n"/>
      <c r="I51" s="151" t="n">
        <v>46287</v>
      </c>
      <c r="J51" s="151" t="n"/>
      <c r="K51" s="20">
        <f>+P51</f>
        <v/>
      </c>
      <c r="L51" s="282">
        <f>IF(I51="","",SUMIF(제품등록!B:B,'창고3(실사표)'!C:C,제품등록!F:F))</f>
        <v/>
      </c>
      <c r="M51" s="11">
        <f>IF(I51=0,"",I51-L51)</f>
        <v/>
      </c>
      <c r="N51" s="283">
        <f>IF(M51="","",L51*상미75)</f>
        <v/>
      </c>
      <c r="O51" s="19">
        <f>IF(N51="","",M51+N51)</f>
        <v/>
      </c>
      <c r="P51" s="17">
        <f>IF(O51="","",O51-$I$1)</f>
        <v/>
      </c>
    </row>
    <row r="52" ht="17.25" customHeight="1" s="237">
      <c r="A52" s="10">
        <f>ROW()-2</f>
        <v/>
      </c>
      <c r="B52" s="10" t="inlineStr">
        <is>
          <t>dp0439</t>
        </is>
      </c>
      <c r="C52" s="22">
        <f>VLOOKUP(B:B,재고차이!A:B,2,0)</f>
        <v/>
      </c>
      <c r="D52" s="22">
        <f>VLOOKUP(C:C,재고차이!B:C,2,0)</f>
        <v/>
      </c>
      <c r="E52" s="185" t="n">
        <v>25</v>
      </c>
      <c r="F52" s="185" t="n"/>
      <c r="G52" s="185" t="n"/>
      <c r="H52" s="185" t="n"/>
      <c r="I52" s="151" t="n">
        <v>46349</v>
      </c>
      <c r="J52" s="151" t="n"/>
      <c r="K52" s="20">
        <f>+P52</f>
        <v/>
      </c>
      <c r="L52" s="282">
        <f>IF(I52="","",SUMIF(제품등록!B:B,'창고3(실사표)'!C:C,제품등록!F:F))</f>
        <v/>
      </c>
      <c r="M52" s="11">
        <f>IF(I52=0,"",I52-L52)</f>
        <v/>
      </c>
      <c r="N52" s="283">
        <f>IF(M52="","",L52*상미75)</f>
        <v/>
      </c>
      <c r="O52" s="19">
        <f>IF(N52="","",M52+N52)</f>
        <v/>
      </c>
      <c r="P52" s="17">
        <f>IF(O52="","",O52-$I$1)</f>
        <v/>
      </c>
    </row>
    <row r="53" ht="17.25" customHeight="1" s="237">
      <c r="A53" s="10">
        <f>ROW()-2</f>
        <v/>
      </c>
      <c r="B53" s="10" t="inlineStr">
        <is>
          <t>FT4181</t>
        </is>
      </c>
      <c r="C53" s="22">
        <f>VLOOKUP(B:B,재고차이!A:B,2,0)</f>
        <v/>
      </c>
      <c r="D53" s="22">
        <f>VLOOKUP(C:C,재고차이!B:C,2,0)</f>
        <v/>
      </c>
      <c r="E53" s="185" t="n">
        <v>1</v>
      </c>
      <c r="F53" s="185" t="n"/>
      <c r="G53" s="185" t="n"/>
      <c r="H53" s="185" t="n"/>
      <c r="I53" s="151" t="n">
        <v>46344</v>
      </c>
      <c r="J53" s="151" t="n"/>
      <c r="K53" s="20">
        <f>+P53</f>
        <v/>
      </c>
      <c r="L53" s="282">
        <f>IF(I53="","",SUMIF(제품등록!B:B,'창고3(실사표)'!C:C,제품등록!F:F))</f>
        <v/>
      </c>
      <c r="M53" s="11">
        <f>IF(I53=0,"",I53-L53)</f>
        <v/>
      </c>
      <c r="N53" s="283">
        <f>IF(M53="","",L53*상미75)</f>
        <v/>
      </c>
      <c r="O53" s="19">
        <f>IF(N53="","",M53+N53)</f>
        <v/>
      </c>
      <c r="P53" s="17">
        <f>IF(O53="","",O53-$I$1)</f>
        <v/>
      </c>
    </row>
    <row r="54" ht="17.25" customHeight="1" s="237">
      <c r="A54" s="10">
        <f>ROW()-2</f>
        <v/>
      </c>
      <c r="B54" s="10" t="inlineStr">
        <is>
          <t>FT4181</t>
        </is>
      </c>
      <c r="C54" s="22">
        <f>VLOOKUP(B:B,재고차이!A:B,2,0)</f>
        <v/>
      </c>
      <c r="D54" s="22">
        <f>VLOOKUP(C:C,재고차이!B:C,2,0)</f>
        <v/>
      </c>
      <c r="E54" s="185" t="n">
        <v>18</v>
      </c>
      <c r="F54" s="185" t="n"/>
      <c r="G54" s="185" t="n"/>
      <c r="H54" s="185" t="n"/>
      <c r="I54" s="151" t="n">
        <v>46360</v>
      </c>
      <c r="J54" s="151" t="n"/>
      <c r="K54" s="20">
        <f>+P54</f>
        <v/>
      </c>
      <c r="L54" s="282">
        <f>IF(I54="","",SUMIF(제품등록!B:B,'창고3(실사표)'!C:C,제품등록!F:F))</f>
        <v/>
      </c>
      <c r="M54" s="11">
        <f>IF(I54=0,"",I54-L54)</f>
        <v/>
      </c>
      <c r="N54" s="283">
        <f>IF(M54="","",L54*상미75)</f>
        <v/>
      </c>
      <c r="O54" s="19">
        <f>IF(N54="","",M54+N54)</f>
        <v/>
      </c>
      <c r="P54" s="17">
        <f>IF(O54="","",O54-$I$1)</f>
        <v/>
      </c>
    </row>
    <row r="55" ht="17.25" customHeight="1" s="237">
      <c r="A55" s="10">
        <f>ROW()-2</f>
        <v/>
      </c>
      <c r="B55" s="10" t="inlineStr">
        <is>
          <t>sp4181</t>
        </is>
      </c>
      <c r="C55" s="22">
        <f>VLOOKUP(B:B,재고차이!A:B,2,0)</f>
        <v/>
      </c>
      <c r="D55" s="22">
        <f>VLOOKUP(C:C,재고차이!B:C,2,0)</f>
        <v/>
      </c>
      <c r="E55" s="185" t="n">
        <v>5</v>
      </c>
      <c r="F55" s="185" t="n"/>
      <c r="G55" s="185" t="n"/>
      <c r="H55" s="185" t="n"/>
      <c r="I55" s="151" t="n">
        <v>46314</v>
      </c>
      <c r="J55" s="151" t="n"/>
      <c r="K55" s="20">
        <f>+P55</f>
        <v/>
      </c>
      <c r="L55" s="282">
        <f>IF(I55="","",SUMIF(제품등록!B:B,'창고3(실사표)'!C:C,제품등록!F:F))</f>
        <v/>
      </c>
      <c r="M55" s="11">
        <f>IF(I55=0,"",I55-L55)</f>
        <v/>
      </c>
      <c r="N55" s="283">
        <f>IF(M55="","",L55*상미75)</f>
        <v/>
      </c>
      <c r="O55" s="19">
        <f>IF(N55="","",M55+N55)</f>
        <v/>
      </c>
      <c r="P55" s="17">
        <f>IF(O55="","",O55-$I$1)</f>
        <v/>
      </c>
    </row>
  </sheetData>
  <autoFilter ref="A2:Q2">
    <sortState ref="A3:P57">
      <sortCondition ref="B2"/>
    </sortState>
  </autoFilter>
  <conditionalFormatting sqref="K1:K1048576 P3:P55">
    <cfRule type="cellIs" priority="2" operator="lessThan" dxfId="0">
      <formula>0</formula>
    </cfRule>
  </conditionalFormatting>
  <printOptions horizontalCentered="1" verticalCentered="1"/>
  <pageMargins left="0.3149606299212598" right="0.3149606299212598" top="0.7480314960629921" bottom="0.7480314960629921" header="0.3149606299212598" footer="0.3149606299212598"/>
  <pageSetup orientation="portrait" paperSize="9" scale="70"/>
  <colBreaks count="1" manualBreakCount="1">
    <brk id="11" min="0" max="1048575" man="1"/>
  </colBreaks>
</worksheet>
</file>

<file path=xl/worksheets/sheet7.xml><?xml version="1.0" encoding="utf-8"?>
<worksheet xmlns="http://schemas.openxmlformats.org/spreadsheetml/2006/main">
  <sheetPr codeName="Sheet6">
    <tabColor rgb="FFFF0000"/>
    <outlinePr summaryBelow="1" summaryRight="1"/>
    <pageSetUpPr/>
  </sheetPr>
  <dimension ref="A1:P97"/>
  <sheetViews>
    <sheetView zoomScaleNormal="100" workbookViewId="0">
      <pane ySplit="2" topLeftCell="A3" activePane="bottomLeft" state="frozen"/>
      <selection activeCell="E32" sqref="E32"/>
      <selection pane="bottomLeft" activeCell="A3" sqref="A3"/>
    </sheetView>
  </sheetViews>
  <sheetFormatPr baseColWidth="8" defaultRowHeight="16.5"/>
  <cols>
    <col width="5.75" customWidth="1" style="5" min="1" max="1"/>
    <col width="9.125" bestFit="1" customWidth="1" style="5" min="2" max="2"/>
    <col width="11.25" customWidth="1" style="5" min="3" max="3"/>
    <col width="40.625" customWidth="1" style="5" min="4" max="4"/>
    <col hidden="1" width="12.75" customWidth="1" style="5" min="5" max="6"/>
    <col width="12.75" customWidth="1" style="5" min="7" max="7"/>
    <col hidden="1" width="13.5" customWidth="1" style="5" min="8" max="8"/>
    <col width="13" customWidth="1" style="5" min="9" max="9"/>
    <col width="42.625" customWidth="1" style="5" min="10" max="10"/>
    <col width="14.75" customWidth="1" style="5" min="11" max="11"/>
    <col hidden="1" width="9.375" customWidth="1" style="280" min="12" max="12"/>
    <col hidden="1" width="12.375" customWidth="1" style="5" min="13" max="13"/>
    <col hidden="1" width="11" customWidth="1" style="5" min="14" max="14"/>
    <col hidden="1" width="12.75" customWidth="1" style="5" min="15" max="15"/>
    <col hidden="1" width="13.25" customWidth="1" style="5" min="16" max="16"/>
    <col width="9" customWidth="1" style="5" min="17" max="17"/>
    <col width="9" customWidth="1" style="5" min="18" max="16384"/>
  </cols>
  <sheetData>
    <row r="1" ht="24" customHeight="1" s="237">
      <c r="C1" s="15" t="n"/>
      <c r="D1" s="15" t="n"/>
      <c r="I1" s="11">
        <f>TODAY()</f>
        <v/>
      </c>
      <c r="J1" s="11" t="n"/>
      <c r="L1" s="281" t="inlineStr">
        <is>
          <t>중요</t>
        </is>
      </c>
      <c r="N1" s="14" t="n"/>
    </row>
    <row r="2" ht="33" customHeight="1" s="237">
      <c r="A2" s="86" t="n"/>
      <c r="B2" s="86" t="inlineStr">
        <is>
          <t>제품코드</t>
        </is>
      </c>
      <c r="C2" s="86" t="inlineStr">
        <is>
          <t>SAP코드</t>
        </is>
      </c>
      <c r="D2" s="86" t="inlineStr">
        <is>
          <t>Brand Name</t>
        </is>
      </c>
      <c r="E2" s="86" t="inlineStr">
        <is>
          <t>아주</t>
        </is>
      </c>
      <c r="F2" s="86" t="inlineStr">
        <is>
          <t>940P</t>
        </is>
      </c>
      <c r="G2" s="86" t="inlineStr">
        <is>
          <t>잔량</t>
        </is>
      </c>
      <c r="H2" s="87" t="inlineStr">
        <is>
          <t>보류재고</t>
        </is>
      </c>
      <c r="I2" s="86" t="inlineStr">
        <is>
          <t>소비기한</t>
        </is>
      </c>
      <c r="J2" s="86" t="inlineStr">
        <is>
          <t>홀딩테그</t>
        </is>
      </c>
      <c r="K2" s="88" t="inlineStr">
        <is>
          <t>75% 사용가능</t>
        </is>
      </c>
      <c r="L2" s="284" t="inlineStr">
        <is>
          <t>소비기한</t>
        </is>
      </c>
      <c r="M2" s="5" t="inlineStr">
        <is>
          <t>생산일자</t>
        </is>
      </c>
      <c r="N2" s="89" t="n">
        <v>0.75</v>
      </c>
      <c r="O2" s="17" t="inlineStr">
        <is>
          <t>사용가능</t>
        </is>
      </c>
      <c r="P2" s="90" t="inlineStr">
        <is>
          <t>사용가능일수       75%</t>
        </is>
      </c>
    </row>
    <row r="3" ht="17.25" customHeight="1" s="237">
      <c r="A3" s="10">
        <f>ROW()-2</f>
        <v/>
      </c>
      <c r="B3" s="24" t="n">
        <v>455</v>
      </c>
      <c r="C3" s="22">
        <f>VLOOKUP(B:B,재고차이!A:B,2,0)</f>
        <v/>
      </c>
      <c r="D3" s="22">
        <f>VLOOKUP(C:C,재고차이!B:C,2,0)</f>
        <v/>
      </c>
      <c r="E3" s="10" t="n"/>
      <c r="F3" s="10" t="n"/>
      <c r="G3" s="10" t="n">
        <v>31</v>
      </c>
      <c r="H3" s="10" t="n"/>
      <c r="I3" s="184" t="n">
        <v>46351</v>
      </c>
      <c r="J3" s="184" t="n"/>
      <c r="K3" s="20">
        <f>+P3</f>
        <v/>
      </c>
      <c r="L3" s="282">
        <f>IF(I3="","",SUMIF(제품등록!B:B,'믹스(잔량실사표)'!C:C,제품등록!F:F))</f>
        <v/>
      </c>
      <c r="M3" s="11">
        <f>IF(I3=0,"",I3-L3)</f>
        <v/>
      </c>
      <c r="N3" s="283">
        <f>IF(M3="","",L3*상미75)</f>
        <v/>
      </c>
      <c r="O3" s="19">
        <f>IF(N3="","",M3+N3)</f>
        <v/>
      </c>
      <c r="P3" s="17">
        <f>IF(O3="","",O3-$I$1)</f>
        <v/>
      </c>
    </row>
    <row r="4" ht="17.25" customHeight="1" s="237">
      <c r="A4" s="10">
        <f>ROW()-2</f>
        <v/>
      </c>
      <c r="B4" s="24" t="n">
        <v>1000</v>
      </c>
      <c r="C4" s="22">
        <f>VLOOKUP(B:B,재고차이!A:B,2,0)</f>
        <v/>
      </c>
      <c r="D4" s="22">
        <f>VLOOKUP(C:C,재고차이!B:C,2,0)</f>
        <v/>
      </c>
      <c r="E4" s="10" t="n"/>
      <c r="F4" s="10" t="n"/>
      <c r="G4" s="10" t="n">
        <v>42</v>
      </c>
      <c r="H4" s="10" t="n"/>
      <c r="I4" s="184" t="n">
        <v>46330</v>
      </c>
      <c r="J4" s="184" t="n"/>
      <c r="K4" s="20">
        <f>+P4</f>
        <v/>
      </c>
      <c r="L4" s="282">
        <f>IF(I4="","",SUMIF(제품등록!B:B,'믹스(잔량실사표)'!C:C,제품등록!F:F))</f>
        <v/>
      </c>
      <c r="M4" s="11">
        <f>IF(I4=0,"",I4-L4)</f>
        <v/>
      </c>
      <c r="N4" s="283">
        <f>IF(M4="","",L4*상미75)</f>
        <v/>
      </c>
      <c r="O4" s="19">
        <f>IF(N4="","",M4+N4)</f>
        <v/>
      </c>
      <c r="P4" s="17">
        <f>IF(O4="","",O4-$I$1)</f>
        <v/>
      </c>
    </row>
    <row r="5" ht="17.25" customHeight="1" s="237">
      <c r="A5" s="10">
        <f>ROW()-2</f>
        <v/>
      </c>
      <c r="B5" s="24" t="n">
        <v>1001</v>
      </c>
      <c r="C5" s="22">
        <f>VLOOKUP(B:B,재고차이!A:B,2,0)</f>
        <v/>
      </c>
      <c r="D5" s="22">
        <f>VLOOKUP(C:C,재고차이!B:C,2,0)</f>
        <v/>
      </c>
      <c r="E5" s="10" t="n"/>
      <c r="F5" s="10" t="n"/>
      <c r="G5" s="10" t="n">
        <v>97</v>
      </c>
      <c r="H5" s="10" t="n"/>
      <c r="I5" s="184" t="n">
        <v>46354</v>
      </c>
      <c r="J5" s="184" t="n"/>
      <c r="K5" s="20">
        <f>+P5</f>
        <v/>
      </c>
      <c r="L5" s="282">
        <f>IF(I5="","",SUMIF(제품등록!B:B,'믹스(잔량실사표)'!C:C,제품등록!F:F))</f>
        <v/>
      </c>
      <c r="M5" s="11">
        <f>IF(I5=0,"",I5-L5)</f>
        <v/>
      </c>
      <c r="N5" s="283">
        <f>IF(M5="","",L5*상미75)</f>
        <v/>
      </c>
      <c r="O5" s="19">
        <f>IF(N5="","",M5+N5)</f>
        <v/>
      </c>
      <c r="P5" s="17">
        <f>IF(O5="","",O5-$I$1)</f>
        <v/>
      </c>
    </row>
    <row r="6" ht="17.25" customHeight="1" s="237">
      <c r="A6" s="10">
        <f>ROW()-2</f>
        <v/>
      </c>
      <c r="B6" s="24" t="n">
        <v>1002</v>
      </c>
      <c r="C6" s="22">
        <f>VLOOKUP(B:B,재고차이!A:B,2,0)</f>
        <v/>
      </c>
      <c r="D6" s="22">
        <f>VLOOKUP(C:C,재고차이!B:C,2,0)</f>
        <v/>
      </c>
      <c r="E6" s="10" t="n"/>
      <c r="F6" s="10" t="n"/>
      <c r="G6" s="10" t="n">
        <v>9</v>
      </c>
      <c r="H6" s="10" t="n"/>
      <c r="I6" s="184" t="n">
        <v>46250</v>
      </c>
      <c r="J6" s="184" t="n"/>
      <c r="K6" s="20">
        <f>+P6</f>
        <v/>
      </c>
      <c r="L6" s="282">
        <f>IF(I6="","",SUMIF(제품등록!B:B,'믹스(잔량실사표)'!C:C,제품등록!F:F))</f>
        <v/>
      </c>
      <c r="M6" s="11">
        <f>IF(I6=0,"",I6-L6)</f>
        <v/>
      </c>
      <c r="N6" s="283">
        <f>IF(M6="","",L6*상미75)</f>
        <v/>
      </c>
      <c r="O6" s="19">
        <f>IF(N6="","",M6+N6)</f>
        <v/>
      </c>
      <c r="P6" s="17">
        <f>IF(O6="","",O6-$I$1)</f>
        <v/>
      </c>
    </row>
    <row r="7" ht="17.25" customHeight="1" s="237">
      <c r="A7" s="10">
        <f>ROW()-2</f>
        <v/>
      </c>
      <c r="B7" s="24" t="n">
        <v>1007</v>
      </c>
      <c r="C7" s="22">
        <f>VLOOKUP(B:B,재고차이!A:B,2,0)</f>
        <v/>
      </c>
      <c r="D7" s="22">
        <f>VLOOKUP(C:C,재고차이!B:C,2,0)</f>
        <v/>
      </c>
      <c r="E7" s="10" t="n"/>
      <c r="F7" s="10" t="n"/>
      <c r="G7" s="10" t="n">
        <v>47</v>
      </c>
      <c r="H7" s="10" t="n"/>
      <c r="I7" s="184" t="n">
        <v>46319</v>
      </c>
      <c r="J7" s="184" t="n"/>
      <c r="K7" s="20">
        <f>+P7</f>
        <v/>
      </c>
      <c r="L7" s="282">
        <f>IF(I7="","",SUMIF(제품등록!B:B,'믹스(잔량실사표)'!C:C,제품등록!F:F))</f>
        <v/>
      </c>
      <c r="M7" s="11">
        <f>IF(I7=0,"",I7-L7)</f>
        <v/>
      </c>
      <c r="N7" s="283">
        <f>IF(M7="","",L7*상미75)</f>
        <v/>
      </c>
      <c r="O7" s="19">
        <f>IF(N7="","",M7+N7)</f>
        <v/>
      </c>
      <c r="P7" s="17">
        <f>IF(O7="","",O7-$I$1)</f>
        <v/>
      </c>
    </row>
    <row r="8" ht="17.25" customHeight="1" s="237">
      <c r="A8" s="10">
        <f>ROW()-2</f>
        <v/>
      </c>
      <c r="B8" s="10" t="n">
        <v>1300</v>
      </c>
      <c r="C8" s="22">
        <f>VLOOKUP(B:B,재고차이!A:B,2,0)</f>
        <v/>
      </c>
      <c r="D8" s="22">
        <f>VLOOKUP(C:C,재고차이!B:C,2,0)</f>
        <v/>
      </c>
      <c r="E8" s="10" t="n"/>
      <c r="F8" s="10" t="n"/>
      <c r="G8" s="185" t="n">
        <v>8</v>
      </c>
      <c r="H8" s="185" t="n"/>
      <c r="I8" s="184" t="n">
        <v>46717</v>
      </c>
      <c r="J8" s="184" t="n"/>
      <c r="K8" s="20">
        <f>+P8</f>
        <v/>
      </c>
      <c r="L8" s="282">
        <f>IF(I8="","",SUMIF(제품등록!B:B,'믹스(잔량실사표)'!C:C,제품등록!F:F))</f>
        <v/>
      </c>
      <c r="M8" s="11">
        <f>IF(I8=0,"",I8-L8)</f>
        <v/>
      </c>
      <c r="N8" s="283">
        <f>IF(M8="","",L8*상미75)</f>
        <v/>
      </c>
      <c r="O8" s="19">
        <f>IF(N8="","",M8+N8)</f>
        <v/>
      </c>
      <c r="P8" s="17">
        <f>IF(O8="","",O8-$I$1)</f>
        <v/>
      </c>
    </row>
    <row r="9" ht="17.25" customHeight="1" s="237">
      <c r="A9" s="10">
        <f>ROW()-2</f>
        <v/>
      </c>
      <c r="B9" s="24" t="n">
        <v>2531</v>
      </c>
      <c r="C9" s="22">
        <f>VLOOKUP(B:B,재고차이!A:B,2,0)</f>
        <v/>
      </c>
      <c r="D9" s="22">
        <f>VLOOKUP(C:C,재고차이!B:C,2,0)</f>
        <v/>
      </c>
      <c r="E9" s="10" t="n"/>
      <c r="F9" s="10" t="n"/>
      <c r="G9" s="10" t="n">
        <v>9</v>
      </c>
      <c r="H9" s="10" t="n"/>
      <c r="I9" s="184" t="n">
        <v>46682</v>
      </c>
      <c r="J9" s="184" t="n"/>
      <c r="K9" s="20">
        <f>+P9</f>
        <v/>
      </c>
      <c r="L9" s="282">
        <f>IF(I9="","",SUMIF(제품등록!B:B,'믹스(잔량실사표)'!C:C,제품등록!F:F))</f>
        <v/>
      </c>
      <c r="M9" s="11">
        <f>IF(I9=0,"",I9-L9)</f>
        <v/>
      </c>
      <c r="N9" s="283">
        <f>IF(M9="","",L9*상미75)</f>
        <v/>
      </c>
      <c r="O9" s="19">
        <f>IF(N9="","",M9+N9)</f>
        <v/>
      </c>
      <c r="P9" s="17">
        <f>IF(O9="","",O9-$I$1)</f>
        <v/>
      </c>
    </row>
    <row r="10" ht="17.25" customHeight="1" s="237">
      <c r="A10" s="10">
        <f>ROW()-2</f>
        <v/>
      </c>
      <c r="B10" s="24" t="n">
        <v>2825</v>
      </c>
      <c r="C10" s="22">
        <f>VLOOKUP(B:B,재고차이!A:B,2,0)</f>
        <v/>
      </c>
      <c r="D10" s="22">
        <f>VLOOKUP(C:C,재고차이!B:C,2,0)</f>
        <v/>
      </c>
      <c r="E10" s="10" t="n"/>
      <c r="F10" s="10" t="n"/>
      <c r="G10" s="10" t="n">
        <v>15</v>
      </c>
      <c r="H10" s="10" t="n"/>
      <c r="I10" s="184" t="n">
        <v>46270</v>
      </c>
      <c r="J10" s="184" t="n"/>
      <c r="K10" s="20">
        <f>+P10</f>
        <v/>
      </c>
      <c r="L10" s="282">
        <f>IF(I10="","",SUMIF(제품등록!B:B,'믹스(잔량실사표)'!C:C,제품등록!F:F))</f>
        <v/>
      </c>
      <c r="M10" s="11">
        <f>IF(I10=0,"",I10-L10)</f>
        <v/>
      </c>
      <c r="N10" s="283">
        <f>IF(M10="","",L10*상미75)</f>
        <v/>
      </c>
      <c r="O10" s="19">
        <f>IF(N10="","",M10+N10)</f>
        <v/>
      </c>
      <c r="P10" s="17">
        <f>IF(O10="","",O10-$I$1)</f>
        <v/>
      </c>
    </row>
    <row r="11" ht="17.25" customHeight="1" s="237">
      <c r="A11" s="10">
        <f>ROW()-2</f>
        <v/>
      </c>
      <c r="B11" s="24" t="n">
        <v>2826</v>
      </c>
      <c r="C11" s="22">
        <f>VLOOKUP(B:B,재고차이!A:B,2,0)</f>
        <v/>
      </c>
      <c r="D11" s="22">
        <f>VLOOKUP(C:C,재고차이!B:C,2,0)</f>
        <v/>
      </c>
      <c r="E11" s="10" t="n"/>
      <c r="F11" s="10" t="n"/>
      <c r="G11" s="10" t="n">
        <v>26</v>
      </c>
      <c r="H11" s="10" t="n"/>
      <c r="I11" s="184" t="n">
        <v>46270</v>
      </c>
      <c r="J11" s="184" t="n"/>
      <c r="K11" s="20">
        <f>+P11</f>
        <v/>
      </c>
      <c r="L11" s="282">
        <f>IF(I11="","",SUMIF(제품등록!B:B,'믹스(잔량실사표)'!C:C,제품등록!F:F))</f>
        <v/>
      </c>
      <c r="M11" s="11">
        <f>IF(I11=0,"",I11-L11)</f>
        <v/>
      </c>
      <c r="N11" s="283">
        <f>IF(M11="","",L11*상미75)</f>
        <v/>
      </c>
      <c r="O11" s="19">
        <f>IF(N11="","",M11+N11)</f>
        <v/>
      </c>
      <c r="P11" s="17">
        <f>IF(O11="","",O11-$I$1)</f>
        <v/>
      </c>
    </row>
    <row r="12" ht="17.25" customHeight="1" s="237">
      <c r="A12" s="10" t="n">
        <v>16</v>
      </c>
      <c r="B12" s="24" t="n">
        <v>4112</v>
      </c>
      <c r="C12" s="22">
        <f>VLOOKUP(B:B,재고차이!A:B,2,0)</f>
        <v/>
      </c>
      <c r="D12" s="22">
        <f>VLOOKUP(C:C,재고차이!B:C,2,0)</f>
        <v/>
      </c>
      <c r="E12" s="10" t="n"/>
      <c r="F12" s="10" t="n"/>
      <c r="G12" s="10">
        <f>132+132+39</f>
        <v/>
      </c>
      <c r="H12" s="10" t="n"/>
      <c r="I12" s="184" t="n">
        <v>46273</v>
      </c>
      <c r="J12" s="184" t="n"/>
      <c r="K12" s="20">
        <f>+P12</f>
        <v/>
      </c>
      <c r="L12" s="282">
        <f>IF(I12="","",SUMIF(제품등록!B:B,'믹스(잔량실사표)'!C:C,제품등록!F:F))</f>
        <v/>
      </c>
      <c r="M12" s="11">
        <f>IF(I12=0,"",I12-L12)</f>
        <v/>
      </c>
      <c r="N12" s="283">
        <f>IF(M12="","",L12*상미75)</f>
        <v/>
      </c>
      <c r="O12" s="19">
        <f>IF(N12="","",M12+N12)</f>
        <v/>
      </c>
      <c r="P12" s="17">
        <f>IF(O12="","",O12-$I$1)</f>
        <v/>
      </c>
    </row>
    <row r="13" ht="17.25" customHeight="1" s="237">
      <c r="A13" s="10" t="n">
        <v>16</v>
      </c>
      <c r="B13" s="24" t="n">
        <v>4112</v>
      </c>
      <c r="C13" s="22">
        <f>VLOOKUP(B:B,재고차이!A:B,2,0)</f>
        <v/>
      </c>
      <c r="D13" s="22">
        <f>VLOOKUP(C:C,재고차이!B:C,2,0)</f>
        <v/>
      </c>
      <c r="E13" s="10" t="n"/>
      <c r="F13" s="10" t="n"/>
      <c r="G13" s="10" t="n">
        <v>44</v>
      </c>
      <c r="H13" s="10" t="n"/>
      <c r="I13" s="184" t="n">
        <v>46324</v>
      </c>
      <c r="J13" s="184" t="n"/>
      <c r="K13" s="20">
        <f>+P13</f>
        <v/>
      </c>
      <c r="L13" s="282">
        <f>IF(I13="","",SUMIF(제품등록!B:B,'믹스(잔량실사표)'!C:C,제품등록!F:F))</f>
        <v/>
      </c>
      <c r="M13" s="11">
        <f>IF(I13=0,"",I13-L13)</f>
        <v/>
      </c>
      <c r="N13" s="283">
        <f>IF(M13="","",L13*상미75)</f>
        <v/>
      </c>
      <c r="O13" s="19">
        <f>IF(N13="","",M13+N13)</f>
        <v/>
      </c>
      <c r="P13" s="17">
        <f>IF(O13="","",O13-$I$1)</f>
        <v/>
      </c>
    </row>
    <row r="14" ht="17.25" customHeight="1" s="237">
      <c r="A14" s="10">
        <f>ROW()-2</f>
        <v/>
      </c>
      <c r="B14" s="10" t="n">
        <v>4125</v>
      </c>
      <c r="C14" s="22">
        <f>VLOOKUP(B:B,재고차이!A:B,2,0)</f>
        <v/>
      </c>
      <c r="D14" s="22">
        <f>VLOOKUP(C:C,재고차이!B:C,2,0)</f>
        <v/>
      </c>
      <c r="E14" s="10" t="n"/>
      <c r="F14" s="10" t="n"/>
      <c r="G14" s="10" t="n">
        <v>1</v>
      </c>
      <c r="H14" s="10" t="n"/>
      <c r="I14" s="184" t="n">
        <v>46674</v>
      </c>
      <c r="J14" s="184" t="n"/>
      <c r="K14" s="20">
        <f>+P14</f>
        <v/>
      </c>
      <c r="L14" s="282">
        <f>IF(I14="","",SUMIF(제품등록!B:B,'믹스(잔량실사표)'!C:C,제품등록!F:F))</f>
        <v/>
      </c>
      <c r="M14" s="11">
        <f>IF(I14=0,"",I14-L14)</f>
        <v/>
      </c>
      <c r="N14" s="283">
        <f>IF(M14="","",L14*상미75)</f>
        <v/>
      </c>
      <c r="O14" s="19">
        <f>IF(N14="","",M14+N14)</f>
        <v/>
      </c>
      <c r="P14" s="17">
        <f>IF(O14="","",O14-$I$1)</f>
        <v/>
      </c>
    </row>
    <row r="15" ht="17.25" customHeight="1" s="237">
      <c r="A15" s="10">
        <f>ROW()-2</f>
        <v/>
      </c>
      <c r="B15" s="24" t="n">
        <v>4177</v>
      </c>
      <c r="C15" s="22">
        <f>VLOOKUP(B:B,재고차이!A:B,2,0)</f>
        <v/>
      </c>
      <c r="D15" s="22">
        <f>VLOOKUP(C:C,재고차이!B:C,2,0)</f>
        <v/>
      </c>
      <c r="E15" s="10" t="n"/>
      <c r="F15" s="10" t="n"/>
      <c r="G15" s="10" t="n">
        <v>65</v>
      </c>
      <c r="H15" s="10" t="n"/>
      <c r="I15" s="184" t="n">
        <v>46570</v>
      </c>
      <c r="J15" s="184" t="n"/>
      <c r="K15" s="20">
        <f>+P15</f>
        <v/>
      </c>
      <c r="L15" s="282">
        <f>IF(I15="","",SUMIF(제품등록!B:B,'믹스(잔량실사표)'!C:C,제품등록!F:F))</f>
        <v/>
      </c>
      <c r="M15" s="11">
        <f>IF(I15=0,"",I15-L15)</f>
        <v/>
      </c>
      <c r="N15" s="283">
        <f>IF(M15="","",L15*상미75)</f>
        <v/>
      </c>
      <c r="O15" s="19">
        <f>IF(N15="","",M15+N15)</f>
        <v/>
      </c>
      <c r="P15" s="17">
        <f>IF(O15="","",O15-$I$1)</f>
        <v/>
      </c>
    </row>
    <row r="16" ht="17.25" customHeight="1" s="237">
      <c r="A16" s="10">
        <f>ROW()-2</f>
        <v/>
      </c>
      <c r="B16" s="24" t="n">
        <v>4179</v>
      </c>
      <c r="C16" s="22">
        <f>VLOOKUP(B:B,재고차이!A:B,2,0)</f>
        <v/>
      </c>
      <c r="D16" s="22">
        <f>VLOOKUP(C:C,재고차이!B:C,2,0)</f>
        <v/>
      </c>
      <c r="E16" s="10" t="n"/>
      <c r="F16" s="10" t="n"/>
      <c r="G16" s="10" t="n">
        <v>40</v>
      </c>
      <c r="H16" s="10" t="n"/>
      <c r="I16" s="184" t="n">
        <v>46683</v>
      </c>
      <c r="J16" s="184" t="n"/>
      <c r="K16" s="20">
        <f>+P16</f>
        <v/>
      </c>
      <c r="L16" s="282">
        <f>IF(I16="","",SUMIF(제품등록!B:B,'믹스(잔량실사표)'!C:C,제품등록!F:F))</f>
        <v/>
      </c>
      <c r="M16" s="11">
        <f>IF(I16=0,"",I16-L16)</f>
        <v/>
      </c>
      <c r="N16" s="283">
        <f>IF(M16="","",L16*상미75)</f>
        <v/>
      </c>
      <c r="O16" s="19">
        <f>IF(N16="","",M16+N16)</f>
        <v/>
      </c>
      <c r="P16" s="17">
        <f>IF(O16="","",O16-$I$1)</f>
        <v/>
      </c>
    </row>
    <row r="17" ht="17.25" customHeight="1" s="237">
      <c r="A17" s="10">
        <f>ROW()-2</f>
        <v/>
      </c>
      <c r="B17" s="10" t="n">
        <v>4182</v>
      </c>
      <c r="C17" s="22">
        <f>VLOOKUP(B:B,재고차이!A:B,2,0)</f>
        <v/>
      </c>
      <c r="D17" s="22">
        <f>VLOOKUP(C:C,재고차이!B:C,2,0)</f>
        <v/>
      </c>
      <c r="E17" s="10" t="n"/>
      <c r="F17" s="10" t="n"/>
      <c r="G17" s="10" t="n">
        <v>30</v>
      </c>
      <c r="H17" s="185" t="n"/>
      <c r="I17" s="184" t="n">
        <v>46323</v>
      </c>
      <c r="J17" s="151" t="n"/>
      <c r="K17" s="20">
        <f>+P17</f>
        <v/>
      </c>
      <c r="L17" s="282">
        <f>IF(I17="","",SUMIF(제품등록!B:B,'믹스(잔량실사표)'!C:C,제품등록!F:F))</f>
        <v/>
      </c>
      <c r="M17" s="11">
        <f>IF(I17=0,"",I17-L17)</f>
        <v/>
      </c>
      <c r="N17" s="283">
        <f>IF(M17="","",L17*상미75)</f>
        <v/>
      </c>
      <c r="O17" s="19">
        <f>IF(N17="","",M17+N17)</f>
        <v/>
      </c>
      <c r="P17" s="17">
        <f>IF(O17="","",O17-$I$1)</f>
        <v/>
      </c>
    </row>
    <row r="18" ht="17.25" customHeight="1" s="237">
      <c r="A18" s="10">
        <f>ROW()-2</f>
        <v/>
      </c>
      <c r="B18" s="24" t="n">
        <v>4183</v>
      </c>
      <c r="C18" s="22">
        <f>VLOOKUP(B:B,재고차이!A:B,2,0)</f>
        <v/>
      </c>
      <c r="D18" s="22">
        <f>VLOOKUP(C:C,재고차이!B:C,2,0)</f>
        <v/>
      </c>
      <c r="E18" s="10" t="n"/>
      <c r="F18" s="10" t="n"/>
      <c r="G18" s="10" t="n">
        <v>29</v>
      </c>
      <c r="H18" s="10" t="n"/>
      <c r="I18" s="184" t="n">
        <v>46322</v>
      </c>
      <c r="J18" s="184" t="n"/>
      <c r="K18" s="20">
        <f>+P18</f>
        <v/>
      </c>
      <c r="L18" s="282">
        <f>IF(I18="","",SUMIF(제품등록!B:B,'믹스(잔량실사표)'!C:C,제품등록!F:F))</f>
        <v/>
      </c>
      <c r="M18" s="11">
        <f>IF(I18=0,"",I18-L18)</f>
        <v/>
      </c>
      <c r="N18" s="283">
        <f>IF(M18="","",L18*상미75)</f>
        <v/>
      </c>
      <c r="O18" s="19">
        <f>IF(N18="","",M18+N18)</f>
        <v/>
      </c>
      <c r="P18" s="17">
        <f>IF(O18="","",O18-$I$1)</f>
        <v/>
      </c>
    </row>
    <row r="19" ht="17.25" customHeight="1" s="237">
      <c r="A19" s="10">
        <f>ROW()-2</f>
        <v/>
      </c>
      <c r="B19" s="24" t="n">
        <v>4184</v>
      </c>
      <c r="C19" s="22">
        <f>VLOOKUP(B:B,재고차이!A:B,2,0)</f>
        <v/>
      </c>
      <c r="D19" s="22">
        <f>VLOOKUP(C:C,재고차이!B:C,2,0)</f>
        <v/>
      </c>
      <c r="E19" s="10" t="n"/>
      <c r="F19" s="10" t="n"/>
      <c r="G19" s="10" t="n">
        <v>56</v>
      </c>
      <c r="H19" s="10" t="n"/>
      <c r="I19" s="184" t="n">
        <v>46310</v>
      </c>
      <c r="J19" s="184" t="n"/>
      <c r="K19" s="20">
        <f>+P19</f>
        <v/>
      </c>
      <c r="L19" s="282">
        <f>IF(I19="","",SUMIF(제품등록!B:B,'믹스(잔량실사표)'!C:C,제품등록!F:F))</f>
        <v/>
      </c>
      <c r="M19" s="11">
        <f>IF(I19=0,"",I19-L19)</f>
        <v/>
      </c>
      <c r="N19" s="283">
        <f>IF(M19="","",L19*상미75)</f>
        <v/>
      </c>
      <c r="O19" s="19">
        <f>IF(N19="","",M19+N19)</f>
        <v/>
      </c>
      <c r="P19" s="17">
        <f>IF(O19="","",O19-$I$1)</f>
        <v/>
      </c>
    </row>
    <row r="20" ht="17.25" customHeight="1" s="237">
      <c r="A20" s="10">
        <f>ROW()-2</f>
        <v/>
      </c>
      <c r="B20" s="10" t="n">
        <v>4259</v>
      </c>
      <c r="C20" s="22">
        <f>VLOOKUP(B:B,재고차이!A:B,2,0)</f>
        <v/>
      </c>
      <c r="D20" s="22">
        <f>VLOOKUP(C:C,재고차이!B:C,2,0)</f>
        <v/>
      </c>
      <c r="E20" s="10" t="n"/>
      <c r="F20" s="10" t="n"/>
      <c r="G20" s="10" t="n">
        <v>12</v>
      </c>
      <c r="H20" s="10" t="n"/>
      <c r="I20" s="184" t="n">
        <v>46675</v>
      </c>
      <c r="J20" s="184" t="n"/>
      <c r="K20" s="20">
        <f>+P20</f>
        <v/>
      </c>
      <c r="L20" s="282">
        <f>IF(I20="","",SUMIF(제품등록!B:B,'믹스(잔량실사표)'!C:C,제품등록!F:F))</f>
        <v/>
      </c>
      <c r="M20" s="11">
        <f>IF(I20=0,"",I20-L20)</f>
        <v/>
      </c>
      <c r="N20" s="283">
        <f>IF(M20="","",L20*상미75)</f>
        <v/>
      </c>
      <c r="O20" s="19">
        <f>IF(N20="","",M20+N20)</f>
        <v/>
      </c>
      <c r="P20" s="17">
        <f>IF(O20="","",O20-$I$1)</f>
        <v/>
      </c>
    </row>
    <row r="21" ht="17.25" customHeight="1" s="237">
      <c r="A21" s="10">
        <f>ROW()-2</f>
        <v/>
      </c>
      <c r="B21" s="10" t="n">
        <v>4281</v>
      </c>
      <c r="C21" s="22">
        <f>VLOOKUP(B:B,재고차이!A:B,2,0)</f>
        <v/>
      </c>
      <c r="D21" s="22">
        <f>VLOOKUP(C:C,재고차이!B:C,2,0)</f>
        <v/>
      </c>
      <c r="E21" s="10" t="n"/>
      <c r="F21" s="10" t="n"/>
      <c r="G21" s="10" t="n">
        <v>41</v>
      </c>
      <c r="H21" s="10" t="n"/>
      <c r="I21" s="184" t="n">
        <v>46297</v>
      </c>
      <c r="J21" s="184" t="n"/>
      <c r="K21" s="20">
        <f>+P21</f>
        <v/>
      </c>
      <c r="L21" s="282">
        <f>IF(I21="","",SUMIF(제품등록!B:B,'믹스(잔량실사표)'!C:C,제품등록!F:F))</f>
        <v/>
      </c>
      <c r="M21" s="11">
        <f>IF(I21=0,"",I21-L21)</f>
        <v/>
      </c>
      <c r="N21" s="283">
        <f>IF(M21="","",L21*상미75)</f>
        <v/>
      </c>
      <c r="O21" s="19">
        <f>IF(N21="","",M21+N21)</f>
        <v/>
      </c>
      <c r="P21" s="17">
        <f>IF(O21="","",O21-$I$1)</f>
        <v/>
      </c>
    </row>
    <row r="22" ht="17.25" customHeight="1" s="237">
      <c r="A22" s="10">
        <f>ROW()-2</f>
        <v/>
      </c>
      <c r="B22" s="10" t="n">
        <v>4290</v>
      </c>
      <c r="C22" s="22">
        <f>VLOOKUP(B:B,재고차이!A:B,2,0)</f>
        <v/>
      </c>
      <c r="D22" s="22">
        <f>VLOOKUP(C:C,재고차이!B:C,2,0)</f>
        <v/>
      </c>
      <c r="E22" s="10" t="n"/>
      <c r="F22" s="10" t="n"/>
      <c r="G22" s="10" t="n">
        <v>31</v>
      </c>
      <c r="H22" s="10" t="n"/>
      <c r="I22" s="184" t="n">
        <v>46349</v>
      </c>
      <c r="J22" s="184" t="n"/>
      <c r="K22" s="20">
        <f>+P22</f>
        <v/>
      </c>
      <c r="L22" s="282">
        <f>IF(I22="","",SUMIF(제품등록!B:B,'믹스(잔량실사표)'!C:C,제품등록!F:F))</f>
        <v/>
      </c>
      <c r="M22" s="11">
        <f>IF(I22=0,"",I22-L22)</f>
        <v/>
      </c>
      <c r="N22" s="283">
        <f>IF(M22="","",L22*상미75)</f>
        <v/>
      </c>
      <c r="O22" s="19">
        <f>IF(N22="","",M22+N22)</f>
        <v/>
      </c>
      <c r="P22" s="17">
        <f>IF(O22="","",O22-$I$1)</f>
        <v/>
      </c>
    </row>
    <row r="23" ht="17.25" customHeight="1" s="237">
      <c r="A23" s="10">
        <f>ROW()-2</f>
        <v/>
      </c>
      <c r="B23" s="24" t="n">
        <v>4432</v>
      </c>
      <c r="C23" s="22">
        <f>VLOOKUP(B:B,재고차이!A:B,2,0)</f>
        <v/>
      </c>
      <c r="D23" s="22">
        <f>VLOOKUP(C:C,재고차이!B:C,2,0)</f>
        <v/>
      </c>
      <c r="E23" s="10" t="n"/>
      <c r="F23" s="10" t="n"/>
      <c r="G23" s="10" t="n">
        <v>55</v>
      </c>
      <c r="H23" s="10" t="n"/>
      <c r="I23" s="184" t="n">
        <v>46267</v>
      </c>
      <c r="J23" s="184" t="n"/>
      <c r="K23" s="20">
        <f>+P23</f>
        <v/>
      </c>
      <c r="L23" s="282">
        <f>IF(I23="","",SUMIF(제품등록!B:B,'믹스(잔량실사표)'!C:C,제품등록!F:F))</f>
        <v/>
      </c>
      <c r="M23" s="11">
        <f>IF(I23=0,"",I23-L23)</f>
        <v/>
      </c>
      <c r="N23" s="283">
        <f>IF(M23="","",L23*상미75)</f>
        <v/>
      </c>
      <c r="O23" s="19">
        <f>IF(N23="","",M23+N23)</f>
        <v/>
      </c>
      <c r="P23" s="17">
        <f>IF(O23="","",O23-$I$1)</f>
        <v/>
      </c>
    </row>
    <row r="24" ht="17.25" customHeight="1" s="237">
      <c r="A24" s="10">
        <f>ROW()-2</f>
        <v/>
      </c>
      <c r="B24" s="24" t="n">
        <v>4823</v>
      </c>
      <c r="C24" s="22">
        <f>VLOOKUP(B:B,재고차이!A:B,2,0)</f>
        <v/>
      </c>
      <c r="D24" s="22">
        <f>VLOOKUP(C:C,재고차이!B:C,2,0)</f>
        <v/>
      </c>
      <c r="E24" s="10" t="n"/>
      <c r="F24" s="10" t="n"/>
      <c r="G24" s="10" t="n">
        <v>63</v>
      </c>
      <c r="H24" s="10" t="n"/>
      <c r="I24" s="184" t="n">
        <v>46708</v>
      </c>
      <c r="J24" s="184" t="n"/>
      <c r="K24" s="20">
        <f>+P24</f>
        <v/>
      </c>
      <c r="L24" s="282">
        <f>IF(I24="","",SUMIF(제품등록!B:B,'믹스(잔량실사표)'!C:C,제품등록!F:F))</f>
        <v/>
      </c>
      <c r="M24" s="11">
        <f>IF(I24=0,"",I24-L24)</f>
        <v/>
      </c>
      <c r="N24" s="283">
        <f>IF(M24="","",L24*상미75)</f>
        <v/>
      </c>
      <c r="O24" s="19">
        <f>IF(N24="","",M24+N24)</f>
        <v/>
      </c>
      <c r="P24" s="17">
        <f>IF(O24="","",O24-$I$1)</f>
        <v/>
      </c>
    </row>
    <row r="25" ht="17.25" customHeight="1" s="237">
      <c r="A25" s="10">
        <f>ROW()-2</f>
        <v/>
      </c>
      <c r="B25" s="24" t="n">
        <v>4872</v>
      </c>
      <c r="C25" s="22">
        <f>VLOOKUP(B:B,재고차이!A:B,2,0)</f>
        <v/>
      </c>
      <c r="D25" s="22">
        <f>VLOOKUP(C:C,재고차이!B:C,2,0)</f>
        <v/>
      </c>
      <c r="E25" s="10" t="n"/>
      <c r="F25" s="10" t="n"/>
      <c r="G25" s="10" t="n">
        <v>111</v>
      </c>
      <c r="H25" s="10" t="n"/>
      <c r="I25" s="184" t="n">
        <v>46367</v>
      </c>
      <c r="J25" s="184" t="n"/>
      <c r="K25" s="20">
        <f>+P25</f>
        <v/>
      </c>
      <c r="L25" s="282">
        <f>IF(I25="","",SUMIF(제품등록!B:B,'믹스(잔량실사표)'!C:C,제품등록!F:F))</f>
        <v/>
      </c>
      <c r="M25" s="11">
        <f>IF(I25=0,"",I25-L25)</f>
        <v/>
      </c>
      <c r="N25" s="283">
        <f>IF(M25="","",L25*상미75)</f>
        <v/>
      </c>
      <c r="O25" s="19">
        <f>IF(N25="","",M25+N25)</f>
        <v/>
      </c>
      <c r="P25" s="17">
        <f>IF(O25="","",O25-$I$1)</f>
        <v/>
      </c>
    </row>
    <row r="26" ht="17.25" customHeight="1" s="237">
      <c r="A26" s="10">
        <f>ROW()-2</f>
        <v/>
      </c>
      <c r="B26" s="24" t="n">
        <v>4879</v>
      </c>
      <c r="C26" s="22">
        <f>VLOOKUP(B:B,재고차이!A:B,2,0)</f>
        <v/>
      </c>
      <c r="D26" s="22">
        <f>VLOOKUP(C:C,재고차이!B:C,2,0)</f>
        <v/>
      </c>
      <c r="E26" s="10" t="n"/>
      <c r="F26" s="10" t="n"/>
      <c r="G26" s="10" t="n">
        <v>56</v>
      </c>
      <c r="H26" s="10" t="n"/>
      <c r="I26" s="184" t="n">
        <v>46358</v>
      </c>
      <c r="J26" s="184" t="n"/>
      <c r="K26" s="20">
        <f>+P26</f>
        <v/>
      </c>
      <c r="L26" s="282">
        <f>IF(I26="","",SUMIF(제품등록!B:B,'믹스(잔량실사표)'!C:C,제품등록!F:F))</f>
        <v/>
      </c>
      <c r="M26" s="11">
        <f>IF(I26=0,"",I26-L26)</f>
        <v/>
      </c>
      <c r="N26" s="283">
        <f>IF(M26="","",L26*상미75)</f>
        <v/>
      </c>
      <c r="O26" s="19">
        <f>IF(N26="","",M26+N26)</f>
        <v/>
      </c>
      <c r="P26" s="17">
        <f>IF(O26="","",O26-$I$1)</f>
        <v/>
      </c>
    </row>
    <row r="27" ht="17.25" customHeight="1" s="237">
      <c r="A27" s="10">
        <f>ROW()-2</f>
        <v/>
      </c>
      <c r="B27" s="24" t="n">
        <v>4899</v>
      </c>
      <c r="C27" s="22">
        <f>VLOOKUP(B:B,재고차이!A:B,2,0)</f>
        <v/>
      </c>
      <c r="D27" s="22">
        <f>VLOOKUP(C:C,재고차이!B:C,2,0)</f>
        <v/>
      </c>
      <c r="E27" s="10" t="n"/>
      <c r="F27" s="10" t="n"/>
      <c r="G27" s="10" t="n">
        <v>12</v>
      </c>
      <c r="H27" s="10" t="n"/>
      <c r="I27" s="184" t="n">
        <v>46343</v>
      </c>
      <c r="J27" s="184" t="n"/>
      <c r="K27" s="20">
        <f>+P27</f>
        <v/>
      </c>
      <c r="L27" s="282">
        <f>IF(I27="","",SUMIF(제품등록!B:B,'믹스(잔량실사표)'!C:C,제품등록!F:F))</f>
        <v/>
      </c>
      <c r="M27" s="11">
        <f>IF(I27=0,"",I27-L27)</f>
        <v/>
      </c>
      <c r="N27" s="283">
        <f>IF(M27="","",L27*상미75)</f>
        <v/>
      </c>
      <c r="O27" s="19">
        <f>IF(N27="","",M27+N27)</f>
        <v/>
      </c>
      <c r="P27" s="17">
        <f>IF(O27="","",O27-$I$1)</f>
        <v/>
      </c>
    </row>
    <row r="28" ht="17.25" customHeight="1" s="237">
      <c r="A28" s="10">
        <f>ROW()-2</f>
        <v/>
      </c>
      <c r="B28" s="24" t="n">
        <v>4929</v>
      </c>
      <c r="C28" s="22">
        <f>VLOOKUP(B:B,재고차이!A:B,2,0)</f>
        <v/>
      </c>
      <c r="D28" s="22">
        <f>VLOOKUP(C:C,재고차이!B:C,2,0)</f>
        <v/>
      </c>
      <c r="E28" s="10" t="n"/>
      <c r="F28" s="10" t="n"/>
      <c r="G28" s="10" t="n">
        <v>93</v>
      </c>
      <c r="H28" s="10" t="n"/>
      <c r="I28" s="184" t="n">
        <v>46681</v>
      </c>
      <c r="J28" s="184" t="n"/>
      <c r="K28" s="20">
        <f>+P28</f>
        <v/>
      </c>
      <c r="L28" s="282">
        <f>IF(I28="","",SUMIF(제품등록!B:B,'믹스(잔량실사표)'!C:C,제품등록!F:F))</f>
        <v/>
      </c>
      <c r="M28" s="11">
        <f>IF(I28=0,"",I28-L28)</f>
        <v/>
      </c>
      <c r="N28" s="283">
        <f>IF(M28="","",L28*상미75)</f>
        <v/>
      </c>
      <c r="O28" s="19">
        <f>IF(N28="","",M28+N28)</f>
        <v/>
      </c>
      <c r="P28" s="17">
        <f>IF(O28="","",O28-$I$1)</f>
        <v/>
      </c>
    </row>
    <row r="29" ht="17.25" customHeight="1" s="237">
      <c r="A29" s="10">
        <f>ROW()-2</f>
        <v/>
      </c>
      <c r="B29" s="24" t="n">
        <v>4969</v>
      </c>
      <c r="C29" s="22">
        <f>VLOOKUP(B:B,재고차이!A:B,2,0)</f>
        <v/>
      </c>
      <c r="D29" s="22">
        <f>VLOOKUP(C:C,재고차이!B:C,2,0)</f>
        <v/>
      </c>
      <c r="E29" s="10" t="n"/>
      <c r="F29" s="10" t="n"/>
      <c r="G29" s="10" t="n">
        <v>42</v>
      </c>
      <c r="H29" s="10" t="n"/>
      <c r="I29" s="184" t="n">
        <v>46315</v>
      </c>
      <c r="J29" s="184" t="n"/>
      <c r="K29" s="20">
        <f>+P29</f>
        <v/>
      </c>
      <c r="L29" s="282">
        <f>IF(I29="","",SUMIF(제품등록!B:B,'믹스(잔량실사표)'!C:C,제품등록!F:F))</f>
        <v/>
      </c>
      <c r="M29" s="11">
        <f>IF(I29=0,"",I29-L29)</f>
        <v/>
      </c>
      <c r="N29" s="283">
        <f>IF(M29="","",L29*상미75)</f>
        <v/>
      </c>
      <c r="O29" s="19">
        <f>IF(N29="","",M29+N29)</f>
        <v/>
      </c>
      <c r="P29" s="17">
        <f>IF(O29="","",O29-$I$1)</f>
        <v/>
      </c>
    </row>
    <row r="30" ht="17.25" customHeight="1" s="237">
      <c r="A30" s="10">
        <f>ROW()-2</f>
        <v/>
      </c>
      <c r="B30" s="24" t="n">
        <v>5191</v>
      </c>
      <c r="C30" s="22">
        <f>VLOOKUP(B:B,재고차이!A:B,2,0)</f>
        <v/>
      </c>
      <c r="D30" s="22">
        <f>VLOOKUP(C:C,재고차이!B:C,2,0)</f>
        <v/>
      </c>
      <c r="E30" s="10" t="n"/>
      <c r="F30" s="10" t="n"/>
      <c r="G30" s="10" t="n">
        <v>64</v>
      </c>
      <c r="H30" s="10" t="n"/>
      <c r="I30" s="184" t="n">
        <v>46709</v>
      </c>
      <c r="J30" s="184" t="n"/>
      <c r="K30" s="20">
        <f>+P30</f>
        <v/>
      </c>
      <c r="L30" s="282">
        <f>IF(I30="","",SUMIF(제품등록!B:B,'믹스(잔량실사표)'!C:C,제품등록!F:F))</f>
        <v/>
      </c>
      <c r="M30" s="11">
        <f>IF(I30=0,"",I30-L30)</f>
        <v/>
      </c>
      <c r="N30" s="283">
        <f>IF(M30="","",L30*상미75)</f>
        <v/>
      </c>
      <c r="O30" s="19">
        <f>IF(N30="","",M30+N30)</f>
        <v/>
      </c>
      <c r="P30" s="17">
        <f>IF(O30="","",O30-$I$1)</f>
        <v/>
      </c>
    </row>
    <row r="31" ht="17.25" customHeight="1" s="237">
      <c r="A31" s="10">
        <f>ROW()-2</f>
        <v/>
      </c>
      <c r="B31" s="24" t="n">
        <v>5192</v>
      </c>
      <c r="C31" s="22">
        <f>VLOOKUP(B:B,재고차이!A:B,2,0)</f>
        <v/>
      </c>
      <c r="D31" s="22">
        <f>VLOOKUP(C:C,재고차이!B:C,2,0)</f>
        <v/>
      </c>
      <c r="E31" s="10" t="n"/>
      <c r="F31" s="10" t="n"/>
      <c r="G31" s="10" t="n">
        <v>16</v>
      </c>
      <c r="H31" s="10" t="n"/>
      <c r="I31" s="184" t="n">
        <v>46344</v>
      </c>
      <c r="J31" s="184" t="n"/>
      <c r="K31" s="20">
        <f>+P31</f>
        <v/>
      </c>
      <c r="L31" s="282">
        <f>IF(I31="","",SUMIF(제품등록!B:B,'믹스(잔량실사표)'!C:C,제품등록!F:F))</f>
        <v/>
      </c>
      <c r="M31" s="11">
        <f>IF(I31=0,"",I31-L31)</f>
        <v/>
      </c>
      <c r="N31" s="283">
        <f>IF(M31="","",L31*상미75)</f>
        <v/>
      </c>
      <c r="O31" s="19">
        <f>IF(N31="","",M31+N31)</f>
        <v/>
      </c>
      <c r="P31" s="17">
        <f>IF(O31="","",O31-$I$1)</f>
        <v/>
      </c>
    </row>
    <row r="32" ht="17.25" customHeight="1" s="237">
      <c r="A32" s="10">
        <f>ROW()-2</f>
        <v/>
      </c>
      <c r="B32" s="24" t="n">
        <v>5194</v>
      </c>
      <c r="C32" s="22">
        <f>VLOOKUP(B:B,재고차이!A:B,2,0)</f>
        <v/>
      </c>
      <c r="D32" s="22">
        <f>VLOOKUP(C:C,재고차이!B:C,2,0)</f>
        <v/>
      </c>
      <c r="E32" s="10" t="n"/>
      <c r="F32" s="10" t="n"/>
      <c r="G32" s="10" t="n">
        <v>8</v>
      </c>
      <c r="H32" s="10" t="n"/>
      <c r="I32" s="184" t="n">
        <v>46526</v>
      </c>
      <c r="J32" s="184" t="n"/>
      <c r="K32" s="20">
        <f>+P32</f>
        <v/>
      </c>
      <c r="L32" s="282">
        <f>IF(I32="","",SUMIF(제품등록!B:B,'믹스(잔량실사표)'!C:C,제품등록!F:F))</f>
        <v/>
      </c>
      <c r="M32" s="11">
        <f>IF(I32=0,"",I32-L32)</f>
        <v/>
      </c>
      <c r="N32" s="283">
        <f>IF(M32="","",L32*상미75)</f>
        <v/>
      </c>
      <c r="O32" s="19">
        <f>IF(N32="","",M32+N32)</f>
        <v/>
      </c>
      <c r="P32" s="17">
        <f>IF(O32="","",O32-$I$1)</f>
        <v/>
      </c>
    </row>
    <row r="33" ht="17.25" customHeight="1" s="237">
      <c r="A33" s="10">
        <f>ROW()-2</f>
        <v/>
      </c>
      <c r="B33" s="24" t="n">
        <v>5201</v>
      </c>
      <c r="C33" s="22">
        <f>VLOOKUP(B:B,재고차이!A:B,2,0)</f>
        <v/>
      </c>
      <c r="D33" s="22">
        <f>VLOOKUP(C:C,재고차이!B:C,2,0)</f>
        <v/>
      </c>
      <c r="E33" s="10" t="n"/>
      <c r="F33" s="10" t="n"/>
      <c r="G33" s="10" t="n">
        <v>2</v>
      </c>
      <c r="H33" s="10" t="n"/>
      <c r="I33" s="184" t="n">
        <v>46351</v>
      </c>
      <c r="J33" s="184" t="n"/>
      <c r="K33" s="20">
        <f>+P33</f>
        <v/>
      </c>
      <c r="L33" s="282">
        <f>IF(I33="","",SUMIF(제품등록!B:B,'믹스(잔량실사표)'!C:C,제품등록!F:F))</f>
        <v/>
      </c>
      <c r="M33" s="11">
        <f>IF(I33=0,"",I33-L33)</f>
        <v/>
      </c>
      <c r="N33" s="283">
        <f>IF(M33="","",L33*상미75)</f>
        <v/>
      </c>
      <c r="O33" s="19">
        <f>IF(N33="","",M33+N33)</f>
        <v/>
      </c>
      <c r="P33" s="17">
        <f>IF(O33="","",O33-$I$1)</f>
        <v/>
      </c>
    </row>
    <row r="34" ht="17.25" customHeight="1" s="237">
      <c r="A34" s="10">
        <f>ROW()-2</f>
        <v/>
      </c>
      <c r="B34" s="24" t="n">
        <v>5312</v>
      </c>
      <c r="C34" s="22">
        <f>VLOOKUP(B:B,재고차이!A:B,2,0)</f>
        <v/>
      </c>
      <c r="D34" s="22">
        <f>VLOOKUP(C:C,재고차이!B:C,2,0)</f>
        <v/>
      </c>
      <c r="E34" s="10" t="n"/>
      <c r="F34" s="10" t="n"/>
      <c r="G34" s="10" t="n">
        <v>121</v>
      </c>
      <c r="H34" s="10" t="n"/>
      <c r="I34" s="184" t="n">
        <v>46649</v>
      </c>
      <c r="J34" s="184" t="n"/>
      <c r="K34" s="20">
        <f>+P34</f>
        <v/>
      </c>
      <c r="L34" s="282">
        <f>IF(I34="","",SUMIF(제품등록!B:B,'믹스(잔량실사표)'!C:C,제품등록!F:F))</f>
        <v/>
      </c>
      <c r="M34" s="11">
        <f>IF(I34=0,"",I34-L34)</f>
        <v/>
      </c>
      <c r="N34" s="283">
        <f>IF(M34="","",L34*상미75)</f>
        <v/>
      </c>
      <c r="O34" s="19">
        <f>IF(N34="","",M34+N34)</f>
        <v/>
      </c>
      <c r="P34" s="17">
        <f>IF(O34="","",O34-$I$1)</f>
        <v/>
      </c>
    </row>
    <row r="35" ht="17.25" customHeight="1" s="237">
      <c r="A35" s="10">
        <f>ROW()-2</f>
        <v/>
      </c>
      <c r="B35" s="10" t="n">
        <v>5375</v>
      </c>
      <c r="C35" s="22">
        <f>VLOOKUP(B:B,재고차이!A:B,2,0)</f>
        <v/>
      </c>
      <c r="D35" s="22">
        <f>VLOOKUP(C:C,재고차이!B:C,2,0)</f>
        <v/>
      </c>
      <c r="E35" s="10" t="n"/>
      <c r="F35" s="10" t="n"/>
      <c r="G35" s="10" t="n">
        <v>106</v>
      </c>
      <c r="H35" s="10" t="n"/>
      <c r="I35" s="184" t="n">
        <v>46339</v>
      </c>
      <c r="J35" s="184" t="n"/>
      <c r="K35" s="20">
        <f>+P35</f>
        <v/>
      </c>
      <c r="L35" s="282">
        <f>IF(I35="","",SUMIF(제품등록!B:B,'믹스(잔량실사표)'!C:C,제품등록!F:F))</f>
        <v/>
      </c>
      <c r="M35" s="11">
        <f>IF(I35=0,"",I35-L35)</f>
        <v/>
      </c>
      <c r="N35" s="283">
        <f>IF(M35="","",L35*상미75)</f>
        <v/>
      </c>
      <c r="O35" s="19">
        <f>IF(N35="","",M35+N35)</f>
        <v/>
      </c>
      <c r="P35" s="17">
        <f>IF(O35="","",O35-$I$1)</f>
        <v/>
      </c>
    </row>
    <row r="36" ht="17.25" customHeight="1" s="237">
      <c r="A36" s="10">
        <f>ROW()-2</f>
        <v/>
      </c>
      <c r="B36" s="24" t="n">
        <v>5628</v>
      </c>
      <c r="C36" s="22">
        <f>VLOOKUP(B:B,재고차이!A:B,2,0)</f>
        <v/>
      </c>
      <c r="D36" s="22">
        <f>VLOOKUP(C:C,재고차이!B:C,2,0)</f>
        <v/>
      </c>
      <c r="E36" s="10" t="n"/>
      <c r="F36" s="10" t="n"/>
      <c r="G36" s="10" t="n">
        <v>42</v>
      </c>
      <c r="H36" s="10" t="n"/>
      <c r="I36" s="184" t="n">
        <v>46634</v>
      </c>
      <c r="J36" s="184" t="n"/>
      <c r="K36" s="20">
        <f>+P36</f>
        <v/>
      </c>
      <c r="L36" s="282">
        <f>IF(I36="","",SUMIF(제품등록!B:B,'믹스(잔량실사표)'!C:C,제품등록!F:F))</f>
        <v/>
      </c>
      <c r="M36" s="11">
        <f>IF(I36=0,"",I36-L36)</f>
        <v/>
      </c>
      <c r="N36" s="283">
        <f>IF(M36="","",L36*상미75)</f>
        <v/>
      </c>
      <c r="O36" s="19">
        <f>IF(N36="","",M36+N36)</f>
        <v/>
      </c>
      <c r="P36" s="17">
        <f>IF(O36="","",O36-$I$1)</f>
        <v/>
      </c>
    </row>
    <row r="37" ht="17.25" customHeight="1" s="237">
      <c r="A37" s="10">
        <f>ROW()-2</f>
        <v/>
      </c>
      <c r="B37" s="24" t="n">
        <v>5636</v>
      </c>
      <c r="C37" s="22">
        <f>VLOOKUP(B:B,재고차이!A:B,2,0)</f>
        <v/>
      </c>
      <c r="D37" s="22">
        <f>VLOOKUP(C:C,재고차이!B:C,2,0)</f>
        <v/>
      </c>
      <c r="E37" s="10" t="n"/>
      <c r="F37" s="10" t="n"/>
      <c r="G37" s="10" t="n">
        <v>91</v>
      </c>
      <c r="H37" s="10" t="n"/>
      <c r="I37" s="184" t="n">
        <v>46702</v>
      </c>
      <c r="J37" s="184" t="n"/>
      <c r="K37" s="20">
        <f>+P37</f>
        <v/>
      </c>
      <c r="L37" s="282">
        <f>IF(I37="","",SUMIF(제품등록!B:B,'믹스(잔량실사표)'!C:C,제품등록!F:F))</f>
        <v/>
      </c>
      <c r="M37" s="11">
        <f>IF(I37=0,"",I37-L37)</f>
        <v/>
      </c>
      <c r="N37" s="283">
        <f>IF(M37="","",L37*상미75)</f>
        <v/>
      </c>
      <c r="O37" s="19">
        <f>IF(N37="","",M37+N37)</f>
        <v/>
      </c>
      <c r="P37" s="17">
        <f>IF(O37="","",O37-$I$1)</f>
        <v/>
      </c>
    </row>
    <row r="38" ht="17.25" customHeight="1" s="237">
      <c r="A38" s="10">
        <f>ROW()-2</f>
        <v/>
      </c>
      <c r="B38" s="10" t="n">
        <v>5639</v>
      </c>
      <c r="C38" s="22">
        <f>VLOOKUP(B:B,재고차이!A:B,2,0)</f>
        <v/>
      </c>
      <c r="D38" s="22">
        <f>VLOOKUP(C:C,재고차이!B:C,2,0)</f>
        <v/>
      </c>
      <c r="E38" s="10" t="n"/>
      <c r="F38" s="10" t="n"/>
      <c r="G38" s="10" t="n">
        <v>25</v>
      </c>
      <c r="H38" s="10" t="n"/>
      <c r="I38" s="184" t="n">
        <v>46645</v>
      </c>
      <c r="J38" s="184" t="n"/>
      <c r="K38" s="20">
        <f>+P38</f>
        <v/>
      </c>
      <c r="L38" s="282">
        <f>IF(I38="","",SUMIF(제품등록!B:B,'믹스(잔량실사표)'!C:C,제품등록!F:F))</f>
        <v/>
      </c>
      <c r="M38" s="11">
        <f>IF(I38=0,"",I38-L38)</f>
        <v/>
      </c>
      <c r="N38" s="283">
        <f>IF(M38="","",L38*상미75)</f>
        <v/>
      </c>
      <c r="O38" s="19">
        <f>IF(N38="","",M38+N38)</f>
        <v/>
      </c>
      <c r="P38" s="17">
        <f>IF(O38="","",O38-$I$1)</f>
        <v/>
      </c>
    </row>
    <row r="39" ht="17.25" customHeight="1" s="237">
      <c r="A39" s="10">
        <f>ROW()-2</f>
        <v/>
      </c>
      <c r="B39" s="10" t="n">
        <v>5641</v>
      </c>
      <c r="C39" s="22">
        <f>VLOOKUP(B:B,재고차이!A:B,2,0)</f>
        <v/>
      </c>
      <c r="D39" s="22">
        <f>VLOOKUP(C:C,재고차이!B:C,2,0)</f>
        <v/>
      </c>
      <c r="E39" s="10" t="n"/>
      <c r="F39" s="10" t="n"/>
      <c r="G39" s="10" t="n">
        <v>6</v>
      </c>
      <c r="H39" s="10" t="n"/>
      <c r="I39" s="184" t="n">
        <v>46681</v>
      </c>
      <c r="J39" s="184" t="n"/>
      <c r="K39" s="20">
        <f>+P39</f>
        <v/>
      </c>
      <c r="L39" s="282">
        <f>IF(I39="","",SUMIF(제품등록!B:B,'믹스(잔량실사표)'!C:C,제품등록!F:F))</f>
        <v/>
      </c>
      <c r="M39" s="11">
        <f>IF(I39=0,"",I39-L39)</f>
        <v/>
      </c>
      <c r="N39" s="283">
        <f>IF(M39="","",L39*상미75)</f>
        <v/>
      </c>
      <c r="O39" s="19">
        <f>IF(N39="","",M39+N39)</f>
        <v/>
      </c>
      <c r="P39" s="17">
        <f>IF(O39="","",O39-$I$1)</f>
        <v/>
      </c>
    </row>
    <row r="40" ht="17.25" customHeight="1" s="237">
      <c r="A40" s="10">
        <f>ROW()-2</f>
        <v/>
      </c>
      <c r="B40" s="10" t="n">
        <v>5643</v>
      </c>
      <c r="C40" s="22">
        <f>VLOOKUP(B:B,재고차이!A:B,2,0)</f>
        <v/>
      </c>
      <c r="D40" s="22">
        <f>VLOOKUP(C:C,재고차이!B:C,2,0)</f>
        <v/>
      </c>
      <c r="E40" s="10" t="n"/>
      <c r="F40" s="10" t="n"/>
      <c r="G40" s="10" t="n">
        <v>89</v>
      </c>
      <c r="H40" s="10" t="n"/>
      <c r="I40" s="184" t="n">
        <v>46697</v>
      </c>
      <c r="J40" s="184" t="n"/>
      <c r="K40" s="20">
        <f>+P40</f>
        <v/>
      </c>
      <c r="L40" s="282">
        <f>IF(I40="","",SUMIF(제품등록!B:B,'믹스(잔량실사표)'!C:C,제품등록!F:F))</f>
        <v/>
      </c>
      <c r="M40" s="11">
        <f>IF(I40=0,"",I40-L40)</f>
        <v/>
      </c>
      <c r="N40" s="283">
        <f>IF(M40="","",L40*상미75)</f>
        <v/>
      </c>
      <c r="O40" s="19">
        <f>IF(N40="","",M40+N40)</f>
        <v/>
      </c>
      <c r="P40" s="17">
        <f>IF(O40="","",O40-$I$1)</f>
        <v/>
      </c>
    </row>
    <row r="41" ht="17.25" customHeight="1" s="237">
      <c r="A41" s="10">
        <f>ROW()-2</f>
        <v/>
      </c>
      <c r="B41" s="24" t="n">
        <v>5656</v>
      </c>
      <c r="C41" s="22">
        <f>VLOOKUP(B:B,재고차이!A:B,2,0)</f>
        <v/>
      </c>
      <c r="D41" s="22">
        <f>VLOOKUP(C:C,재고차이!B:C,2,0)</f>
        <v/>
      </c>
      <c r="E41" s="10" t="n"/>
      <c r="F41" s="10" t="n"/>
      <c r="G41" s="10" t="n">
        <v>60</v>
      </c>
      <c r="H41" s="10" t="n"/>
      <c r="I41" s="184" t="n">
        <v>46703</v>
      </c>
      <c r="J41" s="184" t="n"/>
      <c r="K41" s="20">
        <f>+P41</f>
        <v/>
      </c>
      <c r="L41" s="282">
        <f>IF(I41="","",SUMIF(제품등록!B:B,'믹스(잔량실사표)'!C:C,제품등록!F:F))</f>
        <v/>
      </c>
      <c r="M41" s="11">
        <f>IF(I41=0,"",I41-L41)</f>
        <v/>
      </c>
      <c r="N41" s="283">
        <f>IF(M41="","",L41*상미75)</f>
        <v/>
      </c>
      <c r="O41" s="19">
        <f>IF(N41="","",M41+N41)</f>
        <v/>
      </c>
      <c r="P41" s="17">
        <f>IF(O41="","",O41-$I$1)</f>
        <v/>
      </c>
    </row>
    <row r="42" ht="17.25" customHeight="1" s="237">
      <c r="A42" s="10">
        <f>ROW()-2</f>
        <v/>
      </c>
      <c r="B42" s="24" t="n">
        <v>5668</v>
      </c>
      <c r="C42" s="22">
        <f>VLOOKUP(B:B,재고차이!A:B,2,0)</f>
        <v/>
      </c>
      <c r="D42" s="22">
        <f>VLOOKUP(C:C,재고차이!B:C,2,0)</f>
        <v/>
      </c>
      <c r="E42" s="10" t="n"/>
      <c r="F42" s="10" t="n"/>
      <c r="G42" s="10" t="n">
        <v>85</v>
      </c>
      <c r="H42" s="10" t="n"/>
      <c r="I42" s="184" t="n">
        <v>46599</v>
      </c>
      <c r="J42" s="184" t="n"/>
      <c r="K42" s="20">
        <f>+P42</f>
        <v/>
      </c>
      <c r="L42" s="282">
        <f>IF(I42="","",SUMIF(제품등록!B:B,'믹스(잔량실사표)'!C:C,제품등록!F:F))</f>
        <v/>
      </c>
      <c r="M42" s="11">
        <f>IF(I42=0,"",I42-L42)</f>
        <v/>
      </c>
      <c r="N42" s="283">
        <f>IF(M42="","",L42*상미75)</f>
        <v/>
      </c>
      <c r="O42" s="19">
        <f>IF(N42="","",M42+N42)</f>
        <v/>
      </c>
      <c r="P42" s="17">
        <f>IF(O42="","",O42-$I$1)</f>
        <v/>
      </c>
    </row>
    <row r="43" ht="17.25" customHeight="1" s="237">
      <c r="A43" s="10">
        <f>ROW()-2</f>
        <v/>
      </c>
      <c r="B43" s="24" t="n">
        <v>5668</v>
      </c>
      <c r="C43" s="22">
        <f>VLOOKUP(B:B,재고차이!A:B,2,0)</f>
        <v/>
      </c>
      <c r="D43" s="22">
        <f>VLOOKUP(C:C,재고차이!B:C,2,0)</f>
        <v/>
      </c>
      <c r="E43" s="10" t="n"/>
      <c r="F43" s="10" t="n"/>
      <c r="G43" s="10" t="n">
        <v>103</v>
      </c>
      <c r="H43" s="10" t="n"/>
      <c r="I43" s="184" t="n">
        <v>46645</v>
      </c>
      <c r="J43" s="184" t="n"/>
      <c r="K43" s="20">
        <f>+P43</f>
        <v/>
      </c>
      <c r="L43" s="282">
        <f>IF(I43="","",SUMIF(제품등록!B:B,'믹스(잔량실사표)'!C:C,제품등록!F:F))</f>
        <v/>
      </c>
      <c r="M43" s="11">
        <f>IF(I43=0,"",I43-L43)</f>
        <v/>
      </c>
      <c r="N43" s="283">
        <f>IF(M43="","",L43*상미75)</f>
        <v/>
      </c>
      <c r="O43" s="19">
        <f>IF(N43="","",M43+N43)</f>
        <v/>
      </c>
      <c r="P43" s="17">
        <f>IF(O43="","",O43-$I$1)</f>
        <v/>
      </c>
    </row>
    <row r="44" ht="17.25" customHeight="1" s="237">
      <c r="A44" s="10">
        <f>ROW()-2</f>
        <v/>
      </c>
      <c r="B44" s="24" t="n">
        <v>5664</v>
      </c>
      <c r="C44" s="22">
        <f>VLOOKUP(B:B,재고차이!A:B,2,0)</f>
        <v/>
      </c>
      <c r="D44" s="22">
        <f>VLOOKUP(C:C,재고차이!B:C,2,0)</f>
        <v/>
      </c>
      <c r="E44" s="10" t="n"/>
      <c r="F44" s="10" t="n"/>
      <c r="G44" s="10" t="n">
        <v>27</v>
      </c>
      <c r="H44" s="10" t="n"/>
      <c r="I44" s="184" t="n">
        <v>46711</v>
      </c>
      <c r="J44" s="184" t="n"/>
      <c r="K44" s="20">
        <f>+P44</f>
        <v/>
      </c>
      <c r="L44" s="282">
        <f>IF(I44="","",SUMIF(제품등록!B:B,'믹스(잔량실사표)'!C:C,제품등록!F:F))</f>
        <v/>
      </c>
      <c r="M44" s="11">
        <f>IF(I44=0,"",I44-L44)</f>
        <v/>
      </c>
      <c r="N44" s="283">
        <f>IF(M44="","",L44*상미75)</f>
        <v/>
      </c>
      <c r="O44" s="19">
        <f>IF(N44="","",M44+N44)</f>
        <v/>
      </c>
      <c r="P44" s="17">
        <f>IF(O44="","",O44-$I$1)</f>
        <v/>
      </c>
    </row>
    <row r="45" ht="17.25" customHeight="1" s="237">
      <c r="A45" s="10">
        <f>ROW()-2</f>
        <v/>
      </c>
      <c r="B45" s="24" t="n">
        <v>5672</v>
      </c>
      <c r="C45" s="22">
        <f>VLOOKUP(B:B,재고차이!A:B,2,0)</f>
        <v/>
      </c>
      <c r="D45" s="22">
        <f>VLOOKUP(C:C,재고차이!B:C,2,0)</f>
        <v/>
      </c>
      <c r="E45" s="10" t="n"/>
      <c r="F45" s="10" t="n"/>
      <c r="G45" s="10" t="n">
        <v>6</v>
      </c>
      <c r="H45" s="10" t="n"/>
      <c r="I45" s="184" t="n">
        <v>46585</v>
      </c>
      <c r="J45" s="184" t="n"/>
      <c r="K45" s="20">
        <f>+P45</f>
        <v/>
      </c>
      <c r="L45" s="282">
        <f>IF(I45="","",SUMIF(제품등록!B:B,'믹스(잔량실사표)'!C:C,제품등록!F:F))</f>
        <v/>
      </c>
      <c r="M45" s="11">
        <f>IF(I45=0,"",I45-L45)</f>
        <v/>
      </c>
      <c r="N45" s="283">
        <f>IF(M45="","",L45*상미75)</f>
        <v/>
      </c>
      <c r="O45" s="19">
        <f>IF(N45="","",M45+N45)</f>
        <v/>
      </c>
      <c r="P45" s="17">
        <f>IF(O45="","",O45-$I$1)</f>
        <v/>
      </c>
    </row>
    <row r="46" ht="17.25" customHeight="1" s="237">
      <c r="A46" s="10">
        <f>ROW()-2</f>
        <v/>
      </c>
      <c r="B46" s="24" t="n">
        <v>5673</v>
      </c>
      <c r="C46" s="22">
        <f>VLOOKUP(B:B,재고차이!A:B,2,0)</f>
        <v/>
      </c>
      <c r="D46" s="22">
        <f>VLOOKUP(C:C,재고차이!B:C,2,0)</f>
        <v/>
      </c>
      <c r="E46" s="10" t="n"/>
      <c r="F46" s="10" t="n"/>
      <c r="G46" s="10">
        <f>39+30</f>
        <v/>
      </c>
      <c r="H46" s="10" t="n"/>
      <c r="I46" s="184" t="n">
        <v>46682</v>
      </c>
      <c r="J46" s="184" t="n"/>
      <c r="K46" s="20">
        <f>+P46</f>
        <v/>
      </c>
      <c r="L46" s="282">
        <f>IF(I46="","",SUMIF(제품등록!B:B,'믹스(잔량실사표)'!C:C,제품등록!F:F))</f>
        <v/>
      </c>
      <c r="M46" s="11">
        <f>IF(I46=0,"",I46-L46)</f>
        <v/>
      </c>
      <c r="N46" s="283">
        <f>IF(M46="","",L46*상미75)</f>
        <v/>
      </c>
      <c r="O46" s="19">
        <f>IF(N46="","",M46+N46)</f>
        <v/>
      </c>
      <c r="P46" s="17">
        <f>IF(O46="","",O46-$I$1)</f>
        <v/>
      </c>
    </row>
    <row r="47" ht="17.25" customHeight="1" s="237">
      <c r="A47" s="10">
        <f>ROW()-2</f>
        <v/>
      </c>
      <c r="B47" s="24" t="n">
        <v>5676</v>
      </c>
      <c r="C47" s="22">
        <f>VLOOKUP(B:B,재고차이!A:B,2,0)</f>
        <v/>
      </c>
      <c r="D47" s="22">
        <f>VLOOKUP(C:C,재고차이!B:C,2,0)</f>
        <v/>
      </c>
      <c r="E47" s="10" t="n"/>
      <c r="F47" s="10" t="n"/>
      <c r="G47" s="10" t="n">
        <v>55</v>
      </c>
      <c r="H47" s="10" t="n"/>
      <c r="I47" s="184" t="n">
        <v>46682</v>
      </c>
      <c r="J47" s="184" t="n"/>
      <c r="K47" s="20">
        <f>+P47</f>
        <v/>
      </c>
      <c r="L47" s="282">
        <f>IF(I47="","",SUMIF(제품등록!B:B,'믹스(잔량실사표)'!C:C,제품등록!F:F))</f>
        <v/>
      </c>
      <c r="M47" s="11">
        <f>IF(I47=0,"",I47-L47)</f>
        <v/>
      </c>
      <c r="N47" s="283">
        <f>IF(M47="","",L47*상미75)</f>
        <v/>
      </c>
      <c r="O47" s="19">
        <f>IF(N47="","",M47+N47)</f>
        <v/>
      </c>
      <c r="P47" s="17">
        <f>IF(O47="","",O47-$I$1)</f>
        <v/>
      </c>
    </row>
    <row r="48" ht="17.25" customHeight="1" s="237">
      <c r="A48" s="10">
        <f>ROW()-2</f>
        <v/>
      </c>
      <c r="B48" s="24" t="n">
        <v>5679</v>
      </c>
      <c r="C48" s="22">
        <f>VLOOKUP(B:B,재고차이!A:B,2,0)</f>
        <v/>
      </c>
      <c r="D48" s="22">
        <f>VLOOKUP(C:C,재고차이!B:C,2,0)</f>
        <v/>
      </c>
      <c r="E48" s="10" t="n"/>
      <c r="F48" s="10" t="n"/>
      <c r="G48" s="10" t="n">
        <v>75</v>
      </c>
      <c r="H48" s="10" t="n"/>
      <c r="I48" s="184" t="n">
        <v>46724</v>
      </c>
      <c r="J48" s="184" t="n"/>
      <c r="K48" s="20">
        <f>+P48</f>
        <v/>
      </c>
      <c r="L48" s="282">
        <f>IF(I48="","",SUMIF(제품등록!B:B,'믹스(잔량실사표)'!C:C,제품등록!F:F))</f>
        <v/>
      </c>
      <c r="M48" s="11">
        <f>IF(I48=0,"",I48-L48)</f>
        <v/>
      </c>
      <c r="N48" s="283">
        <f>IF(M48="","",L48*상미75)</f>
        <v/>
      </c>
      <c r="O48" s="19">
        <f>IF(N48="","",M48+N48)</f>
        <v/>
      </c>
      <c r="P48" s="17">
        <f>IF(O48="","",O48-$I$1)</f>
        <v/>
      </c>
    </row>
    <row r="49" ht="17.25" customHeight="1" s="237">
      <c r="A49" s="10">
        <f>ROW()-2</f>
        <v/>
      </c>
      <c r="B49" s="24" t="n">
        <v>5748</v>
      </c>
      <c r="C49" s="22">
        <f>VLOOKUP(B:B,재고차이!A:B,2,0)</f>
        <v/>
      </c>
      <c r="D49" s="22">
        <f>VLOOKUP(C:C,재고차이!B:C,2,0)</f>
        <v/>
      </c>
      <c r="E49" s="10" t="n"/>
      <c r="F49" s="10" t="n"/>
      <c r="G49" s="10" t="n">
        <v>5</v>
      </c>
      <c r="H49" s="10" t="n"/>
      <c r="I49" s="184" t="n">
        <v>46333</v>
      </c>
      <c r="J49" s="184" t="n"/>
      <c r="K49" s="20">
        <f>+P49</f>
        <v/>
      </c>
      <c r="L49" s="282">
        <f>IF(I49="","",SUMIF(제품등록!B:B,'믹스(잔량실사표)'!C:C,제품등록!F:F))</f>
        <v/>
      </c>
      <c r="M49" s="11">
        <f>IF(I49=0,"",I49-L49)</f>
        <v/>
      </c>
      <c r="N49" s="283">
        <f>IF(M49="","",L49*상미75)</f>
        <v/>
      </c>
      <c r="O49" s="19">
        <f>IF(N49="","",M49+N49)</f>
        <v/>
      </c>
      <c r="P49" s="17">
        <f>IF(O49="","",O49-$I$1)</f>
        <v/>
      </c>
    </row>
    <row r="50" ht="17.25" customHeight="1" s="237">
      <c r="A50" s="10">
        <f>ROW()-2</f>
        <v/>
      </c>
      <c r="B50" s="24" t="n">
        <v>5749</v>
      </c>
      <c r="C50" s="22">
        <f>VLOOKUP(B:B,재고차이!A:B,2,0)</f>
        <v/>
      </c>
      <c r="D50" s="22">
        <f>VLOOKUP(C:C,재고차이!B:C,2,0)</f>
        <v/>
      </c>
      <c r="E50" s="10" t="n"/>
      <c r="F50" s="10" t="n"/>
      <c r="G50" s="10" t="n">
        <v>13</v>
      </c>
      <c r="H50" s="10" t="n"/>
      <c r="I50" s="184" t="n">
        <v>46350</v>
      </c>
      <c r="J50" s="184" t="n"/>
      <c r="K50" s="20">
        <f>+P50</f>
        <v/>
      </c>
      <c r="L50" s="282">
        <f>IF(I50="","",SUMIF(제품등록!B:B,'믹스(잔량실사표)'!C:C,제품등록!F:F))</f>
        <v/>
      </c>
      <c r="M50" s="11">
        <f>IF(I50=0,"",I50-L50)</f>
        <v/>
      </c>
      <c r="N50" s="283">
        <f>IF(M50="","",L50*상미75)</f>
        <v/>
      </c>
      <c r="O50" s="19">
        <f>IF(N50="","",M50+N50)</f>
        <v/>
      </c>
      <c r="P50" s="17">
        <f>IF(O50="","",O50-$I$1)</f>
        <v/>
      </c>
    </row>
    <row r="51" ht="17.25" customHeight="1" s="237">
      <c r="A51" s="10">
        <f>ROW()-2</f>
        <v/>
      </c>
      <c r="B51" s="10" t="n">
        <v>5769</v>
      </c>
      <c r="C51" s="22">
        <f>VLOOKUP(B:B,재고차이!A:B,2,0)</f>
        <v/>
      </c>
      <c r="D51" s="22">
        <f>VLOOKUP(C:C,재고차이!B:C,2,0)</f>
        <v/>
      </c>
      <c r="E51" s="10" t="n"/>
      <c r="F51" s="10" t="n"/>
      <c r="G51" s="10" t="n">
        <v>41</v>
      </c>
      <c r="H51" s="10" t="n"/>
      <c r="I51" s="151" t="n">
        <v>46506</v>
      </c>
      <c r="J51" s="184" t="n"/>
      <c r="K51" s="20">
        <f>+P51</f>
        <v/>
      </c>
      <c r="L51" s="282">
        <f>IF(I51="","",SUMIF(제품등록!B:B,'믹스(잔량실사표)'!C:C,제품등록!F:F))</f>
        <v/>
      </c>
      <c r="M51" s="11">
        <f>IF(I51=0,"",I51-L51)</f>
        <v/>
      </c>
      <c r="N51" s="283">
        <f>IF(M51="","",L51*상미75)</f>
        <v/>
      </c>
      <c r="O51" s="19">
        <f>IF(N51="","",M51+N51)</f>
        <v/>
      </c>
      <c r="P51" s="17">
        <f>IF(O51="","",O51-$I$1)</f>
        <v/>
      </c>
    </row>
    <row r="52" ht="17.25" customHeight="1" s="237">
      <c r="A52" s="10">
        <f>ROW()-2</f>
        <v/>
      </c>
      <c r="B52" s="10" t="n">
        <v>5771</v>
      </c>
      <c r="C52" s="22">
        <f>VLOOKUP(B:B,재고차이!A:B,2,0)</f>
        <v/>
      </c>
      <c r="D52" s="22">
        <f>VLOOKUP(C:C,재고차이!B:C,2,0)</f>
        <v/>
      </c>
      <c r="E52" s="10" t="n"/>
      <c r="F52" s="10" t="n"/>
      <c r="G52" s="185" t="n">
        <v>25</v>
      </c>
      <c r="H52" s="185" t="n"/>
      <c r="I52" s="184" t="n">
        <v>46524</v>
      </c>
      <c r="J52" s="184" t="n"/>
      <c r="K52" s="20">
        <f>+P52</f>
        <v/>
      </c>
      <c r="L52" s="282">
        <f>IF(I52="","",SUMIF(제품등록!B:B,'믹스(잔량실사표)'!C:C,제품등록!F:F))</f>
        <v/>
      </c>
      <c r="M52" s="11">
        <f>IF(I52=0,"",I52-L52)</f>
        <v/>
      </c>
      <c r="N52" s="283">
        <f>IF(M52="","",L52*상미75)</f>
        <v/>
      </c>
      <c r="O52" s="19">
        <f>IF(N52="","",M52+N52)</f>
        <v/>
      </c>
      <c r="P52" s="17">
        <f>IF(O52="","",O52-$I$1)</f>
        <v/>
      </c>
    </row>
    <row r="53" ht="17.25" customHeight="1" s="237">
      <c r="A53" s="10">
        <f>ROW()-2</f>
        <v/>
      </c>
      <c r="B53" s="24" t="n">
        <v>5777</v>
      </c>
      <c r="C53" s="22">
        <f>VLOOKUP(B:B,재고차이!A:B,2,0)</f>
        <v/>
      </c>
      <c r="D53" s="22">
        <f>VLOOKUP(C:C,재고차이!B:C,2,0)</f>
        <v/>
      </c>
      <c r="E53" s="10" t="n"/>
      <c r="F53" s="10" t="n"/>
      <c r="G53" s="10" t="n">
        <v>66</v>
      </c>
      <c r="H53" s="10" t="n"/>
      <c r="I53" s="151" t="n">
        <v>46344</v>
      </c>
      <c r="J53" s="184" t="n"/>
      <c r="K53" s="20">
        <f>+P53</f>
        <v/>
      </c>
      <c r="L53" s="282">
        <f>IF(I53="","",SUMIF(제품등록!B:B,'믹스(잔량실사표)'!C:C,제품등록!F:F))</f>
        <v/>
      </c>
      <c r="M53" s="11">
        <f>IF(I53=0,"",I53-L53)</f>
        <v/>
      </c>
      <c r="N53" s="283">
        <f>IF(M53="","",L53*상미75)</f>
        <v/>
      </c>
      <c r="O53" s="19">
        <f>IF(N53="","",M53+N53)</f>
        <v/>
      </c>
      <c r="P53" s="17">
        <f>IF(O53="","",O53-$I$1)</f>
        <v/>
      </c>
    </row>
    <row r="54" ht="17.25" customHeight="1" s="237">
      <c r="A54" s="10">
        <f>ROW()-2</f>
        <v/>
      </c>
      <c r="B54" s="24" t="n">
        <v>5782</v>
      </c>
      <c r="C54" s="22">
        <f>VLOOKUP(B:B,재고차이!A:B,2,0)</f>
        <v/>
      </c>
      <c r="D54" s="22">
        <f>VLOOKUP(C:C,재고차이!B:C,2,0)</f>
        <v/>
      </c>
      <c r="E54" s="10" t="n"/>
      <c r="F54" s="10" t="n"/>
      <c r="G54" s="10" t="n">
        <v>49</v>
      </c>
      <c r="H54" s="10" t="n"/>
      <c r="I54" s="184" t="n">
        <v>46343</v>
      </c>
      <c r="J54" s="184" t="n"/>
      <c r="K54" s="20">
        <f>+P54</f>
        <v/>
      </c>
      <c r="L54" s="282">
        <f>IF(I54="","",SUMIF(제품등록!B:B,'믹스(잔량실사표)'!C:C,제품등록!F:F))</f>
        <v/>
      </c>
      <c r="M54" s="11">
        <f>IF(I54=0,"",I54-L54)</f>
        <v/>
      </c>
      <c r="N54" s="283">
        <f>IF(M54="","",L54*상미75)</f>
        <v/>
      </c>
      <c r="O54" s="19">
        <f>IF(N54="","",M54+N54)</f>
        <v/>
      </c>
      <c r="P54" s="17">
        <f>IF(O54="","",O54-$I$1)</f>
        <v/>
      </c>
    </row>
    <row r="55" ht="17.25" customHeight="1" s="237">
      <c r="A55" s="10">
        <f>ROW()-2</f>
        <v/>
      </c>
      <c r="B55" s="24" t="n">
        <v>5782</v>
      </c>
      <c r="C55" s="22">
        <f>VLOOKUP(B:B,재고차이!A:B,2,0)</f>
        <v/>
      </c>
      <c r="D55" s="22">
        <f>VLOOKUP(C:C,재고차이!B:C,2,0)</f>
        <v/>
      </c>
      <c r="E55" s="10" t="n"/>
      <c r="F55" s="10" t="n"/>
      <c r="G55" s="10" t="n">
        <v>41</v>
      </c>
      <c r="H55" s="10" t="n"/>
      <c r="I55" s="184" t="n">
        <v>46352</v>
      </c>
      <c r="J55" s="184" t="n"/>
      <c r="K55" s="20">
        <f>+P55</f>
        <v/>
      </c>
      <c r="L55" s="282">
        <f>IF(I55="","",SUMIF(제품등록!B:B,'믹스(잔량실사표)'!C:C,제품등록!F:F))</f>
        <v/>
      </c>
      <c r="M55" s="11">
        <f>IF(I55=0,"",I55-L55)</f>
        <v/>
      </c>
      <c r="N55" s="283">
        <f>IF(M55="","",L55*상미75)</f>
        <v/>
      </c>
      <c r="O55" s="19">
        <f>IF(N55="","",M55+N55)</f>
        <v/>
      </c>
      <c r="P55" s="17">
        <f>IF(O55="","",O55-$I$1)</f>
        <v/>
      </c>
    </row>
    <row r="56" ht="17.25" customHeight="1" s="237">
      <c r="A56" s="10">
        <f>ROW()-2</f>
        <v/>
      </c>
      <c r="B56" s="24" t="n">
        <v>6103</v>
      </c>
      <c r="C56" s="22">
        <f>VLOOKUP(B:B,재고차이!A:B,2,0)</f>
        <v/>
      </c>
      <c r="D56" s="22">
        <f>VLOOKUP(C:C,재고차이!B:C,2,0)</f>
        <v/>
      </c>
      <c r="E56" s="10" t="n"/>
      <c r="F56" s="10" t="n"/>
      <c r="G56" s="10" t="n">
        <v>48</v>
      </c>
      <c r="H56" s="10" t="n"/>
      <c r="I56" s="184" t="n">
        <v>46252</v>
      </c>
      <c r="J56" s="184" t="n"/>
      <c r="K56" s="20">
        <f>+P56</f>
        <v/>
      </c>
      <c r="L56" s="282">
        <f>IF(I56="","",SUMIF(제품등록!B:B,'믹스(잔량실사표)'!C:C,제품등록!F:F))</f>
        <v/>
      </c>
      <c r="M56" s="11">
        <f>IF(I56=0,"",I56-L56)</f>
        <v/>
      </c>
      <c r="N56" s="283">
        <f>IF(M56="","",L56*상미75)</f>
        <v/>
      </c>
      <c r="O56" s="19">
        <f>IF(N56="","",M56+N56)</f>
        <v/>
      </c>
      <c r="P56" s="17">
        <f>IF(O56="","",O56-$I$1)</f>
        <v/>
      </c>
    </row>
    <row r="57" ht="17.25" customHeight="1" s="237">
      <c r="A57" s="10">
        <f>ROW()-2</f>
        <v/>
      </c>
      <c r="B57" s="24" t="n">
        <v>6111</v>
      </c>
      <c r="C57" s="22">
        <f>VLOOKUP(B:B,재고차이!A:B,2,0)</f>
        <v/>
      </c>
      <c r="D57" s="22">
        <f>VLOOKUP(C:C,재고차이!B:C,2,0)</f>
        <v/>
      </c>
      <c r="E57" s="10" t="n"/>
      <c r="F57" s="10" t="n"/>
      <c r="G57" s="10" t="n">
        <v>119</v>
      </c>
      <c r="H57" s="10" t="n"/>
      <c r="I57" s="184" t="n">
        <v>46583</v>
      </c>
      <c r="J57" s="184" t="n"/>
      <c r="K57" s="20">
        <f>+P57</f>
        <v/>
      </c>
      <c r="L57" s="282">
        <f>IF(I57="","",SUMIF(제품등록!B:B,'믹스(잔량실사표)'!C:C,제품등록!F:F))</f>
        <v/>
      </c>
      <c r="M57" s="11">
        <f>IF(I57=0,"",I57-L57)</f>
        <v/>
      </c>
      <c r="N57" s="283">
        <f>IF(M57="","",L57*상미75)</f>
        <v/>
      </c>
      <c r="O57" s="19">
        <f>IF(N57="","",M57+N57)</f>
        <v/>
      </c>
      <c r="P57" s="17">
        <f>IF(O57="","",O57-$I$1)</f>
        <v/>
      </c>
    </row>
    <row r="58" ht="17.25" customHeight="1" s="237">
      <c r="A58" s="10">
        <f>ROW()-2</f>
        <v/>
      </c>
      <c r="B58" s="24" t="n">
        <v>6117</v>
      </c>
      <c r="C58" s="22">
        <f>VLOOKUP(B:B,재고차이!A:B,2,0)</f>
        <v/>
      </c>
      <c r="D58" s="22">
        <f>VLOOKUP(C:C,재고차이!B:C,2,0)</f>
        <v/>
      </c>
      <c r="E58" s="10" t="n"/>
      <c r="F58" s="10" t="n"/>
      <c r="G58" s="10" t="n">
        <v>58</v>
      </c>
      <c r="H58" s="10" t="n"/>
      <c r="I58" s="184" t="n">
        <v>46343</v>
      </c>
      <c r="J58" s="184" t="n"/>
      <c r="K58" s="20">
        <f>+P58</f>
        <v/>
      </c>
      <c r="L58" s="282">
        <f>IF(I58="","",SUMIF(제품등록!B:B,'믹스(잔량실사표)'!C:C,제품등록!F:F))</f>
        <v/>
      </c>
      <c r="M58" s="11">
        <f>IF(I58=0,"",I58-L58)</f>
        <v/>
      </c>
      <c r="N58" s="283">
        <f>IF(M58="","",L58*상미75)</f>
        <v/>
      </c>
      <c r="O58" s="19">
        <f>IF(N58="","",M58+N58)</f>
        <v/>
      </c>
      <c r="P58" s="17">
        <f>IF(O58="","",O58-$I$1)</f>
        <v/>
      </c>
    </row>
    <row r="59" ht="17.25" customHeight="1" s="237">
      <c r="A59" s="10">
        <f>ROW()-2</f>
        <v/>
      </c>
      <c r="B59" s="24" t="n">
        <v>6120</v>
      </c>
      <c r="C59" s="22">
        <f>VLOOKUP(B:B,재고차이!A:B,2,0)</f>
        <v/>
      </c>
      <c r="D59" s="22">
        <f>VLOOKUP(C:C,재고차이!B:C,2,0)</f>
        <v/>
      </c>
      <c r="E59" s="10" t="n"/>
      <c r="F59" s="10" t="n"/>
      <c r="G59" s="10" t="n">
        <v>10</v>
      </c>
      <c r="H59" s="10" t="n"/>
      <c r="I59" s="184" t="n">
        <v>46350</v>
      </c>
      <c r="J59" s="184" t="n"/>
      <c r="K59" s="20">
        <f>+P59</f>
        <v/>
      </c>
      <c r="L59" s="282">
        <f>IF(I59="","",SUMIF(제품등록!B:B,'믹스(잔량실사표)'!C:C,제품등록!F:F))</f>
        <v/>
      </c>
      <c r="M59" s="11">
        <f>IF(I59=0,"",I59-L59)</f>
        <v/>
      </c>
      <c r="N59" s="283">
        <f>IF(M59="","",L59*상미75)</f>
        <v/>
      </c>
      <c r="O59" s="19">
        <f>IF(N59="","",M59+N59)</f>
        <v/>
      </c>
      <c r="P59" s="17">
        <f>IF(O59="","",O59-$I$1)</f>
        <v/>
      </c>
    </row>
    <row r="60" ht="17.25" customHeight="1" s="237">
      <c r="A60" s="10">
        <f>ROW()-2</f>
        <v/>
      </c>
      <c r="B60" s="10" t="n">
        <v>6277</v>
      </c>
      <c r="C60" s="22">
        <f>VLOOKUP(B:B,재고차이!A:B,2,0)</f>
        <v/>
      </c>
      <c r="D60" s="22">
        <f>VLOOKUP(C:C,재고차이!B:C,2,0)</f>
        <v/>
      </c>
      <c r="E60" s="10" t="n"/>
      <c r="F60" s="10" t="n"/>
      <c r="G60" s="10" t="n">
        <v>44</v>
      </c>
      <c r="H60" s="10" t="n"/>
      <c r="I60" s="184" t="n">
        <v>46347</v>
      </c>
      <c r="J60" s="184" t="n"/>
      <c r="K60" s="20">
        <f>+P60</f>
        <v/>
      </c>
      <c r="L60" s="282">
        <f>IF(I60="","",SUMIF(제품등록!B:B,'믹스(잔량실사표)'!C:C,제품등록!F:F))</f>
        <v/>
      </c>
      <c r="M60" s="11">
        <f>IF(I60=0,"",I60-L60)</f>
        <v/>
      </c>
      <c r="N60" s="283">
        <f>IF(M60="","",L60*상미75)</f>
        <v/>
      </c>
      <c r="O60" s="19">
        <f>IF(N60="","",M60+N60)</f>
        <v/>
      </c>
      <c r="P60" s="17">
        <f>IF(O60="","",O60-$I$1)</f>
        <v/>
      </c>
    </row>
    <row r="61" ht="17.25" customHeight="1" s="237">
      <c r="A61" s="10">
        <f>ROW()-2</f>
        <v/>
      </c>
      <c r="B61" s="10" t="n">
        <v>6285</v>
      </c>
      <c r="C61" s="22">
        <f>VLOOKUP(B:B,재고차이!A:B,2,0)</f>
        <v/>
      </c>
      <c r="D61" s="22">
        <f>VLOOKUP(C:C,재고차이!B:C,2,0)</f>
        <v/>
      </c>
      <c r="E61" s="10" t="n"/>
      <c r="F61" s="10" t="n"/>
      <c r="G61" s="10" t="n">
        <v>32</v>
      </c>
      <c r="H61" s="10" t="n"/>
      <c r="I61" s="184" t="n">
        <v>46287</v>
      </c>
      <c r="J61" s="184" t="n"/>
      <c r="K61" s="20">
        <f>+P61</f>
        <v/>
      </c>
      <c r="L61" s="282">
        <f>IF(I61="","",SUMIF(제품등록!B:B,'믹스(잔량실사표)'!C:C,제품등록!F:F))</f>
        <v/>
      </c>
      <c r="M61" s="11">
        <f>IF(I61=0,"",I61-L61)</f>
        <v/>
      </c>
      <c r="N61" s="283">
        <f>IF(M61="","",L61*상미75)</f>
        <v/>
      </c>
      <c r="O61" s="19">
        <f>IF(N61="","",M61+N61)</f>
        <v/>
      </c>
      <c r="P61" s="17">
        <f>IF(O61="","",O61-$I$1)</f>
        <v/>
      </c>
    </row>
    <row r="62" ht="17.25" customHeight="1" s="237">
      <c r="A62" s="10">
        <f>ROW()-2</f>
        <v/>
      </c>
      <c r="B62" s="10" t="n">
        <v>6285</v>
      </c>
      <c r="C62" s="22">
        <f>VLOOKUP(B:B,재고차이!A:B,2,0)</f>
        <v/>
      </c>
      <c r="D62" s="22">
        <f>VLOOKUP(C:C,재고차이!B:C,2,0)</f>
        <v/>
      </c>
      <c r="E62" s="10" t="n"/>
      <c r="F62" s="10" t="n"/>
      <c r="G62" s="10" t="n">
        <v>28</v>
      </c>
      <c r="H62" s="10" t="n"/>
      <c r="I62" s="184" t="n">
        <v>46322</v>
      </c>
      <c r="J62" s="184" t="n"/>
      <c r="K62" s="20">
        <f>+P62</f>
        <v/>
      </c>
      <c r="L62" s="282">
        <f>IF(I62="","",SUMIF(제품등록!B:B,'믹스(잔량실사표)'!C:C,제품등록!F:F))</f>
        <v/>
      </c>
      <c r="M62" s="11">
        <f>IF(I62=0,"",I62-L62)</f>
        <v/>
      </c>
      <c r="N62" s="283">
        <f>IF(M62="","",L62*상미75)</f>
        <v/>
      </c>
      <c r="O62" s="19">
        <f>IF(N62="","",M62+N62)</f>
        <v/>
      </c>
      <c r="P62" s="17">
        <f>IF(O62="","",O62-$I$1)</f>
        <v/>
      </c>
    </row>
    <row r="63" ht="17.25" customHeight="1" s="237">
      <c r="A63" s="10">
        <f>ROW()-2</f>
        <v/>
      </c>
      <c r="B63" s="10" t="n">
        <v>6349</v>
      </c>
      <c r="C63" s="22">
        <f>VLOOKUP(B:B,재고차이!A:B,2,0)</f>
        <v/>
      </c>
      <c r="D63" s="22">
        <f>VLOOKUP(C:C,재고차이!B:C,2,0)</f>
        <v/>
      </c>
      <c r="E63" s="10" t="n"/>
      <c r="F63" s="10" t="n"/>
      <c r="G63" s="10" t="n">
        <v>15</v>
      </c>
      <c r="H63" s="10" t="n"/>
      <c r="I63" s="184" t="n">
        <v>46336</v>
      </c>
      <c r="J63" s="184" t="n"/>
      <c r="K63" s="20">
        <f>+P63</f>
        <v/>
      </c>
      <c r="L63" s="282">
        <f>IF(I63="","",SUMIF(제품등록!B:B,'믹스(잔량실사표)'!C:C,제품등록!F:F))</f>
        <v/>
      </c>
      <c r="M63" s="11">
        <f>IF(I63=0,"",I63-L63)</f>
        <v/>
      </c>
      <c r="N63" s="283">
        <f>IF(M63="","",L63*상미75)</f>
        <v/>
      </c>
      <c r="O63" s="19">
        <f>IF(N63="","",M63+N63)</f>
        <v/>
      </c>
      <c r="P63" s="17">
        <f>IF(O63="","",O63-$I$1)</f>
        <v/>
      </c>
    </row>
    <row r="64" ht="17.25" customHeight="1" s="237">
      <c r="A64" s="10">
        <f>ROW()-2</f>
        <v/>
      </c>
      <c r="B64" s="24" t="n">
        <v>6509</v>
      </c>
      <c r="C64" s="22">
        <f>VLOOKUP(B:B,재고차이!A:B,2,0)</f>
        <v/>
      </c>
      <c r="D64" s="22">
        <f>VLOOKUP(C:C,재고차이!B:C,2,0)</f>
        <v/>
      </c>
      <c r="E64" s="10" t="n"/>
      <c r="F64" s="10" t="n"/>
      <c r="G64" s="10" t="n">
        <v>15</v>
      </c>
      <c r="H64" s="10" t="n"/>
      <c r="I64" s="184" t="n">
        <v>46217</v>
      </c>
      <c r="J64" s="184" t="n"/>
      <c r="K64" s="20">
        <f>+P64</f>
        <v/>
      </c>
      <c r="L64" s="282">
        <f>IF(I64="","",SUMIF(제품등록!B:B,'믹스(잔량실사표)'!C:C,제품등록!F:F))</f>
        <v/>
      </c>
      <c r="M64" s="11">
        <f>IF(I64=0,"",I64-L64)</f>
        <v/>
      </c>
      <c r="N64" s="283">
        <f>IF(M64="","",L64*상미75)</f>
        <v/>
      </c>
      <c r="O64" s="19">
        <f>IF(N64="","",M64+N64)</f>
        <v/>
      </c>
      <c r="P64" s="17">
        <f>IF(O64="","",O64-$I$1)</f>
        <v/>
      </c>
    </row>
    <row r="65" ht="17.25" customHeight="1" s="237">
      <c r="A65" s="10">
        <f>ROW()-2</f>
        <v/>
      </c>
      <c r="B65" s="24" t="n">
        <v>6676</v>
      </c>
      <c r="C65" s="22">
        <f>VLOOKUP(B:B,재고차이!A:B,2,0)</f>
        <v/>
      </c>
      <c r="D65" s="22">
        <f>VLOOKUP(C:C,재고차이!B:C,2,0)</f>
        <v/>
      </c>
      <c r="E65" s="10" t="n"/>
      <c r="F65" s="10" t="n"/>
      <c r="G65" s="10" t="n">
        <v>25</v>
      </c>
      <c r="H65" s="10" t="n"/>
      <c r="I65" s="184" t="n">
        <v>46358</v>
      </c>
      <c r="J65" s="184" t="n"/>
      <c r="K65" s="20">
        <f>+P65</f>
        <v/>
      </c>
      <c r="L65" s="282">
        <f>IF(I65="","",SUMIF(제품등록!B:B,'믹스(잔량실사표)'!C:C,제품등록!F:F))</f>
        <v/>
      </c>
      <c r="M65" s="11">
        <f>IF(I65=0,"",I65-L65)</f>
        <v/>
      </c>
      <c r="N65" s="283">
        <f>IF(M65="","",L65*상미75)</f>
        <v/>
      </c>
      <c r="O65" s="19">
        <f>IF(N65="","",M65+N65)</f>
        <v/>
      </c>
      <c r="P65" s="17">
        <f>IF(O65="","",O65-$I$1)</f>
        <v/>
      </c>
    </row>
    <row r="66" ht="17.25" customHeight="1" s="237">
      <c r="A66" s="10">
        <f>ROW()-2</f>
        <v/>
      </c>
      <c r="B66" s="10" t="n">
        <v>6705</v>
      </c>
      <c r="C66" s="22">
        <f>VLOOKUP(B:B,재고차이!A:B,2,0)</f>
        <v/>
      </c>
      <c r="D66" s="22">
        <f>VLOOKUP(C:C,재고차이!B:C,2,0)</f>
        <v/>
      </c>
      <c r="E66" s="10" t="n"/>
      <c r="F66" s="10" t="n"/>
      <c r="G66" s="10" t="n">
        <v>54</v>
      </c>
      <c r="H66" s="10" t="n"/>
      <c r="I66" s="184" t="n">
        <v>46243</v>
      </c>
      <c r="J66" s="184" t="n"/>
      <c r="K66" s="20">
        <f>+P66</f>
        <v/>
      </c>
      <c r="L66" s="282">
        <f>IF(I66="","",SUMIF(제품등록!B:B,'믹스(잔량실사표)'!C:C,제품등록!F:F))</f>
        <v/>
      </c>
      <c r="M66" s="11">
        <f>IF(I66=0,"",I66-L66)</f>
        <v/>
      </c>
      <c r="N66" s="283">
        <f>IF(M66="","",L66*상미75)</f>
        <v/>
      </c>
      <c r="O66" s="19">
        <f>IF(N66="","",M66+N66)</f>
        <v/>
      </c>
      <c r="P66" s="17">
        <f>IF(O66="","",O66-$I$1)</f>
        <v/>
      </c>
    </row>
    <row r="67" ht="17.25" customHeight="1" s="237">
      <c r="A67" s="10">
        <f>ROW()-2</f>
        <v/>
      </c>
      <c r="B67" s="10" t="n">
        <v>6871</v>
      </c>
      <c r="C67" s="22">
        <f>VLOOKUP(B:B,재고차이!A:B,2,0)</f>
        <v/>
      </c>
      <c r="D67" s="22">
        <f>VLOOKUP(C:C,재고차이!B:C,2,0)</f>
        <v/>
      </c>
      <c r="E67" s="10" t="n"/>
      <c r="F67" s="10" t="n"/>
      <c r="G67" s="10" t="n">
        <v>39</v>
      </c>
      <c r="H67" s="10" t="n"/>
      <c r="I67" s="184" t="n">
        <v>46358</v>
      </c>
      <c r="J67" s="184" t="n"/>
      <c r="K67" s="20">
        <f>+P67</f>
        <v/>
      </c>
      <c r="L67" s="282">
        <f>IF(I67="","",SUMIF(제품등록!B:B,'믹스(잔량실사표)'!C:C,제품등록!F:F))</f>
        <v/>
      </c>
      <c r="M67" s="11">
        <f>IF(I67=0,"",I67-L67)</f>
        <v/>
      </c>
      <c r="N67" s="283">
        <f>IF(M67="","",L67*상미75)</f>
        <v/>
      </c>
      <c r="O67" s="19">
        <f>IF(N67="","",M67+N67)</f>
        <v/>
      </c>
      <c r="P67" s="17">
        <f>IF(O67="","",O67-$I$1)</f>
        <v/>
      </c>
    </row>
    <row r="68" ht="17.25" customHeight="1" s="237">
      <c r="A68" s="10">
        <f>ROW()-2</f>
        <v/>
      </c>
      <c r="B68" s="24" t="n">
        <v>7719</v>
      </c>
      <c r="C68" s="22">
        <f>VLOOKUP(B:B,재고차이!A:B,2,0)</f>
        <v/>
      </c>
      <c r="D68" s="22">
        <f>VLOOKUP(C:C,재고차이!B:C,2,0)</f>
        <v/>
      </c>
      <c r="E68" s="10" t="n"/>
      <c r="F68" s="10" t="n"/>
      <c r="G68" s="10" t="n">
        <v>111</v>
      </c>
      <c r="H68" s="10" t="n"/>
      <c r="I68" s="184" t="n">
        <v>46553</v>
      </c>
      <c r="J68" s="184" t="n"/>
      <c r="K68" s="20">
        <f>+P68</f>
        <v/>
      </c>
      <c r="L68" s="282">
        <f>IF(I68="","",SUMIF(제품등록!B:B,'믹스(잔량실사표)'!C:C,제품등록!F:F))</f>
        <v/>
      </c>
      <c r="M68" s="11">
        <f>IF(I68=0,"",I68-L68)</f>
        <v/>
      </c>
      <c r="N68" s="283">
        <f>IF(M68="","",L68*상미75)</f>
        <v/>
      </c>
      <c r="O68" s="19">
        <f>IF(N68="","",M68+N68)</f>
        <v/>
      </c>
      <c r="P68" s="17">
        <f>IF(O68="","",O68-$I$1)</f>
        <v/>
      </c>
    </row>
    <row r="69" ht="17.25" customHeight="1" s="237">
      <c r="A69" s="10">
        <f>ROW()-2</f>
        <v/>
      </c>
      <c r="B69" s="24" t="n">
        <v>7721</v>
      </c>
      <c r="C69" s="22">
        <f>VLOOKUP(B:B,재고차이!A:B,2,0)</f>
        <v/>
      </c>
      <c r="D69" s="22">
        <f>VLOOKUP(C:C,재고차이!B:C,2,0)</f>
        <v/>
      </c>
      <c r="E69" s="10" t="n"/>
      <c r="F69" s="10" t="n"/>
      <c r="G69" s="10" t="n">
        <v>39</v>
      </c>
      <c r="H69" s="10" t="n"/>
      <c r="I69" s="184" t="n">
        <v>46335</v>
      </c>
      <c r="J69" s="184" t="n"/>
      <c r="K69" s="20">
        <f>+P69</f>
        <v/>
      </c>
      <c r="L69" s="282">
        <f>IF(I69="","",SUMIF(제품등록!B:B,'믹스(잔량실사표)'!C:C,제품등록!F:F))</f>
        <v/>
      </c>
      <c r="M69" s="11">
        <f>IF(I69=0,"",I69-L69)</f>
        <v/>
      </c>
      <c r="N69" s="283">
        <f>IF(M69="","",L69*상미75)</f>
        <v/>
      </c>
      <c r="O69" s="19">
        <f>IF(N69="","",M69+N69)</f>
        <v/>
      </c>
      <c r="P69" s="17">
        <f>IF(O69="","",O69-$I$1)</f>
        <v/>
      </c>
    </row>
    <row r="70" ht="17.25" customHeight="1" s="237">
      <c r="A70" s="10">
        <f>ROW()-2</f>
        <v/>
      </c>
      <c r="B70" s="24" t="n">
        <v>7923</v>
      </c>
      <c r="C70" s="22">
        <f>VLOOKUP(B:B,재고차이!A:B,2,0)</f>
        <v/>
      </c>
      <c r="D70" s="22">
        <f>VLOOKUP(C:C,재고차이!B:C,2,0)</f>
        <v/>
      </c>
      <c r="E70" s="10" t="n"/>
      <c r="F70" s="10" t="n"/>
      <c r="G70" s="10">
        <f>12+12</f>
        <v/>
      </c>
      <c r="H70" s="10" t="n"/>
      <c r="I70" s="184" t="n">
        <v>46359</v>
      </c>
      <c r="J70" s="184" t="n"/>
      <c r="K70" s="20">
        <f>+P70</f>
        <v/>
      </c>
      <c r="L70" s="282">
        <f>IF(I70="","",SUMIF(제품등록!B:B,'믹스(잔량실사표)'!C:C,제품등록!F:F))</f>
        <v/>
      </c>
      <c r="M70" s="11">
        <f>IF(I70=0,"",I70-L70)</f>
        <v/>
      </c>
      <c r="N70" s="283">
        <f>IF(M70="","",L70*상미75)</f>
        <v/>
      </c>
      <c r="O70" s="19">
        <f>IF(N70="","",M70+N70)</f>
        <v/>
      </c>
      <c r="P70" s="17">
        <f>IF(O70="","",O70-$I$1)</f>
        <v/>
      </c>
    </row>
    <row r="71" ht="17.25" customHeight="1" s="237">
      <c r="A71" s="10">
        <f>ROW()-2</f>
        <v/>
      </c>
      <c r="B71" s="24" t="n">
        <v>7949</v>
      </c>
      <c r="C71" s="22">
        <f>VLOOKUP(B:B,재고차이!A:B,2,0)</f>
        <v/>
      </c>
      <c r="D71" s="22">
        <f>VLOOKUP(C:C,재고차이!B:C,2,0)</f>
        <v/>
      </c>
      <c r="E71" s="10" t="n"/>
      <c r="F71" s="10" t="n"/>
      <c r="G71" s="10" t="n">
        <v>7</v>
      </c>
      <c r="H71" s="10" t="n"/>
      <c r="I71" s="184" t="n">
        <v>46238</v>
      </c>
      <c r="J71" s="184" t="n"/>
      <c r="K71" s="20">
        <f>+P71</f>
        <v/>
      </c>
      <c r="L71" s="282">
        <f>IF(I71="","",SUMIF(제품등록!B:B,'믹스(잔량실사표)'!C:C,제품등록!F:F))</f>
        <v/>
      </c>
      <c r="M71" s="11">
        <f>IF(I71=0,"",I71-L71)</f>
        <v/>
      </c>
      <c r="N71" s="283">
        <f>IF(M71="","",L71*상미75)</f>
        <v/>
      </c>
      <c r="O71" s="19">
        <f>IF(N71="","",M71+N71)</f>
        <v/>
      </c>
      <c r="P71" s="17">
        <f>IF(O71="","",O71-$I$1)</f>
        <v/>
      </c>
    </row>
    <row r="72" ht="17.25" customHeight="1" s="237">
      <c r="A72" s="10">
        <f>ROW()-2</f>
        <v/>
      </c>
      <c r="B72" s="10" t="n">
        <v>7988</v>
      </c>
      <c r="C72" s="22">
        <f>VLOOKUP(B:B,재고차이!A:B,2,0)</f>
        <v/>
      </c>
      <c r="D72" s="22">
        <f>VLOOKUP(C:C,재고차이!B:C,2,0)</f>
        <v/>
      </c>
      <c r="E72" s="10" t="n"/>
      <c r="F72" s="10" t="n"/>
      <c r="G72" s="10" t="n">
        <v>52</v>
      </c>
      <c r="H72" s="10" t="n"/>
      <c r="I72" s="184" t="n">
        <v>46323</v>
      </c>
      <c r="J72" s="184" t="n"/>
      <c r="K72" s="20">
        <f>+P72</f>
        <v/>
      </c>
      <c r="L72" s="282">
        <f>IF(I72="","",SUMIF(제품등록!B:B,'믹스(잔량실사표)'!C:C,제품등록!F:F))</f>
        <v/>
      </c>
      <c r="M72" s="11">
        <f>IF(I72=0,"",I72-L72)</f>
        <v/>
      </c>
      <c r="N72" s="283">
        <f>IF(M72="","",L72*상미75)</f>
        <v/>
      </c>
      <c r="O72" s="19">
        <f>IF(N72="","",M72+N72)</f>
        <v/>
      </c>
      <c r="P72" s="17">
        <f>IF(O72="","",O72-$I$1)</f>
        <v/>
      </c>
    </row>
    <row r="73" ht="17.25" customHeight="1" s="237">
      <c r="A73" s="10">
        <f>ROW()-2</f>
        <v/>
      </c>
      <c r="B73" s="24" t="n">
        <v>7994</v>
      </c>
      <c r="C73" s="22">
        <f>VLOOKUP(B:B,재고차이!A:B,2,0)</f>
        <v/>
      </c>
      <c r="D73" s="22">
        <f>VLOOKUP(C:C,재고차이!B:C,2,0)</f>
        <v/>
      </c>
      <c r="E73" s="10" t="n"/>
      <c r="F73" s="10" t="n"/>
      <c r="G73" s="10" t="n">
        <v>52</v>
      </c>
      <c r="H73" s="10" t="n"/>
      <c r="I73" s="184" t="n">
        <v>46343</v>
      </c>
      <c r="J73" s="184" t="n"/>
      <c r="K73" s="20">
        <f>+P73</f>
        <v/>
      </c>
      <c r="L73" s="282">
        <f>IF(I73="","",SUMIF(제품등록!B:B,'믹스(잔량실사표)'!C:C,제품등록!F:F))</f>
        <v/>
      </c>
      <c r="M73" s="11">
        <f>IF(I73=0,"",I73-L73)</f>
        <v/>
      </c>
      <c r="N73" s="283">
        <f>IF(M73="","",L73*상미75)</f>
        <v/>
      </c>
      <c r="O73" s="19">
        <f>IF(N73="","",M73+N73)</f>
        <v/>
      </c>
      <c r="P73" s="17">
        <f>IF(O73="","",O73-$I$1)</f>
        <v/>
      </c>
    </row>
    <row r="74" ht="17.25" customHeight="1" s="237">
      <c r="A74" s="10">
        <f>ROW()-2</f>
        <v/>
      </c>
      <c r="B74" s="24" t="n">
        <v>8058</v>
      </c>
      <c r="C74" s="22">
        <f>VLOOKUP(B:B,재고차이!A:B,2,0)</f>
        <v/>
      </c>
      <c r="D74" s="22">
        <f>VLOOKUP(C:C,재고차이!B:C,2,0)</f>
        <v/>
      </c>
      <c r="E74" s="10" t="n"/>
      <c r="F74" s="10" t="n"/>
      <c r="G74" s="10" t="n">
        <v>21</v>
      </c>
      <c r="H74" s="10" t="n"/>
      <c r="I74" s="184" t="n">
        <v>46309</v>
      </c>
      <c r="J74" s="184" t="n"/>
      <c r="K74" s="20">
        <f>+P74</f>
        <v/>
      </c>
      <c r="L74" s="282">
        <f>IF(I74="","",SUMIF(제품등록!B:B,'믹스(잔량실사표)'!C:C,제품등록!F:F))</f>
        <v/>
      </c>
      <c r="M74" s="11">
        <f>IF(I74=0,"",I74-L74)</f>
        <v/>
      </c>
      <c r="N74" s="283">
        <f>IF(M74="","",L74*상미75)</f>
        <v/>
      </c>
      <c r="O74" s="19">
        <f>IF(N74="","",M74+N74)</f>
        <v/>
      </c>
      <c r="P74" s="17">
        <f>IF(O74="","",O74-$I$1)</f>
        <v/>
      </c>
    </row>
    <row r="75" ht="17.25" customHeight="1" s="237">
      <c r="A75" s="10">
        <f>ROW()-2</f>
        <v/>
      </c>
      <c r="B75" s="24" t="n">
        <v>8058</v>
      </c>
      <c r="C75" s="22">
        <f>VLOOKUP(B:B,재고차이!A:B,2,0)</f>
        <v/>
      </c>
      <c r="D75" s="22">
        <f>VLOOKUP(C:C,재고차이!B:C,2,0)</f>
        <v/>
      </c>
      <c r="E75" s="10" t="n"/>
      <c r="F75" s="10" t="n"/>
      <c r="G75" s="10" t="n">
        <v>40</v>
      </c>
      <c r="H75" s="10" t="n"/>
      <c r="I75" s="184" t="n">
        <v>46324</v>
      </c>
      <c r="J75" s="184" t="n"/>
      <c r="K75" s="20">
        <f>+P75</f>
        <v/>
      </c>
      <c r="L75" s="282">
        <f>IF(I75="","",SUMIF(제품등록!B:B,'믹스(잔량실사표)'!C:C,제품등록!F:F))</f>
        <v/>
      </c>
      <c r="M75" s="11">
        <f>IF(I75=0,"",I75-L75)</f>
        <v/>
      </c>
      <c r="N75" s="283">
        <f>IF(M75="","",L75*상미75)</f>
        <v/>
      </c>
      <c r="O75" s="19">
        <f>IF(N75="","",M75+N75)</f>
        <v/>
      </c>
      <c r="P75" s="17">
        <f>IF(O75="","",O75-$I$1)</f>
        <v/>
      </c>
    </row>
    <row r="76" ht="17.25" customHeight="1" s="237">
      <c r="A76" s="10">
        <f>ROW()-2</f>
        <v/>
      </c>
      <c r="B76" s="10" t="n">
        <v>8065</v>
      </c>
      <c r="C76" s="22">
        <f>VLOOKUP(B:B,재고차이!A:B,2,0)</f>
        <v/>
      </c>
      <c r="D76" s="22">
        <f>VLOOKUP(C:C,재고차이!B:C,2,0)</f>
        <v/>
      </c>
      <c r="E76" s="10" t="n"/>
      <c r="F76" s="10" t="n"/>
      <c r="G76" s="10" t="n">
        <v>7</v>
      </c>
      <c r="H76" s="10" t="n"/>
      <c r="I76" s="184" t="n">
        <v>46328</v>
      </c>
      <c r="J76" s="184" t="n"/>
      <c r="K76" s="20">
        <f>+P76</f>
        <v/>
      </c>
      <c r="L76" s="282" t="n">
        <v>365</v>
      </c>
      <c r="M76" s="11" t="n">
        <v>45875</v>
      </c>
      <c r="N76" s="283" t="n">
        <v>91.25</v>
      </c>
      <c r="O76" s="19" t="n">
        <v>45966.25</v>
      </c>
      <c r="P76" s="17" t="n">
        <v>41.25</v>
      </c>
    </row>
    <row r="77" ht="17.25" customHeight="1" s="237">
      <c r="A77" s="10">
        <f>ROW()-2</f>
        <v/>
      </c>
      <c r="B77" s="10" t="n">
        <v>8066</v>
      </c>
      <c r="C77" s="22">
        <f>VLOOKUP(B:B,재고차이!A:B,2,0)</f>
        <v/>
      </c>
      <c r="D77" s="22">
        <f>VLOOKUP(C:C,재고차이!B:C,2,0)</f>
        <v/>
      </c>
      <c r="E77" s="10" t="n"/>
      <c r="F77" s="10" t="n"/>
      <c r="G77" s="10" t="n">
        <v>21</v>
      </c>
      <c r="H77" s="10" t="n"/>
      <c r="I77" s="184" t="n">
        <v>46289</v>
      </c>
      <c r="J77" s="184" t="n"/>
      <c r="K77" s="20">
        <f>+P77</f>
        <v/>
      </c>
      <c r="L77" s="282" t="n">
        <v>365</v>
      </c>
      <c r="M77" s="11" t="n">
        <v>45875</v>
      </c>
      <c r="N77" s="283" t="n">
        <v>91.25</v>
      </c>
      <c r="O77" s="19" t="n">
        <v>45966.25</v>
      </c>
      <c r="P77" s="17" t="n">
        <v>41.25</v>
      </c>
    </row>
    <row r="78" ht="17.25" customHeight="1" s="237">
      <c r="A78" s="10">
        <f>ROW()-2</f>
        <v/>
      </c>
      <c r="B78" s="10" t="n">
        <v>8273</v>
      </c>
      <c r="C78" s="22">
        <f>VLOOKUP(B:B,재고차이!A:B,2,0)</f>
        <v/>
      </c>
      <c r="D78" s="22">
        <f>VLOOKUP(C:C,재고차이!B:C,2,0)</f>
        <v/>
      </c>
      <c r="E78" s="10" t="n"/>
      <c r="F78" s="10" t="n"/>
      <c r="G78" s="10" t="n">
        <v>63</v>
      </c>
      <c r="H78" s="10" t="n"/>
      <c r="I78" s="151" t="n">
        <v>46330</v>
      </c>
      <c r="J78" s="184" t="n"/>
      <c r="K78" s="20">
        <f>+P78</f>
        <v/>
      </c>
      <c r="L78" s="282">
        <f>IF(I78="","",SUMIF(제품등록!B:B,'믹스(잔량실사표)'!C:C,제품등록!F:F))</f>
        <v/>
      </c>
      <c r="M78" s="11">
        <f>IF(I78=0,"",I78-L78)</f>
        <v/>
      </c>
      <c r="N78" s="283">
        <f>IF(M78="","",L78*상미75)</f>
        <v/>
      </c>
      <c r="O78" s="19">
        <f>IF(N78="","",M78+N78)</f>
        <v/>
      </c>
      <c r="P78" s="17">
        <f>IF(O78="","",O78-$I$1)</f>
        <v/>
      </c>
    </row>
    <row r="79" ht="17.25" customHeight="1" s="237">
      <c r="A79" s="10">
        <f>ROW()-2</f>
        <v/>
      </c>
      <c r="B79" s="10" t="n">
        <v>8273</v>
      </c>
      <c r="C79" s="22">
        <f>VLOOKUP(B:B,재고차이!A:B,2,0)</f>
        <v/>
      </c>
      <c r="D79" s="22">
        <f>VLOOKUP(C:C,재고차이!B:C,2,0)</f>
        <v/>
      </c>
      <c r="E79" s="10" t="n"/>
      <c r="F79" s="10" t="n"/>
      <c r="G79" s="10" t="n">
        <v>131</v>
      </c>
      <c r="H79" s="10" t="n"/>
      <c r="I79" s="151" t="n">
        <v>46331</v>
      </c>
      <c r="J79" s="184" t="n"/>
      <c r="K79" s="20">
        <f>+P79</f>
        <v/>
      </c>
      <c r="L79" s="282">
        <f>IF(I79="","",SUMIF(제품등록!B:B,'믹스(잔량실사표)'!C:C,제품등록!F:F))</f>
        <v/>
      </c>
      <c r="M79" s="11">
        <f>IF(I79=0,"",I79-L79)</f>
        <v/>
      </c>
      <c r="N79" s="283">
        <f>IF(M79="","",L79*상미75)</f>
        <v/>
      </c>
      <c r="O79" s="19">
        <f>IF(N79="","",M79+N79)</f>
        <v/>
      </c>
      <c r="P79" s="17">
        <f>IF(O79="","",O79-$I$1)</f>
        <v/>
      </c>
    </row>
    <row r="80" ht="17.25" customHeight="1" s="237">
      <c r="A80" s="10">
        <f>ROW()-2</f>
        <v/>
      </c>
      <c r="B80" s="10" t="n">
        <v>8275</v>
      </c>
      <c r="C80" s="22">
        <f>VLOOKUP(B:B,재고차이!A:B,2,0)</f>
        <v/>
      </c>
      <c r="D80" s="22">
        <f>VLOOKUP(C:C,재고차이!B:C,2,0)</f>
        <v/>
      </c>
      <c r="E80" s="10" t="n"/>
      <c r="F80" s="10" t="n"/>
      <c r="G80" s="10" t="n">
        <v>39</v>
      </c>
      <c r="H80" s="10" t="n"/>
      <c r="I80" s="151" t="n">
        <v>46289</v>
      </c>
      <c r="J80" s="184" t="n"/>
      <c r="K80" s="20">
        <f>+P80</f>
        <v/>
      </c>
      <c r="L80" s="282" t="n">
        <v>365</v>
      </c>
      <c r="M80" s="11" t="n">
        <v>45873</v>
      </c>
      <c r="N80" s="283" t="n">
        <v>91.25</v>
      </c>
      <c r="O80" s="19" t="n">
        <v>45964.25</v>
      </c>
      <c r="P80" s="17" t="n">
        <v>39.25</v>
      </c>
    </row>
    <row r="81" ht="17.25" customHeight="1" s="237">
      <c r="A81" s="10">
        <f>ROW()-2</f>
        <v/>
      </c>
      <c r="B81" s="10" t="n">
        <v>8278</v>
      </c>
      <c r="C81" s="22">
        <f>VLOOKUP(B:B,재고차이!A:B,2,0)</f>
        <v/>
      </c>
      <c r="D81" s="22">
        <f>VLOOKUP(C:C,재고차이!B:C,2,0)</f>
        <v/>
      </c>
      <c r="E81" s="10" t="n"/>
      <c r="F81" s="10" t="n"/>
      <c r="G81" s="10" t="n">
        <v>44</v>
      </c>
      <c r="H81" s="10" t="n"/>
      <c r="I81" s="151" t="n">
        <v>46284</v>
      </c>
      <c r="J81" s="184" t="n"/>
      <c r="K81" s="20">
        <f>+P81</f>
        <v/>
      </c>
      <c r="L81" s="282" t="n">
        <v>365</v>
      </c>
      <c r="M81" s="11" t="n">
        <v>45873</v>
      </c>
      <c r="N81" s="283" t="n">
        <v>91.25</v>
      </c>
      <c r="O81" s="19" t="n">
        <v>45964.25</v>
      </c>
      <c r="P81" s="17" t="n">
        <v>39.25</v>
      </c>
    </row>
    <row r="82" ht="17.25" customHeight="1" s="237">
      <c r="A82" s="10">
        <f>ROW()-2</f>
        <v/>
      </c>
      <c r="B82" s="10" t="n">
        <v>8429</v>
      </c>
      <c r="C82" s="22">
        <f>VLOOKUP(B:B,재고차이!A:B,2,0)</f>
        <v/>
      </c>
      <c r="D82" s="22">
        <f>VLOOKUP(C:C,재고차이!B:C,2,0)</f>
        <v/>
      </c>
      <c r="E82" s="10" t="n"/>
      <c r="F82" s="10" t="n"/>
      <c r="G82" s="10" t="n">
        <v>24</v>
      </c>
      <c r="H82" s="10" t="n"/>
      <c r="I82" s="151" t="n">
        <v>46258</v>
      </c>
      <c r="J82" s="184" t="n"/>
      <c r="K82" s="20">
        <f>+P82</f>
        <v/>
      </c>
      <c r="L82" s="282">
        <f>IF(I82="","",SUMIF(제품등록!B:B,'믹스(잔량실사표)'!C:C,제품등록!F:F))</f>
        <v/>
      </c>
      <c r="M82" s="11">
        <f>IF(I82=0,"",I82-L82)</f>
        <v/>
      </c>
      <c r="N82" s="283">
        <f>IF(M82="","",L82*상미75)</f>
        <v/>
      </c>
      <c r="O82" s="19">
        <f>IF(N82="","",M82+N82)</f>
        <v/>
      </c>
      <c r="P82" s="17">
        <f>IF(O82="","",O82-$I$1)</f>
        <v/>
      </c>
    </row>
    <row r="83" ht="17.25" customHeight="1" s="237">
      <c r="A83" s="10">
        <f>ROW()-2</f>
        <v/>
      </c>
      <c r="B83" s="10" t="n">
        <v>8521</v>
      </c>
      <c r="C83" s="22">
        <f>VLOOKUP(B:B,재고차이!A:B,2,0)</f>
        <v/>
      </c>
      <c r="D83" s="22">
        <f>VLOOKUP(C:C,재고차이!B:C,2,0)</f>
        <v/>
      </c>
      <c r="E83" s="10" t="n"/>
      <c r="F83" s="10" t="n"/>
      <c r="G83" s="10" t="n">
        <v>99</v>
      </c>
      <c r="H83" s="10" t="n"/>
      <c r="I83" s="184" t="n">
        <v>46625</v>
      </c>
      <c r="J83" s="184" t="n"/>
      <c r="K83" s="20">
        <f>+P83</f>
        <v/>
      </c>
      <c r="L83" s="282">
        <f>IF(I83="","",SUMIF(제품등록!B:B,'믹스(잔량실사표)'!C:C,제품등록!F:F))</f>
        <v/>
      </c>
      <c r="M83" s="11">
        <f>IF(I83=0,"",I83-L83)</f>
        <v/>
      </c>
      <c r="N83" s="283">
        <f>IF(M83="","",L83*상미75)</f>
        <v/>
      </c>
      <c r="O83" s="19">
        <f>IF(N83="","",M83+N83)</f>
        <v/>
      </c>
      <c r="P83" s="17">
        <f>IF(O83="","",O83-$I$1)</f>
        <v/>
      </c>
    </row>
    <row r="84" ht="17.25" customHeight="1" s="237">
      <c r="A84" s="10">
        <f>ROW()-2</f>
        <v/>
      </c>
      <c r="B84" s="10" t="n">
        <v>8541</v>
      </c>
      <c r="C84" s="22">
        <f>VLOOKUP(B:B,재고차이!A:B,2,0)</f>
        <v/>
      </c>
      <c r="D84" s="22">
        <f>VLOOKUP(C:C,재고차이!B:C,2,0)</f>
        <v/>
      </c>
      <c r="E84" s="10" t="n"/>
      <c r="F84" s="10" t="n"/>
      <c r="G84" s="10" t="n">
        <v>41</v>
      </c>
      <c r="H84" s="10" t="n"/>
      <c r="I84" s="184" t="n">
        <v>46351</v>
      </c>
      <c r="J84" s="184" t="n"/>
      <c r="K84" s="20">
        <f>+P84</f>
        <v/>
      </c>
      <c r="L84" s="282">
        <f>IF(I84="","",SUMIF(제품등록!B:B,'믹스(잔량실사표)'!C:C,제품등록!F:F))</f>
        <v/>
      </c>
      <c r="M84" s="11">
        <f>IF(I84=0,"",I84-L84)</f>
        <v/>
      </c>
      <c r="N84" s="283">
        <f>IF(M84="","",L84*상미75)</f>
        <v/>
      </c>
      <c r="O84" s="19">
        <f>IF(N84="","",M84+N84)</f>
        <v/>
      </c>
      <c r="P84" s="17">
        <f>IF(O84="","",O84-$I$1)</f>
        <v/>
      </c>
    </row>
    <row r="85" ht="17.25" customHeight="1" s="237">
      <c r="A85" s="10">
        <f>ROW()-2</f>
        <v/>
      </c>
      <c r="B85" s="10" t="n">
        <v>8560</v>
      </c>
      <c r="C85" s="22">
        <f>VLOOKUP(B:B,재고차이!A:B,2,0)</f>
        <v/>
      </c>
      <c r="D85" s="22">
        <f>VLOOKUP(C:C,재고차이!B:C,2,0)</f>
        <v/>
      </c>
      <c r="E85" s="10" t="n"/>
      <c r="F85" s="10" t="n"/>
      <c r="G85" s="10" t="n">
        <v>1</v>
      </c>
      <c r="H85" s="10" t="n"/>
      <c r="I85" s="184" t="n">
        <v>46287</v>
      </c>
      <c r="J85" s="184" t="n"/>
      <c r="K85" s="20">
        <f>+P85</f>
        <v/>
      </c>
      <c r="L85" s="282">
        <f>IF(I85="","",SUMIF(제품등록!B:B,'믹스(잔량실사표)'!C:C,제품등록!F:F))</f>
        <v/>
      </c>
      <c r="M85" s="11">
        <f>IF(I85=0,"",I85-L85)</f>
        <v/>
      </c>
      <c r="N85" s="283">
        <f>IF(M85="","",L85*상미75)</f>
        <v/>
      </c>
      <c r="O85" s="19">
        <f>IF(N85="","",M85+N85)</f>
        <v/>
      </c>
      <c r="P85" s="17">
        <f>IF(O85="","",O85-$I$1)</f>
        <v/>
      </c>
    </row>
    <row r="86" ht="17.25" customHeight="1" s="237">
      <c r="A86" s="10">
        <f>ROW()-2</f>
        <v/>
      </c>
      <c r="B86" s="10" t="n">
        <v>8561</v>
      </c>
      <c r="C86" s="22">
        <f>VLOOKUP(B:B,재고차이!A:B,2,0)</f>
        <v/>
      </c>
      <c r="D86" s="22">
        <f>VLOOKUP(C:C,재고차이!B:C,2,0)</f>
        <v/>
      </c>
      <c r="E86" s="10" t="n"/>
      <c r="F86" s="10" t="n"/>
      <c r="G86" s="10" t="n">
        <v>17</v>
      </c>
      <c r="H86" s="10" t="n"/>
      <c r="I86" s="184" t="n">
        <v>46344</v>
      </c>
      <c r="J86" s="184" t="n"/>
      <c r="K86" s="20">
        <f>+P86</f>
        <v/>
      </c>
      <c r="L86" s="282">
        <f>IF(I86="","",SUMIF(제품등록!B:B,'믹스(잔량실사표)'!C:C,제품등록!F:F))</f>
        <v/>
      </c>
      <c r="M86" s="11">
        <f>IF(I86=0,"",I86-L86)</f>
        <v/>
      </c>
      <c r="N86" s="283">
        <f>IF(M86="","",L86*상미75)</f>
        <v/>
      </c>
      <c r="O86" s="19">
        <f>IF(N86="","",M86+N86)</f>
        <v/>
      </c>
      <c r="P86" s="17">
        <f>IF(O86="","",O86-$I$1)</f>
        <v/>
      </c>
    </row>
    <row r="87" ht="17.25" customHeight="1" s="237">
      <c r="A87" s="10">
        <f>ROW()-2</f>
        <v/>
      </c>
      <c r="B87" s="10" t="n">
        <v>8571</v>
      </c>
      <c r="C87" s="22">
        <f>VLOOKUP(B:B,재고차이!A:B,2,0)</f>
        <v/>
      </c>
      <c r="D87" s="22">
        <f>VLOOKUP(C:C,재고차이!B:C,2,0)</f>
        <v/>
      </c>
      <c r="E87" s="10" t="n"/>
      <c r="F87" s="10" t="n"/>
      <c r="G87" s="10" t="n">
        <v>28</v>
      </c>
      <c r="H87" s="10" t="n"/>
      <c r="I87" s="184" t="n">
        <v>46321</v>
      </c>
      <c r="J87" s="184" t="n"/>
      <c r="K87" s="20">
        <f>+P87</f>
        <v/>
      </c>
      <c r="L87" s="282">
        <f>IF(I87="","",SUMIF(제품등록!B:B,'믹스(잔량실사표)'!C:C,제품등록!F:F))</f>
        <v/>
      </c>
      <c r="M87" s="11">
        <f>IF(I87=0,"",I87-L87)</f>
        <v/>
      </c>
      <c r="N87" s="283">
        <f>IF(M87="","",L87*상미75)</f>
        <v/>
      </c>
      <c r="O87" s="19">
        <f>IF(N87="","",M87+N87)</f>
        <v/>
      </c>
      <c r="P87" s="17">
        <f>IF(O87="","",O87-$I$1)</f>
        <v/>
      </c>
    </row>
    <row r="88" ht="17.25" customHeight="1" s="237">
      <c r="A88" s="10">
        <f>ROW()-2</f>
        <v/>
      </c>
      <c r="B88" s="24" t="n">
        <v>8590</v>
      </c>
      <c r="C88" s="22">
        <f>VLOOKUP(B:B,재고차이!A:B,2,0)</f>
        <v/>
      </c>
      <c r="D88" s="22">
        <f>VLOOKUP(C:C,재고차이!B:C,2,0)</f>
        <v/>
      </c>
      <c r="E88" s="10" t="n"/>
      <c r="F88" s="10" t="n"/>
      <c r="G88" s="10" t="n">
        <v>4</v>
      </c>
      <c r="H88" s="10" t="n"/>
      <c r="I88" s="184" t="n">
        <v>46342</v>
      </c>
      <c r="J88" s="184" t="n"/>
      <c r="K88" s="20">
        <f>+P88</f>
        <v/>
      </c>
      <c r="L88" s="282">
        <f>IF(I88="","",SUMIF(제품등록!B:B,'믹스(잔량실사표)'!C:C,제품등록!F:F))</f>
        <v/>
      </c>
      <c r="M88" s="11">
        <f>IF(I88=0,"",I88-L88)</f>
        <v/>
      </c>
      <c r="N88" s="283">
        <f>IF(M88="","",L88*상미75)</f>
        <v/>
      </c>
      <c r="O88" s="19">
        <f>IF(N88="","",M88+N88)</f>
        <v/>
      </c>
      <c r="P88" s="17">
        <f>IF(O88="","",O88-$I$1)</f>
        <v/>
      </c>
    </row>
    <row r="89" ht="17.25" customHeight="1" s="237">
      <c r="A89" s="10">
        <f>ROW()-2</f>
        <v/>
      </c>
      <c r="B89" s="24" t="n">
        <v>9120</v>
      </c>
      <c r="C89" s="22">
        <f>VLOOKUP(B:B,재고차이!A:B,2,0)</f>
        <v/>
      </c>
      <c r="D89" s="22">
        <f>VLOOKUP(C:C,재고차이!B:C,2,0)</f>
        <v/>
      </c>
      <c r="E89" s="10" t="n"/>
      <c r="F89" s="10" t="n"/>
      <c r="G89" s="10" t="n">
        <v>66</v>
      </c>
      <c r="H89" s="10" t="n"/>
      <c r="I89" s="184" t="n">
        <v>46310</v>
      </c>
      <c r="J89" s="184" t="n"/>
      <c r="K89" s="20">
        <f>+P89</f>
        <v/>
      </c>
      <c r="L89" s="282">
        <f>IF(I89="","",SUMIF(제품등록!B:B,'믹스(잔량실사표)'!C:C,제품등록!F:F))</f>
        <v/>
      </c>
      <c r="M89" s="11">
        <f>IF(I89=0,"",I89-L89)</f>
        <v/>
      </c>
      <c r="N89" s="283">
        <f>IF(M89="","",L89*상미75)</f>
        <v/>
      </c>
      <c r="O89" s="19">
        <f>IF(N89="","",M89+N89)</f>
        <v/>
      </c>
      <c r="P89" s="17">
        <f>IF(O89="","",O89-$I$1)</f>
        <v/>
      </c>
    </row>
    <row r="90" ht="17.25" customHeight="1" s="237">
      <c r="A90" s="10">
        <f>ROW()-2</f>
        <v/>
      </c>
      <c r="B90" s="10" t="inlineStr">
        <is>
          <t>DP0439</t>
        </is>
      </c>
      <c r="C90" s="22">
        <f>VLOOKUP(B:B,재고차이!A:B,2,0)</f>
        <v/>
      </c>
      <c r="D90" s="22">
        <f>VLOOKUP(C:C,재고차이!B:C,2,0)</f>
        <v/>
      </c>
      <c r="E90" s="10" t="n"/>
      <c r="F90" s="10" t="n"/>
      <c r="G90" s="10" t="n">
        <v>80</v>
      </c>
      <c r="H90" s="10" t="n"/>
      <c r="I90" s="184" t="n">
        <v>46349</v>
      </c>
      <c r="J90" s="184" t="n"/>
      <c r="K90" s="20">
        <f>+P90</f>
        <v/>
      </c>
      <c r="L90" s="282">
        <f>IF(I90="","",SUMIF(제품등록!B:B,'믹스(잔량실사표)'!C:C,제품등록!F:F))</f>
        <v/>
      </c>
      <c r="M90" s="11">
        <f>IF(I90=0,"",I90-L90)</f>
        <v/>
      </c>
      <c r="N90" s="283">
        <f>IF(M90="","",L90*상미75)</f>
        <v/>
      </c>
      <c r="O90" s="19">
        <f>IF(N90="","",M90+N90)</f>
        <v/>
      </c>
      <c r="P90" s="17">
        <f>IF(O90="","",O90-$I$1)</f>
        <v/>
      </c>
    </row>
    <row r="91" ht="17.25" customHeight="1" s="237">
      <c r="A91" s="10">
        <f>ROW()-2</f>
        <v/>
      </c>
      <c r="B91" s="10" t="inlineStr">
        <is>
          <t>FT4181</t>
        </is>
      </c>
      <c r="C91" s="22">
        <f>VLOOKUP(B:B,재고차이!A:B,2,0)</f>
        <v/>
      </c>
      <c r="D91" s="22">
        <f>VLOOKUP(C:C,재고차이!B:C,2,0)</f>
        <v/>
      </c>
      <c r="E91" s="10" t="n"/>
      <c r="F91" s="10" t="n"/>
      <c r="G91" s="10" t="n">
        <v>58</v>
      </c>
      <c r="H91" s="10" t="n"/>
      <c r="I91" s="184" t="n">
        <v>46344</v>
      </c>
      <c r="J91" s="184" t="n"/>
      <c r="K91" s="20">
        <f>+P91</f>
        <v/>
      </c>
      <c r="L91" s="282">
        <f>IF(I91="","",SUMIF(제품등록!B:B,'믹스(잔량실사표)'!C:C,제품등록!F:F))</f>
        <v/>
      </c>
      <c r="M91" s="11">
        <f>IF(I91=0,"",I91-L91)</f>
        <v/>
      </c>
      <c r="N91" s="283">
        <f>IF(M91="","",L91*상미75)</f>
        <v/>
      </c>
      <c r="O91" s="19">
        <f>IF(N91="","",M91+N91)</f>
        <v/>
      </c>
      <c r="P91" s="17">
        <f>IF(O91="","",O91-$I$1)</f>
        <v/>
      </c>
    </row>
    <row r="92" ht="17.25" customHeight="1" s="237">
      <c r="A92" s="10">
        <f>ROW()-2</f>
        <v/>
      </c>
      <c r="B92" s="24" t="inlineStr">
        <is>
          <t>GS0012</t>
        </is>
      </c>
      <c r="C92" s="22">
        <f>VLOOKUP(B:B,재고차이!A:B,2,0)</f>
        <v/>
      </c>
      <c r="D92" s="22">
        <f>VLOOKUP(C:C,재고차이!B:C,2,0)</f>
        <v/>
      </c>
      <c r="E92" s="10" t="n"/>
      <c r="F92" s="10" t="n"/>
      <c r="G92" s="10" t="n">
        <v>82</v>
      </c>
      <c r="H92" s="10" t="n"/>
      <c r="I92" s="184" t="n">
        <v>46321</v>
      </c>
      <c r="J92" s="184" t="n"/>
      <c r="K92" s="20">
        <f>+P92</f>
        <v/>
      </c>
      <c r="L92" s="282">
        <f>IF(I92="","",SUMIF(제품등록!B:B,'믹스(잔량실사표)'!C:C,제품등록!F:F))</f>
        <v/>
      </c>
      <c r="M92" s="11">
        <f>IF(I92=0,"",I92-L92)</f>
        <v/>
      </c>
      <c r="N92" s="283">
        <f>IF(M92="","",L92*상미75)</f>
        <v/>
      </c>
      <c r="O92" s="19">
        <f>IF(N92="","",M92+N92)</f>
        <v/>
      </c>
      <c r="P92" s="17">
        <f>IF(O92="","",O92-$I$1)</f>
        <v/>
      </c>
    </row>
    <row r="93" ht="17.25" customHeight="1" s="237">
      <c r="A93" s="10">
        <f>ROW()-2</f>
        <v/>
      </c>
      <c r="B93" s="10" t="inlineStr">
        <is>
          <t>IH0001</t>
        </is>
      </c>
      <c r="C93" s="22">
        <f>VLOOKUP(B:B,재고차이!A:B,2,0)</f>
        <v/>
      </c>
      <c r="D93" s="22">
        <f>VLOOKUP(C:C,재고차이!B:C,2,0)</f>
        <v/>
      </c>
      <c r="E93" s="10" t="n"/>
      <c r="F93" s="10" t="n"/>
      <c r="G93" s="10" t="n">
        <v>18</v>
      </c>
      <c r="H93" s="10" t="n"/>
      <c r="I93" s="184" t="n">
        <v>46306</v>
      </c>
      <c r="J93" s="151" t="n"/>
      <c r="K93" s="20">
        <f>+P93</f>
        <v/>
      </c>
      <c r="L93" s="282">
        <f>IF(I93="","",SUMIF(제품등록!B:B,'믹스(잔량실사표)'!C:C,제품등록!F:F))</f>
        <v/>
      </c>
      <c r="M93" s="11">
        <f>IF(I93=0,"",I93-L93)</f>
        <v/>
      </c>
      <c r="N93" s="283">
        <f>IF(M93="","",L93*상미75)</f>
        <v/>
      </c>
      <c r="O93" s="19">
        <f>IF(N93="","",M93+N93)</f>
        <v/>
      </c>
      <c r="P93" s="17">
        <f>IF(O93="","",O93-$I$1)</f>
        <v/>
      </c>
    </row>
    <row r="94" ht="17.25" customHeight="1" s="237">
      <c r="A94" s="10">
        <f>ROW()-2</f>
        <v/>
      </c>
      <c r="B94" s="10" t="inlineStr">
        <is>
          <t>KC1005</t>
        </is>
      </c>
      <c r="C94" s="22">
        <f>VLOOKUP(B:B,재고차이!A:B,2,0)</f>
        <v/>
      </c>
      <c r="D94" s="22">
        <f>VLOOKUP(C:C,재고차이!B:C,2,0)</f>
        <v/>
      </c>
      <c r="E94" s="10" t="n"/>
      <c r="F94" s="10" t="n"/>
      <c r="G94" s="10" t="n">
        <v>67</v>
      </c>
      <c r="H94" s="10" t="n"/>
      <c r="I94" s="184" t="n">
        <v>46223</v>
      </c>
      <c r="J94" s="151" t="n"/>
      <c r="K94" s="20">
        <f>+P94</f>
        <v/>
      </c>
      <c r="L94" s="282">
        <f>IF(I94="","",SUMIF(제품등록!B:B,'믹스(잔량실사표)'!C:C,제품등록!F:F))</f>
        <v/>
      </c>
      <c r="M94" s="11">
        <f>IF(I94=0,"",I94-L94)</f>
        <v/>
      </c>
      <c r="N94" s="283">
        <f>IF(M94="","",L94*상미75)</f>
        <v/>
      </c>
      <c r="O94" s="19">
        <f>IF(N94="","",M94+N94)</f>
        <v/>
      </c>
      <c r="P94" s="17">
        <f>IF(O94="","",O94-$I$1)</f>
        <v/>
      </c>
    </row>
    <row r="95" ht="17.25" customHeight="1" s="237">
      <c r="A95" s="10">
        <f>ROW()-2</f>
        <v/>
      </c>
      <c r="B95" s="10" t="inlineStr">
        <is>
          <t>MM8428</t>
        </is>
      </c>
      <c r="C95" s="22">
        <f>VLOOKUP(B:B,재고차이!A:B,2,0)</f>
        <v/>
      </c>
      <c r="D95" s="22">
        <f>VLOOKUP(C:C,재고차이!B:C,2,0)</f>
        <v/>
      </c>
      <c r="E95" s="10" t="n"/>
      <c r="F95" s="10" t="n"/>
      <c r="G95" s="10" t="n">
        <v>82</v>
      </c>
      <c r="H95" s="10" t="n"/>
      <c r="I95" s="184" t="n">
        <v>46265</v>
      </c>
      <c r="J95" s="151" t="n"/>
      <c r="K95" s="20">
        <f>+P95</f>
        <v/>
      </c>
      <c r="L95" s="282">
        <f>IF(I95="","",SUMIF(제품등록!B:B,'믹스(잔량실사표)'!C:C,제품등록!F:F))</f>
        <v/>
      </c>
      <c r="M95" s="11">
        <f>IF(I95=0,"",I95-L95)</f>
        <v/>
      </c>
      <c r="N95" s="283">
        <f>IF(M95="","",L95*상미75)</f>
        <v/>
      </c>
      <c r="O95" s="19">
        <f>IF(N95="","",M95+N95)</f>
        <v/>
      </c>
      <c r="P95" s="17">
        <f>IF(O95="","",O95-$I$1)</f>
        <v/>
      </c>
    </row>
    <row r="96" ht="17.25" customHeight="1" s="237">
      <c r="A96" s="10">
        <f>ROW()-2</f>
        <v/>
      </c>
      <c r="B96" s="24" t="inlineStr">
        <is>
          <t>pa0002</t>
        </is>
      </c>
      <c r="C96" s="22">
        <f>VLOOKUP(B:B,재고차이!A:B,2,0)</f>
        <v/>
      </c>
      <c r="D96" s="22">
        <f>VLOOKUP(C:C,재고차이!B:C,2,0)</f>
        <v/>
      </c>
      <c r="E96" s="10" t="n"/>
      <c r="F96" s="10" t="n"/>
      <c r="G96" s="10" t="n">
        <v>25</v>
      </c>
      <c r="H96" s="10" t="n"/>
      <c r="I96" s="184" t="n">
        <v>46348</v>
      </c>
      <c r="J96" s="184" t="n"/>
      <c r="K96" s="20">
        <f>+P96</f>
        <v/>
      </c>
      <c r="L96" s="282">
        <f>IF(I96="","",SUMIF(제품등록!B:B,'믹스(잔량실사표)'!C:C,제품등록!F:F))</f>
        <v/>
      </c>
      <c r="M96" s="11">
        <f>IF(I96=0,"",I96-L96)</f>
        <v/>
      </c>
      <c r="N96" s="283">
        <f>IF(M96="","",L96*상미75)</f>
        <v/>
      </c>
      <c r="O96" s="19">
        <f>IF(N96="","",M96+N96)</f>
        <v/>
      </c>
      <c r="P96" s="17">
        <f>IF(O96="","",O96-$I$1)</f>
        <v/>
      </c>
    </row>
    <row r="97" ht="17.25" customHeight="1" s="237">
      <c r="A97" s="10">
        <f>ROW()-2</f>
        <v/>
      </c>
      <c r="B97" s="24" t="inlineStr">
        <is>
          <t>SP4181</t>
        </is>
      </c>
      <c r="C97" s="22">
        <f>VLOOKUP(B:B,재고차이!A:B,2,0)</f>
        <v/>
      </c>
      <c r="D97" s="22">
        <f>VLOOKUP(C:C,재고차이!B:C,2,0)</f>
        <v/>
      </c>
      <c r="E97" s="10" t="n"/>
      <c r="F97" s="10" t="n"/>
      <c r="G97" s="10" t="n">
        <v>17</v>
      </c>
      <c r="H97" s="10" t="n"/>
      <c r="I97" s="184" t="n">
        <v>46314</v>
      </c>
      <c r="J97" s="184" t="n"/>
      <c r="K97" s="20">
        <f>+P97</f>
        <v/>
      </c>
      <c r="L97" s="282">
        <f>IF(I97="","",SUMIF(제품등록!B:B,'믹스(잔량실사표)'!C:C,제품등록!F:F))</f>
        <v/>
      </c>
      <c r="M97" s="11">
        <f>IF(I97=0,"",I97-L97)</f>
        <v/>
      </c>
      <c r="N97" s="283">
        <f>IF(M97="","",L97*상미75)</f>
        <v/>
      </c>
      <c r="O97" s="19">
        <f>IF(N97="","",M97+N97)</f>
        <v/>
      </c>
      <c r="P97" s="17">
        <f>IF(O97="","",O97-$I$1)</f>
        <v/>
      </c>
    </row>
  </sheetData>
  <autoFilter ref="A2:Q2">
    <sortState ref="A3:P105">
      <sortCondition ref="B2"/>
    </sortState>
  </autoFilter>
  <conditionalFormatting sqref="K1:K97 K99:K1048576 P3:P97">
    <cfRule type="cellIs" priority="2" operator="lessThan" dxfId="0">
      <formula>0</formula>
    </cfRule>
  </conditionalFormatting>
  <pageMargins left="0.7" right="0.7" top="0.75" bottom="0.75" header="0.3" footer="0.3"/>
  <pageSetup orientation="portrait" paperSize="9" scale="50"/>
  <colBreaks count="1" manualBreakCount="1">
    <brk id="11" min="0" max="1048575" man="1"/>
  </colBreaks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R82"/>
  <sheetViews>
    <sheetView showGridLines="0" showZeros="0" zoomScale="85" zoomScaleNormal="85" workbookViewId="0">
      <pane ySplit="8" topLeftCell="A9" activePane="bottomLeft" state="frozen"/>
      <selection activeCell="G33" sqref="G33"/>
      <selection pane="bottomLeft" activeCell="A9" sqref="A9"/>
    </sheetView>
  </sheetViews>
  <sheetFormatPr baseColWidth="8" defaultRowHeight="16.5"/>
  <cols>
    <col width="3.875" customWidth="1" style="37" min="1" max="1"/>
    <col width="4.25" customWidth="1" style="37" min="2" max="2"/>
    <col width="11.75" customWidth="1" style="37" min="3" max="3"/>
    <col width="11.125" customWidth="1" style="37" min="4" max="4"/>
    <col width="37" customWidth="1" style="37" min="5" max="5"/>
    <col width="12.5" customWidth="1" style="37" min="6" max="6"/>
    <col width="29.125" bestFit="1" customWidth="1" style="37" min="7" max="7"/>
    <col width="33.875" customWidth="1" style="37" min="8" max="8"/>
    <col width="10.5" bestFit="1" customWidth="1" style="37" min="9" max="9"/>
    <col width="1.625" customWidth="1" style="37" min="10" max="10"/>
    <col hidden="1" width="5.125" customWidth="1" style="37" min="11" max="11"/>
    <col width="4.625" bestFit="1" customWidth="1" style="37" min="12" max="12"/>
    <col width="15.25" customWidth="1" style="37" min="13" max="13"/>
    <col width="4.625" bestFit="1" customWidth="1" style="37" min="14" max="14"/>
    <col width="24.5" bestFit="1" customWidth="1" style="37" min="15" max="15"/>
    <col width="2.875" customWidth="1" style="37" min="16" max="16"/>
    <col width="15" customWidth="1" style="40" min="17" max="17"/>
    <col width="9" customWidth="1" style="37" min="18" max="16384"/>
  </cols>
  <sheetData>
    <row r="1" ht="51.75" customHeight="1" s="237">
      <c r="C1" s="38" t="inlineStr">
        <is>
          <t xml:space="preserve">      코카-콜라 음료 주식회사 </t>
        </is>
      </c>
      <c r="D1" s="38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</row>
    <row r="2" ht="9.75" customHeight="1" s="237">
      <c r="C2" s="41" t="n"/>
      <c r="D2" s="41" t="n"/>
      <c r="E2" s="41" t="n"/>
      <c r="F2" s="41" t="n"/>
      <c r="G2" s="41" t="n"/>
      <c r="H2" s="41" t="n"/>
      <c r="I2" s="41" t="n"/>
      <c r="J2" s="41" t="n"/>
      <c r="K2" s="41" t="n"/>
      <c r="L2" s="41" t="n"/>
      <c r="M2" s="41" t="n"/>
      <c r="N2" s="41" t="n"/>
      <c r="O2" s="41" t="n"/>
      <c r="P2" s="41" t="n"/>
    </row>
    <row r="3" ht="22.5" customHeight="1" s="237">
      <c r="C3" s="42" t="inlineStr">
        <is>
          <t xml:space="preserve">               파손품 확인 보고서 </t>
        </is>
      </c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</row>
    <row r="4">
      <c r="C4" s="56" t="n"/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</row>
    <row r="5">
      <c r="C5" s="16" t="inlineStr">
        <is>
          <t xml:space="preserve">물류/지점명 :    </t>
        </is>
      </c>
      <c r="D5" s="57" t="inlineStr">
        <is>
          <t>본두리 편의점</t>
        </is>
      </c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  <c r="N5" s="41" t="n"/>
      <c r="O5" s="41" t="n"/>
      <c r="P5" s="41" t="n"/>
    </row>
    <row r="6">
      <c r="C6" s="43" t="inlineStr">
        <is>
          <t xml:space="preserve">일자 (Date)    :                    </t>
        </is>
      </c>
      <c r="D6" s="285" t="n">
        <v>46007</v>
      </c>
      <c r="E6" s="286" t="n"/>
      <c r="F6" s="287" t="n"/>
      <c r="G6" s="288" t="n"/>
      <c r="H6" s="288" t="n"/>
      <c r="I6" s="41" t="n"/>
      <c r="J6" s="41" t="n"/>
      <c r="K6" s="41" t="n"/>
      <c r="L6" s="41" t="n"/>
      <c r="M6" s="41" t="n"/>
      <c r="N6" s="41" t="n"/>
      <c r="O6" s="41" t="n"/>
      <c r="P6" s="41" t="n"/>
    </row>
    <row r="7" ht="4.5" customHeight="1" s="237">
      <c r="C7" s="41" t="n"/>
      <c r="D7" s="41" t="n"/>
      <c r="E7" s="41" t="n"/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</row>
    <row r="8" ht="23.25" customHeight="1" s="237">
      <c r="A8" s="111" t="n"/>
      <c r="B8" s="111" t="inlineStr">
        <is>
          <t>②</t>
        </is>
      </c>
      <c r="C8" s="112" t="inlineStr">
        <is>
          <t>구코드</t>
        </is>
      </c>
      <c r="D8" s="112" t="inlineStr">
        <is>
          <t>SAP코드</t>
        </is>
      </c>
      <c r="E8" s="112" t="inlineStr">
        <is>
          <t>제품명</t>
        </is>
      </c>
      <c r="F8" s="112" t="inlineStr">
        <is>
          <t>1.파손구분</t>
        </is>
      </c>
      <c r="G8" s="112" t="inlineStr">
        <is>
          <t>2.발생원인/편의점교환물류</t>
        </is>
      </c>
      <c r="H8" s="112" t="inlineStr">
        <is>
          <t>3.처리내역(편의점파손교환)</t>
        </is>
      </c>
      <c r="I8" s="112" t="n"/>
      <c r="J8" s="41" t="n"/>
      <c r="K8" s="41" t="inlineStr">
        <is>
          <t>코드</t>
        </is>
      </c>
      <c r="L8" s="111" t="inlineStr">
        <is>
          <t>①</t>
        </is>
      </c>
      <c r="M8" s="16" t="inlineStr">
        <is>
          <t>1.파손구분</t>
        </is>
      </c>
      <c r="N8" s="111" t="inlineStr">
        <is>
          <t>②</t>
        </is>
      </c>
      <c r="O8" s="16" t="inlineStr">
        <is>
          <t>2.발생원인/편의점교환물류</t>
        </is>
      </c>
      <c r="P8" s="41" t="n"/>
      <c r="Q8" s="234" t="n"/>
    </row>
    <row r="9" ht="17.25" customFormat="1" customHeight="1" s="202">
      <c r="A9" s="192" t="n">
        <v>2</v>
      </c>
      <c r="B9" s="193" t="n">
        <v>2</v>
      </c>
      <c r="C9" s="194" t="n">
        <v>8066</v>
      </c>
      <c r="D9" s="195">
        <f>IF(C9="","",VLOOKUP(C9,재고차이!A:C,2,0))</f>
        <v/>
      </c>
      <c r="E9" s="196">
        <f>IF(C9="","",VLOOKUP(C9,재고차이!A:C,3,0))</f>
        <v/>
      </c>
      <c r="F9" s="197">
        <f>IF(A9="","",VLOOKUP(A9,L:M,2,0))</f>
        <v/>
      </c>
      <c r="G9" s="197">
        <f>IF(A9="","",VLOOKUP(A9&amp;B9,K:O,5,0))</f>
        <v/>
      </c>
      <c r="H9" s="198" t="inlineStr">
        <is>
          <t>파손품 음용</t>
        </is>
      </c>
      <c r="I9" s="198" t="n">
        <v>1</v>
      </c>
      <c r="J9" s="199" t="n"/>
      <c r="K9" s="199">
        <f>$L$9&amp;N9</f>
        <v/>
      </c>
      <c r="L9" s="200" t="n">
        <v>1</v>
      </c>
      <c r="M9" s="199" t="inlineStr">
        <is>
          <t>생산파손</t>
        </is>
      </c>
      <c r="N9" s="201" t="n">
        <v>1</v>
      </c>
      <c r="O9" s="199" t="inlineStr">
        <is>
          <t>핀홀</t>
        </is>
      </c>
      <c r="Q9" s="203" t="n"/>
    </row>
    <row r="10" ht="17.25" customFormat="1" customHeight="1" s="202">
      <c r="A10" s="192" t="n">
        <v>2</v>
      </c>
      <c r="B10" s="193" t="n">
        <v>2</v>
      </c>
      <c r="C10" s="194" t="n">
        <v>9120</v>
      </c>
      <c r="D10" s="195">
        <f>IF(C10="","",VLOOKUP(C10,재고차이!A:C,2,0))</f>
        <v/>
      </c>
      <c r="E10" s="196">
        <f>IF(C10="","",VLOOKUP(C10,재고차이!A:C,3,0))</f>
        <v/>
      </c>
      <c r="F10" s="197">
        <f>IF(A10="","",VLOOKUP(A10,L:M,2,0))</f>
        <v/>
      </c>
      <c r="G10" s="197">
        <f>IF(A10="","",VLOOKUP(A10&amp;B10,K:O,5,0))</f>
        <v/>
      </c>
      <c r="H10" s="198" t="inlineStr">
        <is>
          <t>파손품 음용</t>
        </is>
      </c>
      <c r="I10" s="198" t="n">
        <v>1</v>
      </c>
      <c r="J10" s="199" t="n"/>
      <c r="K10" s="199">
        <f>$L$9&amp;N10</f>
        <v/>
      </c>
      <c r="L10" s="199" t="n"/>
      <c r="M10" s="199" t="n"/>
      <c r="N10" s="201" t="n">
        <v>2</v>
      </c>
      <c r="O10" s="199" t="inlineStr">
        <is>
          <t>포장불량</t>
        </is>
      </c>
      <c r="Q10" s="203" t="n"/>
    </row>
    <row r="11" ht="17.25" customFormat="1" customHeight="1" s="202">
      <c r="A11" s="192" t="n">
        <v>4</v>
      </c>
      <c r="B11" s="193" t="n">
        <v>6</v>
      </c>
      <c r="C11" s="194" t="n">
        <v>5641</v>
      </c>
      <c r="D11" s="195">
        <f>IF(C11="","",VLOOKUP(C11,재고차이!A:C,2,0))</f>
        <v/>
      </c>
      <c r="E11" s="196">
        <f>IF(C11="","",VLOOKUP(C11,재고차이!A:C,3,0))</f>
        <v/>
      </c>
      <c r="F11" s="197">
        <f>IF(A11="","",VLOOKUP(A11,L:M,2,0))</f>
        <v/>
      </c>
      <c r="G11" s="197">
        <f>IF(A11="","",VLOOKUP(A11&amp;B11,K:O,5,0))</f>
        <v/>
      </c>
      <c r="H11" s="198" t="n"/>
      <c r="I11" s="198" t="n">
        <v>2</v>
      </c>
      <c r="J11" s="199" t="n"/>
      <c r="K11" s="199">
        <f>$L$9&amp;N11</f>
        <v/>
      </c>
      <c r="L11" s="199" t="n"/>
      <c r="M11" s="199" t="n"/>
      <c r="N11" s="201" t="n">
        <v>3</v>
      </c>
      <c r="O11" s="199" t="inlineStr">
        <is>
          <t>낱본부족</t>
        </is>
      </c>
      <c r="Q11" s="203" t="n"/>
    </row>
    <row r="12" ht="17.25" customFormat="1" customHeight="1" s="202">
      <c r="A12" s="192" t="n">
        <v>4</v>
      </c>
      <c r="B12" s="193" t="n">
        <v>6</v>
      </c>
      <c r="C12" s="194" t="n">
        <v>5673</v>
      </c>
      <c r="D12" s="195">
        <f>IF(C12="","",VLOOKUP(C12,재고차이!A:C,2,0))</f>
        <v/>
      </c>
      <c r="E12" s="196">
        <f>IF(C12="","",VLOOKUP(C12,재고차이!A:C,3,0))</f>
        <v/>
      </c>
      <c r="F12" s="197">
        <f>IF(A12="","",VLOOKUP(A12,L:M,2,0))</f>
        <v/>
      </c>
      <c r="G12" s="197">
        <f>IF(A12="","",VLOOKUP(A12&amp;B12,K:O,5,0))</f>
        <v/>
      </c>
      <c r="H12" s="198" t="n"/>
      <c r="I12" s="198" t="n">
        <v>1</v>
      </c>
      <c r="J12" s="199" t="n"/>
      <c r="K12" s="199">
        <f>$L$9&amp;N12</f>
        <v/>
      </c>
      <c r="L12" s="204" t="n"/>
      <c r="M12" s="204" t="n"/>
      <c r="N12" s="205" t="n">
        <v>5</v>
      </c>
      <c r="O12" s="204" t="inlineStr">
        <is>
          <t>침전현상</t>
        </is>
      </c>
      <c r="Q12" s="203" t="n"/>
    </row>
    <row r="13" ht="17.25" customFormat="1" customHeight="1" s="202">
      <c r="A13" s="192" t="n">
        <v>4</v>
      </c>
      <c r="B13" s="193" t="n">
        <v>27</v>
      </c>
      <c r="C13" s="194" t="n">
        <v>8560</v>
      </c>
      <c r="D13" s="195">
        <f>IF(C13="","",VLOOKUP(C13,재고차이!A:C,2,0))</f>
        <v/>
      </c>
      <c r="E13" s="196">
        <f>IF(C13="","",VLOOKUP(C13,재고차이!A:C,3,0))</f>
        <v/>
      </c>
      <c r="F13" s="197">
        <f>IF(A13="","",VLOOKUP(A13,L:M,2,0))</f>
        <v/>
      </c>
      <c r="G13" s="197">
        <f>IF(A13="","",VLOOKUP(A13&amp;B13,K:O,5,0))</f>
        <v/>
      </c>
      <c r="H13" s="198" t="n"/>
      <c r="I13" s="198" t="n">
        <v>1</v>
      </c>
      <c r="J13" s="199" t="n"/>
      <c r="K13" s="199" t="n"/>
      <c r="L13" s="199" t="n"/>
      <c r="M13" s="199" t="n"/>
      <c r="N13" s="199" t="n"/>
      <c r="O13" s="199" t="n"/>
      <c r="Q13" s="203" t="n"/>
    </row>
    <row r="14" ht="17.25" customFormat="1" customHeight="1" s="202">
      <c r="A14" s="192" t="n"/>
      <c r="B14" s="193" t="n"/>
      <c r="C14" s="194" t="n"/>
      <c r="D14" s="195">
        <f>IF(C14="","",VLOOKUP(C14,재고차이!A:C,2,0))</f>
        <v/>
      </c>
      <c r="E14" s="196">
        <f>IF(C14="","",VLOOKUP(C14,재고차이!A:C,3,0))</f>
        <v/>
      </c>
      <c r="F14" s="197">
        <f>IF(A14="","",VLOOKUP(A14,L:M,2,0))</f>
        <v/>
      </c>
      <c r="G14" s="197">
        <f>IF(A14="","",VLOOKUP(A14&amp;B14,K:O,5,0))</f>
        <v/>
      </c>
      <c r="H14" s="198" t="n"/>
      <c r="I14" s="198" t="n"/>
      <c r="J14" s="199" t="n"/>
      <c r="K14" s="199" t="n"/>
      <c r="L14" s="199" t="n"/>
      <c r="M14" s="199" t="n"/>
      <c r="N14" s="199" t="n"/>
      <c r="O14" s="199" t="n"/>
      <c r="Q14" s="203" t="n"/>
    </row>
    <row r="15" ht="17.25" customFormat="1" customHeight="1" s="202">
      <c r="A15" s="192" t="n"/>
      <c r="B15" s="193" t="n"/>
      <c r="C15" s="194" t="n"/>
      <c r="D15" s="195">
        <f>IF(C15="","",VLOOKUP(C15,재고차이!A:C,2,0))</f>
        <v/>
      </c>
      <c r="E15" s="196">
        <f>IF(C15="","",VLOOKUP(C15,재고차이!A:C,3,0))</f>
        <v/>
      </c>
      <c r="F15" s="197">
        <f>IF(A15="","",VLOOKUP(A15,L:M,2,0))</f>
        <v/>
      </c>
      <c r="G15" s="197">
        <f>IF(A15="","",VLOOKUP(A15&amp;B15,K:O,5,0))</f>
        <v/>
      </c>
      <c r="H15" s="198" t="n"/>
      <c r="I15" s="198" t="n"/>
      <c r="J15" s="199" t="n"/>
      <c r="K15" s="199" t="n"/>
      <c r="L15" s="199" t="n"/>
      <c r="M15" s="199" t="n"/>
      <c r="N15" s="199" t="n"/>
      <c r="O15" s="199" t="n"/>
      <c r="Q15" s="203" t="n"/>
    </row>
    <row r="16" ht="17.25" customFormat="1" customHeight="1" s="202">
      <c r="A16" s="192" t="n"/>
      <c r="B16" s="193" t="n"/>
      <c r="C16" s="194" t="n"/>
      <c r="D16" s="195">
        <f>IF(C16="","",VLOOKUP(C16,재고차이!A:C,2,0))</f>
        <v/>
      </c>
      <c r="E16" s="196">
        <f>IF(C16="","",VLOOKUP(C16,재고차이!A:C,3,0))</f>
        <v/>
      </c>
      <c r="F16" s="197">
        <f>IF(A16="","",VLOOKUP(A16,L:M,2,0))</f>
        <v/>
      </c>
      <c r="G16" s="197">
        <f>IF(A16="","",VLOOKUP(A16&amp;B16,K:O,5,0))</f>
        <v/>
      </c>
      <c r="H16" s="198" t="n"/>
      <c r="I16" s="198" t="n"/>
      <c r="J16" s="199" t="n"/>
      <c r="K16" s="199" t="n"/>
      <c r="L16" s="199" t="n"/>
      <c r="M16" s="199" t="n"/>
      <c r="N16" s="199" t="n"/>
      <c r="O16" s="199" t="n"/>
      <c r="Q16" s="203" t="n"/>
    </row>
    <row r="17" ht="17.25" customFormat="1" customHeight="1" s="202">
      <c r="A17" s="192" t="n"/>
      <c r="B17" s="193" t="n"/>
      <c r="C17" s="194" t="n"/>
      <c r="D17" s="195">
        <f>IF(C17="","",VLOOKUP(C17,재고차이!A:C,2,0))</f>
        <v/>
      </c>
      <c r="E17" s="196">
        <f>IF(C17="","",VLOOKUP(C17,재고차이!A:C,3,0))</f>
        <v/>
      </c>
      <c r="F17" s="197">
        <f>IF(A17="","",VLOOKUP(A17,L:M,2,0))</f>
        <v/>
      </c>
      <c r="G17" s="197">
        <f>IF(A17="","",VLOOKUP(A17&amp;B17,K:O,5,0))</f>
        <v/>
      </c>
      <c r="H17" s="198" t="n"/>
      <c r="I17" s="198" t="n"/>
      <c r="J17" s="199" t="n"/>
      <c r="K17" s="199">
        <f>$L$17&amp;N17</f>
        <v/>
      </c>
      <c r="L17" s="200" t="n">
        <v>2</v>
      </c>
      <c r="M17" s="199" t="inlineStr">
        <is>
          <t>작업파손</t>
        </is>
      </c>
      <c r="N17" s="201" t="n">
        <v>1</v>
      </c>
      <c r="O17" s="199" t="inlineStr">
        <is>
          <t>BW(지게차 작업파손)</t>
        </is>
      </c>
      <c r="Q17" s="203" t="n"/>
    </row>
    <row r="18" ht="17.25" customFormat="1" customHeight="1" s="202">
      <c r="A18" s="192" t="n"/>
      <c r="B18" s="193" t="n"/>
      <c r="C18" s="194" t="n"/>
      <c r="D18" s="195">
        <f>IF(C18="","",VLOOKUP(C18,재고차이!A:C,2,0))</f>
        <v/>
      </c>
      <c r="E18" s="196">
        <f>IF(C18="","",VLOOKUP(C18,재고차이!A:C,3,0))</f>
        <v/>
      </c>
      <c r="F18" s="197">
        <f>IF(A18="","",VLOOKUP(A18,L:M,2,0))</f>
        <v/>
      </c>
      <c r="G18" s="197">
        <f>IF(A18="","",VLOOKUP(A18&amp;B18,K:O,5,0))</f>
        <v/>
      </c>
      <c r="H18" s="198" t="n"/>
      <c r="I18" s="198" t="n"/>
      <c r="J18" s="199" t="n"/>
      <c r="K18" s="199">
        <f>$L$17&amp;N18</f>
        <v/>
      </c>
      <c r="L18" s="204" t="n"/>
      <c r="M18" s="204" t="n"/>
      <c r="N18" s="205" t="n">
        <v>2</v>
      </c>
      <c r="O18" s="204" t="inlineStr">
        <is>
          <t>BF(로드믹싱 작업파손)</t>
        </is>
      </c>
      <c r="Q18" s="203" t="n"/>
    </row>
    <row r="19" ht="17.25" customFormat="1" customHeight="1" s="202">
      <c r="A19" s="192" t="n"/>
      <c r="B19" s="193" t="n"/>
      <c r="C19" s="194" t="n"/>
      <c r="D19" s="195">
        <f>IF(C19="","",VLOOKUP(C19,재고차이!A:C,2,0))</f>
        <v/>
      </c>
      <c r="E19" s="196">
        <f>IF(C19="","",VLOOKUP(C19,재고차이!A:C,3,0))</f>
        <v/>
      </c>
      <c r="F19" s="197">
        <f>IF(A19="","",VLOOKUP(A19,L:M,2,0))</f>
        <v/>
      </c>
      <c r="G19" s="197">
        <f>IF(A19="","",VLOOKUP(A19&amp;B19,K:O,5,0))</f>
        <v/>
      </c>
      <c r="H19" s="198" t="n"/>
      <c r="I19" s="198" t="n"/>
      <c r="J19" s="199" t="n"/>
      <c r="K19" s="199" t="n"/>
      <c r="Q19" s="203" t="n"/>
    </row>
    <row r="20" ht="17.25" customFormat="1" customHeight="1" s="202">
      <c r="A20" s="192" t="n"/>
      <c r="B20" s="193" t="n"/>
      <c r="C20" s="194" t="n"/>
      <c r="D20" s="195">
        <f>IF(C20="","",VLOOKUP(C20,재고차이!A:C,2,0))</f>
        <v/>
      </c>
      <c r="E20" s="196">
        <f>IF(C20="","",VLOOKUP(C20,재고차이!A:C,3,0))</f>
        <v/>
      </c>
      <c r="F20" s="197">
        <f>IF(A20="","",VLOOKUP(A20,L:M,2,0))</f>
        <v/>
      </c>
      <c r="G20" s="197">
        <f>IF(A20="","",VLOOKUP(A20&amp;B20,K:O,5,0))</f>
        <v/>
      </c>
      <c r="H20" s="198" t="n"/>
      <c r="I20" s="198" t="n"/>
      <c r="J20" s="199" t="n"/>
      <c r="K20" s="199">
        <f>$L$20&amp;N20</f>
        <v/>
      </c>
      <c r="L20" s="200" t="n">
        <v>3</v>
      </c>
      <c r="M20" s="199" t="inlineStr">
        <is>
          <t>이송파손</t>
        </is>
      </c>
      <c r="N20" s="201" t="n">
        <v>1</v>
      </c>
      <c r="O20" s="199" t="inlineStr">
        <is>
          <t>수송 기사파손</t>
        </is>
      </c>
      <c r="Q20" s="203" t="n"/>
    </row>
    <row r="21" ht="17.25" customFormat="1" customHeight="1" s="202">
      <c r="A21" s="192" t="n"/>
      <c r="B21" s="193" t="n"/>
      <c r="C21" s="194" t="n"/>
      <c r="D21" s="195">
        <f>IF(C21="","",VLOOKUP(C21,재고차이!A:C,2,0))</f>
        <v/>
      </c>
      <c r="E21" s="196">
        <f>IF(C21="","",VLOOKUP(C21,재고차이!A:C,3,0))</f>
        <v/>
      </c>
      <c r="F21" s="197">
        <f>IF(A21="","",VLOOKUP(A21,L:M,2,0))</f>
        <v/>
      </c>
      <c r="G21" s="197">
        <f>IF(A21="","",VLOOKUP(A21&amp;B21,K:O,5,0))</f>
        <v/>
      </c>
      <c r="H21" s="198" t="n"/>
      <c r="I21" s="198" t="n"/>
      <c r="J21" s="199" t="n"/>
      <c r="K21" s="199">
        <f>$L$20&amp;N21</f>
        <v/>
      </c>
      <c r="L21" s="204" t="n"/>
      <c r="M21" s="204" t="n"/>
      <c r="N21" s="205" t="n">
        <v>2</v>
      </c>
      <c r="O21" s="204" t="n"/>
      <c r="Q21" s="203" t="n"/>
    </row>
    <row r="22" ht="17.25" customFormat="1" customHeight="1" s="202">
      <c r="A22" s="192" t="n"/>
      <c r="B22" s="193" t="n"/>
      <c r="C22" s="194" t="n"/>
      <c r="D22" s="195">
        <f>IF(C22="","",VLOOKUP(C22,재고차이!A:C,2,0))</f>
        <v/>
      </c>
      <c r="E22" s="196">
        <f>IF(C22="","",VLOOKUP(C22,재고차이!A:C,3,0))</f>
        <v/>
      </c>
      <c r="F22" s="197">
        <f>IF(A22="","",VLOOKUP(A22,L:M,2,0))</f>
        <v/>
      </c>
      <c r="G22" s="197">
        <f>IF(A22="","",VLOOKUP(A22&amp;B22,K:O,5,0))</f>
        <v/>
      </c>
      <c r="H22" s="198" t="n"/>
      <c r="I22" s="198" t="n"/>
      <c r="J22" s="199" t="n"/>
      <c r="K22" s="199" t="n"/>
      <c r="L22" s="199" t="n"/>
      <c r="M22" s="199" t="n"/>
      <c r="N22" s="199" t="n"/>
      <c r="O22" s="199" t="n"/>
      <c r="Q22" s="203" t="n"/>
    </row>
    <row r="23" ht="17.25" customFormat="1" customHeight="1" s="202">
      <c r="A23" s="192" t="n"/>
      <c r="B23" s="193" t="n"/>
      <c r="C23" s="194" t="n"/>
      <c r="D23" s="195">
        <f>IF(C23="","",VLOOKUP(C23,재고차이!A:C,2,0))</f>
        <v/>
      </c>
      <c r="E23" s="196">
        <f>IF(C23="","",VLOOKUP(C23,재고차이!A:C,3,0))</f>
        <v/>
      </c>
      <c r="F23" s="197">
        <f>IF(A23="","",VLOOKUP(A23,L:M,2,0))</f>
        <v/>
      </c>
      <c r="G23" s="197">
        <f>IF(A23="","",VLOOKUP(A23&amp;B23,K:O,5,0))</f>
        <v/>
      </c>
      <c r="H23" s="198" t="n"/>
      <c r="I23" s="198" t="n"/>
      <c r="J23" s="199" t="n"/>
      <c r="K23" s="199">
        <f>$L$23&amp;N23</f>
        <v/>
      </c>
      <c r="L23" s="200" t="n">
        <v>4</v>
      </c>
      <c r="M23" s="199" t="inlineStr">
        <is>
          <t>루트 파손</t>
        </is>
      </c>
      <c r="N23" s="201" t="n">
        <v>1</v>
      </c>
      <c r="O23" s="206" t="inlineStr">
        <is>
          <t>GS25 공주센터</t>
        </is>
      </c>
      <c r="Q23" s="203" t="n"/>
    </row>
    <row r="24" ht="17.25" customFormat="1" customHeight="1" s="202">
      <c r="A24" s="192" t="n"/>
      <c r="B24" s="193" t="n"/>
      <c r="C24" s="194" t="n"/>
      <c r="D24" s="195">
        <f>IF(C24="","",VLOOKUP(C24,재고차이!A:C,2,0))</f>
        <v/>
      </c>
      <c r="E24" s="196">
        <f>IF(C24="","",VLOOKUP(C24,재고차이!A:C,3,0))</f>
        <v/>
      </c>
      <c r="F24" s="197">
        <f>IF(A24="","",VLOOKUP(A24,L:M,2,0))</f>
        <v/>
      </c>
      <c r="G24" s="197">
        <f>IF(A24="","",VLOOKUP(A24&amp;B24,K:O,5,0))</f>
        <v/>
      </c>
      <c r="H24" s="198" t="n"/>
      <c r="I24" s="198" t="n"/>
      <c r="J24" s="199" t="n"/>
      <c r="K24" s="199">
        <f>$L$23&amp;N24</f>
        <v/>
      </c>
      <c r="L24" s="199" t="n"/>
      <c r="M24" s="199" t="n"/>
      <c r="N24" s="201" t="n">
        <v>2</v>
      </c>
      <c r="O24" s="206" t="inlineStr">
        <is>
          <t>GS25 송파1센터</t>
        </is>
      </c>
      <c r="Q24" s="203" t="n"/>
    </row>
    <row r="25" ht="17.25" customFormat="1" customHeight="1" s="202">
      <c r="A25" s="192" t="n"/>
      <c r="B25" s="193" t="n"/>
      <c r="C25" s="194" t="n"/>
      <c r="D25" s="195">
        <f>IF(C25="","",VLOOKUP(C25,재고차이!A:C,2,0))</f>
        <v/>
      </c>
      <c r="E25" s="196">
        <f>IF(C25="","",VLOOKUP(C25,재고차이!A:C,3,0))</f>
        <v/>
      </c>
      <c r="F25" s="197">
        <f>IF(A25="","",VLOOKUP(A25,L:M,2,0))</f>
        <v/>
      </c>
      <c r="G25" s="197">
        <f>IF(A25="","",VLOOKUP(A25&amp;B25,K:O,5,0))</f>
        <v/>
      </c>
      <c r="H25" s="198" t="n"/>
      <c r="I25" s="198" t="n"/>
      <c r="J25" s="199" t="n"/>
      <c r="K25" s="199">
        <f>$L$23&amp;N25</f>
        <v/>
      </c>
      <c r="L25" s="199" t="n"/>
      <c r="M25" s="199" t="n"/>
      <c r="N25" s="201" t="n">
        <v>3</v>
      </c>
      <c r="O25" s="206" t="inlineStr">
        <is>
          <t>GS25 송파2센터</t>
        </is>
      </c>
      <c r="Q25" s="203" t="n"/>
    </row>
    <row r="26" ht="17.25" customFormat="1" customHeight="1" s="202">
      <c r="A26" s="192" t="n"/>
      <c r="B26" s="193" t="n"/>
      <c r="C26" s="194" t="n"/>
      <c r="D26" s="195">
        <f>IF(C26="","",VLOOKUP(C26,재고차이!A:C,2,0))</f>
        <v/>
      </c>
      <c r="E26" s="196">
        <f>IF(C26="","",VLOOKUP(C26,재고차이!A:C,3,0))</f>
        <v/>
      </c>
      <c r="F26" s="197">
        <f>IF(A26="","",VLOOKUP(A26,L:M,2,0))</f>
        <v/>
      </c>
      <c r="G26" s="197">
        <f>IF(A26="","",VLOOKUP(A26&amp;B26,K:O,5,0))</f>
        <v/>
      </c>
      <c r="H26" s="198" t="n"/>
      <c r="I26" s="198" t="n"/>
      <c r="J26" s="199" t="n"/>
      <c r="K26" s="199">
        <f>$L$23&amp;N26</f>
        <v/>
      </c>
      <c r="L26" s="199" t="n"/>
      <c r="M26" s="199" t="n"/>
      <c r="N26" s="201" t="n">
        <v>4</v>
      </c>
      <c r="O26" s="206" t="inlineStr">
        <is>
          <t>GS25 포천센터</t>
        </is>
      </c>
      <c r="Q26" s="203" t="n"/>
    </row>
    <row r="27" ht="17.25" customFormat="1" customHeight="1" s="202">
      <c r="A27" s="192" t="n"/>
      <c r="B27" s="193" t="n"/>
      <c r="C27" s="194" t="n"/>
      <c r="D27" s="195">
        <f>IF(C27="","",VLOOKUP(C27,재고차이!A:C,2,0))</f>
        <v/>
      </c>
      <c r="E27" s="196">
        <f>IF(C27="","",VLOOKUP(C27,재고차이!A:C,3,0))</f>
        <v/>
      </c>
      <c r="F27" s="197">
        <f>IF(A27="","",VLOOKUP(A27,L:M,2,0))</f>
        <v/>
      </c>
      <c r="G27" s="197">
        <f>IF(A27="","",VLOOKUP(A27&amp;B27,K:O,5,0))</f>
        <v/>
      </c>
      <c r="H27" s="198" t="n"/>
      <c r="I27" s="198" t="n"/>
      <c r="J27" s="199" t="n"/>
      <c r="K27" s="199">
        <f>$L$23&amp;N27</f>
        <v/>
      </c>
      <c r="L27" s="199" t="n"/>
      <c r="M27" s="199" t="n"/>
      <c r="N27" s="201" t="n">
        <v>5</v>
      </c>
      <c r="O27" s="206" t="inlineStr">
        <is>
          <t>GS25 신남양주 1센터</t>
        </is>
      </c>
      <c r="Q27" s="203" t="n"/>
    </row>
    <row r="28" ht="17.25" customFormat="1" customHeight="1" s="202">
      <c r="A28" s="192" t="n"/>
      <c r="B28" s="193" t="n"/>
      <c r="C28" s="194" t="n"/>
      <c r="D28" s="195">
        <f>IF(C28="","",VLOOKUP(C28,재고차이!A:C,2,0))</f>
        <v/>
      </c>
      <c r="E28" s="196">
        <f>IF(C28="","",VLOOKUP(C28,재고차이!A:C,3,0))</f>
        <v/>
      </c>
      <c r="F28" s="197">
        <f>IF(A28="","",VLOOKUP(A28,L:M,2,0))</f>
        <v/>
      </c>
      <c r="G28" s="197">
        <f>IF(A28="","",VLOOKUP(A28&amp;B28,K:O,5,0))</f>
        <v/>
      </c>
      <c r="H28" s="198" t="n"/>
      <c r="I28" s="198" t="n"/>
      <c r="J28" s="199" t="n"/>
      <c r="K28" s="199">
        <f>$L$23&amp;N28</f>
        <v/>
      </c>
      <c r="L28" s="199" t="n"/>
      <c r="M28" s="199" t="n"/>
      <c r="N28" s="201" t="n">
        <v>6</v>
      </c>
      <c r="O28" s="206" t="inlineStr">
        <is>
          <t>GS25 신남양주 2센터</t>
        </is>
      </c>
      <c r="Q28" s="203" t="n"/>
    </row>
    <row r="29" ht="17.25" customFormat="1" customHeight="1" s="202">
      <c r="A29" s="192" t="n"/>
      <c r="B29" s="193" t="n"/>
      <c r="C29" s="194" t="n"/>
      <c r="D29" s="195">
        <f>IF(C29="","",VLOOKUP(C29,재고차이!A:C,2,0))</f>
        <v/>
      </c>
      <c r="E29" s="196">
        <f>IF(C29="","",VLOOKUP(C29,재고차이!A:C,3,0))</f>
        <v/>
      </c>
      <c r="F29" s="197">
        <f>IF(A29="","",VLOOKUP(A29,L:M,2,0))</f>
        <v/>
      </c>
      <c r="G29" s="197">
        <f>IF(A29="","",VLOOKUP(A29&amp;B29,K:O,5,0))</f>
        <v/>
      </c>
      <c r="H29" s="198" t="n"/>
      <c r="I29" s="198" t="n"/>
      <c r="J29" s="199" t="n"/>
      <c r="K29" s="199">
        <f>$L$23&amp;N29</f>
        <v/>
      </c>
      <c r="L29" s="199" t="n"/>
      <c r="M29" s="199" t="n"/>
      <c r="N29" s="201" t="n">
        <v>7</v>
      </c>
      <c r="O29" s="206" t="inlineStr">
        <is>
          <t>GS25 고양1센터</t>
        </is>
      </c>
      <c r="Q29" s="203" t="n"/>
    </row>
    <row r="30" ht="17.25" customFormat="1" customHeight="1" s="202">
      <c r="A30" s="192" t="n"/>
      <c r="B30" s="193" t="n"/>
      <c r="C30" s="194" t="n"/>
      <c r="D30" s="195">
        <f>IF(C30="","",VLOOKUP(C30,재고차이!A:C,2,0))</f>
        <v/>
      </c>
      <c r="E30" s="196">
        <f>IF(C30="","",VLOOKUP(C30,재고차이!A:C,3,0))</f>
        <v/>
      </c>
      <c r="F30" s="197">
        <f>IF(A30="","",VLOOKUP(A30,L:M,2,0))</f>
        <v/>
      </c>
      <c r="G30" s="197">
        <f>IF(A30="","",VLOOKUP(A30&amp;B30,K:O,5,0))</f>
        <v/>
      </c>
      <c r="H30" s="198" t="n"/>
      <c r="I30" s="198" t="n"/>
      <c r="J30" s="199" t="n"/>
      <c r="K30" s="199">
        <f>$L$23&amp;N30</f>
        <v/>
      </c>
      <c r="L30" s="199" t="n"/>
      <c r="M30" s="199" t="n"/>
      <c r="N30" s="201" t="n">
        <v>8</v>
      </c>
      <c r="O30" s="206" t="inlineStr">
        <is>
          <t>GS25 고양2센터</t>
        </is>
      </c>
      <c r="Q30" s="203" t="n"/>
    </row>
    <row r="31" ht="17.25" customFormat="1" customHeight="1" s="202">
      <c r="A31" s="192" t="n"/>
      <c r="B31" s="193" t="n"/>
      <c r="C31" s="194" t="n"/>
      <c r="D31" s="195">
        <f>IF(C31="","",VLOOKUP(C31,재고차이!A:C,2,0))</f>
        <v/>
      </c>
      <c r="E31" s="196">
        <f>IF(C31="","",VLOOKUP(C31,재고차이!A:C,3,0))</f>
        <v/>
      </c>
      <c r="F31" s="197">
        <f>IF(A31="","",VLOOKUP(A31,L:M,2,0))</f>
        <v/>
      </c>
      <c r="G31" s="197">
        <f>IF(A31="","",VLOOKUP(A31&amp;B31,K:O,5,0))</f>
        <v/>
      </c>
      <c r="H31" s="198" t="n"/>
      <c r="I31" s="198" t="n"/>
      <c r="J31" s="199" t="n"/>
      <c r="K31" s="199">
        <f>$L$23&amp;N31</f>
        <v/>
      </c>
      <c r="L31" s="199" t="n"/>
      <c r="M31" s="199" t="n"/>
      <c r="N31" s="201" t="n">
        <v>9</v>
      </c>
      <c r="O31" s="206" t="inlineStr">
        <is>
          <t>GS25 인천1센터</t>
        </is>
      </c>
      <c r="Q31" s="203" t="n"/>
    </row>
    <row r="32" ht="17.25" customFormat="1" customHeight="1" s="202">
      <c r="A32" s="192" t="n"/>
      <c r="B32" s="193" t="n"/>
      <c r="C32" s="194" t="n"/>
      <c r="D32" s="195">
        <f>IF(C32="","",VLOOKUP(C32,재고차이!A:C,2,0))</f>
        <v/>
      </c>
      <c r="E32" s="196">
        <f>IF(C32="","",VLOOKUP(C32,재고차이!A:C,3,0))</f>
        <v/>
      </c>
      <c r="F32" s="197">
        <f>IF(A32="","",VLOOKUP(A32,L:M,2,0))</f>
        <v/>
      </c>
      <c r="G32" s="197">
        <f>IF(A32="","",VLOOKUP(A32&amp;B32,K:O,5,0))</f>
        <v/>
      </c>
      <c r="H32" s="198" t="n"/>
      <c r="I32" s="198" t="n"/>
      <c r="J32" s="199" t="n"/>
      <c r="K32" s="199">
        <f>$L$23&amp;N32</f>
        <v/>
      </c>
      <c r="L32" s="199" t="n"/>
      <c r="M32" s="199" t="n"/>
      <c r="N32" s="201" t="n">
        <v>10</v>
      </c>
      <c r="O32" s="206" t="inlineStr">
        <is>
          <t>GS25 인천2센터</t>
        </is>
      </c>
      <c r="Q32" s="203" t="n"/>
    </row>
    <row r="33" ht="17.25" customFormat="1" customHeight="1" s="202">
      <c r="A33" s="192" t="n"/>
      <c r="B33" s="193" t="n"/>
      <c r="C33" s="194" t="n"/>
      <c r="D33" s="195">
        <f>IF(C33="","",VLOOKUP(C33,재고차이!A:C,2,0))</f>
        <v/>
      </c>
      <c r="E33" s="196">
        <f>IF(C33="","",VLOOKUP(C33,재고차이!A:C,3,0))</f>
        <v/>
      </c>
      <c r="F33" s="197">
        <f>IF(A33="","",VLOOKUP(A33,L:M,2,0))</f>
        <v/>
      </c>
      <c r="G33" s="197">
        <f>IF(A33="","",VLOOKUP(A33&amp;B33,K:O,5,0))</f>
        <v/>
      </c>
      <c r="H33" s="198" t="n"/>
      <c r="I33" s="198" t="n"/>
      <c r="J33" s="199" t="n"/>
      <c r="K33" s="199">
        <f>$L$23&amp;N33</f>
        <v/>
      </c>
      <c r="L33" s="199" t="n"/>
      <c r="M33" s="199" t="n"/>
      <c r="N33" s="201" t="n">
        <v>11</v>
      </c>
      <c r="O33" s="206" t="inlineStr">
        <is>
          <t>GS25 신오산1센터</t>
        </is>
      </c>
      <c r="Q33" s="203" t="n"/>
    </row>
    <row r="34" ht="17.25" customFormat="1" customHeight="1" s="202">
      <c r="A34" s="192" t="n"/>
      <c r="B34" s="193" t="n"/>
      <c r="C34" s="194" t="n"/>
      <c r="D34" s="195">
        <f>IF(C34="","",VLOOKUP(C34,재고차이!A:C,2,0))</f>
        <v/>
      </c>
      <c r="E34" s="196">
        <f>IF(C34="","",VLOOKUP(C34,재고차이!A:C,3,0))</f>
        <v/>
      </c>
      <c r="F34" s="197">
        <f>IF(A34="","",VLOOKUP(A34,L:M,2,0))</f>
        <v/>
      </c>
      <c r="G34" s="197">
        <f>IF(A34="","",VLOOKUP(A34&amp;B34,K:O,5,0))</f>
        <v/>
      </c>
      <c r="H34" s="198" t="n"/>
      <c r="I34" s="198" t="n"/>
      <c r="J34" s="199" t="n"/>
      <c r="K34" s="199">
        <f>$L$23&amp;N34</f>
        <v/>
      </c>
      <c r="L34" s="199" t="n"/>
      <c r="M34" s="199" t="n"/>
      <c r="N34" s="201" t="n">
        <v>12</v>
      </c>
      <c r="O34" s="206" t="inlineStr">
        <is>
          <t>GS25 신오산2센터</t>
        </is>
      </c>
      <c r="Q34" s="203" t="n"/>
    </row>
    <row r="35" ht="17.25" customFormat="1" customHeight="1" s="202">
      <c r="A35" s="192" t="n"/>
      <c r="B35" s="193" t="n"/>
      <c r="C35" s="194" t="n"/>
      <c r="D35" s="195">
        <f>IF(C35="","",VLOOKUP(C35,재고차이!A:C,2,0))</f>
        <v/>
      </c>
      <c r="E35" s="196">
        <f>IF(C35="","",VLOOKUP(C35,재고차이!A:C,3,0))</f>
        <v/>
      </c>
      <c r="F35" s="197">
        <f>IF(A35="","",VLOOKUP(A35,L:M,2,0))</f>
        <v/>
      </c>
      <c r="G35" s="197">
        <f>IF(A35="","",VLOOKUP(A35&amp;B35,K:O,5,0))</f>
        <v/>
      </c>
      <c r="H35" s="198" t="n"/>
      <c r="I35" s="198" t="n"/>
      <c r="J35" s="199" t="n"/>
      <c r="K35" s="199">
        <f>$L$23&amp;N35</f>
        <v/>
      </c>
      <c r="L35" s="199" t="n"/>
      <c r="M35" s="199" t="n"/>
      <c r="N35" s="201" t="n">
        <v>13</v>
      </c>
      <c r="O35" s="206" t="inlineStr">
        <is>
          <t>GS25 발안센터</t>
        </is>
      </c>
      <c r="Q35" s="203" t="n"/>
    </row>
    <row r="36" ht="17.25" customFormat="1" customHeight="1" s="202">
      <c r="A36" s="192" t="n"/>
      <c r="B36" s="193" t="n"/>
      <c r="C36" s="194" t="n"/>
      <c r="D36" s="195">
        <f>IF(C36="","",VLOOKUP(C36,재고차이!A:C,2,0))</f>
        <v/>
      </c>
      <c r="E36" s="196">
        <f>IF(C36="","",VLOOKUP(C36,재고차이!A:C,3,0))</f>
        <v/>
      </c>
      <c r="F36" s="197">
        <f>IF(A36="","",VLOOKUP(A36,L:M,2,0))</f>
        <v/>
      </c>
      <c r="G36" s="197">
        <f>IF(A36="","",VLOOKUP(A36&amp;B36,K:O,5,0))</f>
        <v/>
      </c>
      <c r="H36" s="198" t="n"/>
      <c r="I36" s="198" t="n"/>
      <c r="J36" s="199" t="n"/>
      <c r="K36" s="199">
        <f>$L$23&amp;N36</f>
        <v/>
      </c>
      <c r="L36" s="199" t="n"/>
      <c r="M36" s="199" t="n"/>
      <c r="N36" s="201" t="n">
        <v>14</v>
      </c>
      <c r="O36" s="206" t="inlineStr">
        <is>
          <t>GS25 남사 1센터</t>
        </is>
      </c>
      <c r="Q36" s="203" t="n"/>
    </row>
    <row r="37" ht="17.25" customFormat="1" customHeight="1" s="202">
      <c r="A37" s="192" t="n"/>
      <c r="B37" s="193" t="n"/>
      <c r="C37" s="194" t="n"/>
      <c r="D37" s="195">
        <f>IF(C37="","",VLOOKUP(C37,재고차이!A:C,2,0))</f>
        <v/>
      </c>
      <c r="E37" s="196">
        <f>IF(C37="","",VLOOKUP(C37,재고차이!A:C,3,0))</f>
        <v/>
      </c>
      <c r="F37" s="197">
        <f>IF(A37="","",VLOOKUP(A37,L:M,2,0))</f>
        <v/>
      </c>
      <c r="G37" s="197">
        <f>IF(A37="","",VLOOKUP(A37&amp;B37,K:O,5,0))</f>
        <v/>
      </c>
      <c r="H37" s="198" t="n"/>
      <c r="I37" s="198" t="n"/>
      <c r="J37" s="199" t="n"/>
      <c r="K37" s="199">
        <f>$L$23&amp;N37</f>
        <v/>
      </c>
      <c r="L37" s="199" t="n"/>
      <c r="M37" s="199" t="n"/>
      <c r="N37" s="201" t="n">
        <v>15</v>
      </c>
      <c r="O37" s="206" t="inlineStr">
        <is>
          <t>GS25 남사 2센터</t>
        </is>
      </c>
      <c r="Q37" s="203" t="n"/>
    </row>
    <row r="38" ht="17.25" customFormat="1" customHeight="1" s="202">
      <c r="A38" s="192" t="n"/>
      <c r="B38" s="193" t="n"/>
      <c r="C38" s="194" t="n"/>
      <c r="D38" s="195">
        <f>IF(C38="","",VLOOKUP(C38,재고차이!A:C,2,0))</f>
        <v/>
      </c>
      <c r="E38" s="196">
        <f>IF(C38="","",VLOOKUP(C38,재고차이!A:C,3,0))</f>
        <v/>
      </c>
      <c r="F38" s="197">
        <f>IF(A38="","",VLOOKUP(A38,L:M,2,0))</f>
        <v/>
      </c>
      <c r="G38" s="197">
        <f>IF(A38="","",VLOOKUP(A38&amp;B38,K:O,5,0))</f>
        <v/>
      </c>
      <c r="H38" s="198" t="n"/>
      <c r="I38" s="198" t="n"/>
      <c r="J38" s="199" t="n"/>
      <c r="K38" s="199">
        <f>$L$23&amp;N38</f>
        <v/>
      </c>
      <c r="L38" s="199" t="n"/>
      <c r="M38" s="199" t="n"/>
      <c r="N38" s="201" t="n">
        <v>16</v>
      </c>
      <c r="O38" s="206" t="inlineStr">
        <is>
          <t>GS25 김포1센터</t>
        </is>
      </c>
      <c r="Q38" s="203" t="n"/>
    </row>
    <row r="39" ht="17.25" customFormat="1" customHeight="1" s="202">
      <c r="A39" s="192" t="n"/>
      <c r="B39" s="193" t="n"/>
      <c r="C39" s="194" t="n"/>
      <c r="D39" s="195">
        <f>IF(C39="","",VLOOKUP(C39,재고차이!A:C,2,0))</f>
        <v/>
      </c>
      <c r="E39" s="196">
        <f>IF(C39="","",VLOOKUP(C39,재고차이!A:C,3,0))</f>
        <v/>
      </c>
      <c r="F39" s="197">
        <f>IF(A39="","",VLOOKUP(A39,L:M,2,0))</f>
        <v/>
      </c>
      <c r="G39" s="197">
        <f>IF(A39="","",VLOOKUP(A39&amp;B39,K:O,5,0))</f>
        <v/>
      </c>
      <c r="H39" s="198" t="n"/>
      <c r="I39" s="198" t="n"/>
      <c r="J39" s="199" t="n"/>
      <c r="K39" s="199">
        <f>$L$23&amp;N39</f>
        <v/>
      </c>
      <c r="L39" s="199" t="n"/>
      <c r="M39" s="199" t="n"/>
      <c r="N39" s="201" t="n">
        <v>17</v>
      </c>
      <c r="O39" s="199" t="inlineStr">
        <is>
          <t>GS25 김포2센터</t>
        </is>
      </c>
      <c r="Q39" s="203" t="n"/>
    </row>
    <row r="40" ht="17.25" customFormat="1" customHeight="1" s="202">
      <c r="A40" s="192" t="n"/>
      <c r="B40" s="193" t="n"/>
      <c r="C40" s="194" t="n"/>
      <c r="D40" s="195">
        <f>IF(C40="","",VLOOKUP(C40,재고차이!A:C,2,0))</f>
        <v/>
      </c>
      <c r="E40" s="196">
        <f>IF(C40="","",VLOOKUP(C40,재고차이!A:C,3,0))</f>
        <v/>
      </c>
      <c r="F40" s="197">
        <f>IF(A40="","",VLOOKUP(A40,L:M,2,0))</f>
        <v/>
      </c>
      <c r="G40" s="197">
        <f>IF(A40="","",VLOOKUP(A40&amp;B40,K:O,5,0))</f>
        <v/>
      </c>
      <c r="H40" s="198" t="n"/>
      <c r="I40" s="198" t="n"/>
      <c r="J40" s="199" t="n"/>
      <c r="K40" s="199">
        <f>$L$23&amp;N40</f>
        <v/>
      </c>
      <c r="L40" s="199" t="n"/>
      <c r="M40" s="199" t="n"/>
      <c r="N40" s="201" t="n">
        <v>18</v>
      </c>
      <c r="O40" s="206" t="inlineStr">
        <is>
          <t>GS25 고촌공산1센터</t>
        </is>
      </c>
      <c r="Q40" s="203" t="n"/>
    </row>
    <row r="41" ht="17.25" customFormat="1" customHeight="1" s="202">
      <c r="A41" s="192" t="n"/>
      <c r="B41" s="193" t="n"/>
      <c r="C41" s="194" t="n"/>
      <c r="D41" s="195">
        <f>IF(C41="","",VLOOKUP(C41,재고차이!A:C,2,0))</f>
        <v/>
      </c>
      <c r="E41" s="196">
        <f>IF(C41="","",VLOOKUP(C41,재고차이!A:C,3,0))</f>
        <v/>
      </c>
      <c r="F41" s="197">
        <f>IF(A41="","",VLOOKUP(A41,L:M,2,0))</f>
        <v/>
      </c>
      <c r="G41" s="197">
        <f>IF(A41="","",VLOOKUP(A41&amp;B41,K:O,5,0))</f>
        <v/>
      </c>
      <c r="H41" s="198" t="n"/>
      <c r="I41" s="198" t="n"/>
      <c r="J41" s="199" t="n"/>
      <c r="K41" s="199">
        <f>$L$23&amp;N41</f>
        <v/>
      </c>
      <c r="L41" s="199" t="n"/>
      <c r="M41" s="199" t="n"/>
      <c r="N41" s="201" t="n">
        <v>19</v>
      </c>
      <c r="O41" s="206" t="inlineStr">
        <is>
          <t>GS25 고촌공산2센터</t>
        </is>
      </c>
      <c r="Q41" s="203" t="n"/>
    </row>
    <row r="42" ht="17.25" customFormat="1" customHeight="1" s="202">
      <c r="A42" s="192" t="n"/>
      <c r="B42" s="193" t="n"/>
      <c r="C42" s="194" t="n"/>
      <c r="D42" s="195">
        <f>IF(C42="","",VLOOKUP(C42,재고차이!A:C,2,0))</f>
        <v/>
      </c>
      <c r="E42" s="196">
        <f>IF(C42="","",VLOOKUP(C42,재고차이!A:C,3,0))</f>
        <v/>
      </c>
      <c r="F42" s="197">
        <f>IF(A42="","",VLOOKUP(A42,L:M,2,0))</f>
        <v/>
      </c>
      <c r="G42" s="197">
        <f>IF(A42="","",VLOOKUP(A42&amp;B42,K:O,5,0))</f>
        <v/>
      </c>
      <c r="H42" s="198" t="n"/>
      <c r="I42" s="198" t="n"/>
      <c r="J42" s="199" t="n"/>
      <c r="K42" s="199">
        <f>$L$23&amp;N42</f>
        <v/>
      </c>
      <c r="L42" s="199" t="n"/>
      <c r="M42" s="199" t="n"/>
      <c r="N42" s="201" t="n">
        <v>20</v>
      </c>
      <c r="O42" s="206" t="inlineStr">
        <is>
          <t>GS25 강릉공산센터</t>
        </is>
      </c>
      <c r="Q42" s="203" t="n"/>
    </row>
    <row r="43" ht="17.25" customFormat="1" customHeight="1" s="202">
      <c r="A43" s="192" t="n"/>
      <c r="B43" s="193" t="n"/>
      <c r="C43" s="194" t="n"/>
      <c r="D43" s="195">
        <f>IF(C43="","",VLOOKUP(C43,재고차이!A:C,2,0))</f>
        <v/>
      </c>
      <c r="E43" s="196">
        <f>IF(C43="","",VLOOKUP(C43,재고차이!A:C,3,0))</f>
        <v/>
      </c>
      <c r="F43" s="197">
        <f>IF(A43="","",VLOOKUP(A43,L:M,2,0))</f>
        <v/>
      </c>
      <c r="G43" s="197">
        <f>IF(A43="","",VLOOKUP(A43&amp;B43,K:O,5,0))</f>
        <v/>
      </c>
      <c r="H43" s="198" t="n"/>
      <c r="I43" s="198" t="n"/>
      <c r="J43" s="199" t="n"/>
      <c r="K43" s="199">
        <f>$L$23&amp;N43</f>
        <v/>
      </c>
      <c r="L43" s="199" t="n"/>
      <c r="M43" s="199" t="n"/>
      <c r="N43" s="201" t="n">
        <v>21</v>
      </c>
      <c r="O43" s="206" t="inlineStr">
        <is>
          <t>GS25 원주센터</t>
        </is>
      </c>
      <c r="Q43" s="203" t="n"/>
    </row>
    <row r="44" ht="17.25" customFormat="1" customHeight="1" s="202">
      <c r="A44" s="192" t="n"/>
      <c r="B44" s="193" t="n"/>
      <c r="C44" s="194" t="n"/>
      <c r="D44" s="195">
        <f>IF(C44="","",VLOOKUP(C44,재고차이!A:C,2,0))</f>
        <v/>
      </c>
      <c r="E44" s="196">
        <f>IF(C44="","",VLOOKUP(C44,재고차이!A:C,3,0))</f>
        <v/>
      </c>
      <c r="F44" s="197">
        <f>IF(A44="","",VLOOKUP(A44,L:M,2,0))</f>
        <v/>
      </c>
      <c r="G44" s="197">
        <f>IF(A44="","",VLOOKUP(A44&amp;B44,K:O,5,0))</f>
        <v/>
      </c>
      <c r="H44" s="198" t="n"/>
      <c r="I44" s="198" t="n"/>
      <c r="J44" s="199" t="n"/>
      <c r="K44" s="199">
        <f>$L$23&amp;N44</f>
        <v/>
      </c>
      <c r="L44" s="199" t="n"/>
      <c r="M44" s="199" t="n"/>
      <c r="N44" s="201" t="n">
        <v>22</v>
      </c>
      <c r="O44" s="206" t="inlineStr">
        <is>
          <t>GS25 이천(덕평)</t>
        </is>
      </c>
      <c r="Q44" s="203" t="n"/>
    </row>
    <row r="45" ht="17.25" customFormat="1" customHeight="1" s="202">
      <c r="A45" s="192" t="n"/>
      <c r="B45" s="193" t="n"/>
      <c r="C45" s="194" t="n"/>
      <c r="D45" s="195">
        <f>IF(C45="","",VLOOKUP(C45,재고차이!A:C,2,0))</f>
        <v/>
      </c>
      <c r="E45" s="196">
        <f>IF(C45="","",VLOOKUP(C45,재고차이!A:C,3,0))</f>
        <v/>
      </c>
      <c r="F45" s="197">
        <f>IF(A45="","",VLOOKUP(A45,L:M,2,0))</f>
        <v/>
      </c>
      <c r="G45" s="197">
        <f>IF(A45="","",VLOOKUP(A45&amp;B45,K:O,5,0))</f>
        <v/>
      </c>
      <c r="H45" s="198" t="n"/>
      <c r="I45" s="198" t="n"/>
      <c r="J45" s="199" t="n"/>
      <c r="K45" s="199">
        <f>$L$23&amp;N45</f>
        <v/>
      </c>
      <c r="L45" s="199" t="n"/>
      <c r="M45" s="199" t="n"/>
      <c r="N45" s="201" t="n">
        <v>23</v>
      </c>
      <c r="O45" s="206" t="inlineStr">
        <is>
          <t>GS25 이천(이천)</t>
        </is>
      </c>
      <c r="Q45" s="203" t="n"/>
    </row>
    <row r="46" ht="17.25" customFormat="1" customHeight="1" s="202">
      <c r="A46" s="192" t="n"/>
      <c r="B46" s="193" t="n"/>
      <c r="C46" s="194" t="n"/>
      <c r="D46" s="195">
        <f>IF(C46="","",VLOOKUP(C46,재고차이!A:C,2,0))</f>
        <v/>
      </c>
      <c r="E46" s="196">
        <f>IF(C46="","",VLOOKUP(C46,재고차이!A:C,3,0))</f>
        <v/>
      </c>
      <c r="F46" s="197">
        <f>IF(A46="","",VLOOKUP(A46,L:M,2,0))</f>
        <v/>
      </c>
      <c r="G46" s="197">
        <f>IF(A46="","",VLOOKUP(A46&amp;B46,K:O,5,0))</f>
        <v/>
      </c>
      <c r="H46" s="198" t="n"/>
      <c r="I46" s="198" t="n"/>
      <c r="J46" s="199" t="n"/>
      <c r="K46" s="199">
        <f>$L$23&amp;N46</f>
        <v/>
      </c>
      <c r="L46" s="199" t="n"/>
      <c r="M46" s="199" t="n"/>
      <c r="N46" s="201" t="n">
        <v>24</v>
      </c>
      <c r="O46" s="215" t="inlineStr">
        <is>
          <t>이마트24 용인</t>
        </is>
      </c>
      <c r="Q46" s="203" t="n"/>
    </row>
    <row r="47" ht="17.25" customFormat="1" customHeight="1" s="202">
      <c r="A47" s="192" t="n"/>
      <c r="B47" s="193" t="n"/>
      <c r="C47" s="194" t="n"/>
      <c r="D47" s="195">
        <f>IF(C47="","",VLOOKUP(C47,재고차이!A:C,2,0))</f>
        <v/>
      </c>
      <c r="E47" s="196">
        <f>IF(C47="","",VLOOKUP(C47,재고차이!A:C,3,0))</f>
        <v/>
      </c>
      <c r="F47" s="197">
        <f>IF(A47="","",VLOOKUP(A47,L:M,2,0))</f>
        <v/>
      </c>
      <c r="G47" s="197">
        <f>IF(A47="","",VLOOKUP(A47&amp;B47,K:O,5,0))</f>
        <v/>
      </c>
      <c r="H47" s="198" t="n"/>
      <c r="I47" s="198" t="n"/>
      <c r="J47" s="199" t="n"/>
      <c r="K47" s="199">
        <f>$L$23&amp;N47</f>
        <v/>
      </c>
      <c r="L47" s="199" t="n"/>
      <c r="M47" s="199" t="n"/>
      <c r="N47" s="201" t="n">
        <v>25</v>
      </c>
      <c r="O47" s="215" t="inlineStr">
        <is>
          <t>이마트24 청라</t>
        </is>
      </c>
      <c r="Q47" s="203" t="n"/>
    </row>
    <row r="48" ht="17.25" customFormat="1" customHeight="1" s="202">
      <c r="A48" s="192" t="n"/>
      <c r="B48" s="193" t="n"/>
      <c r="C48" s="194" t="n"/>
      <c r="D48" s="195">
        <f>IF(C48="","",VLOOKUP(C48,재고차이!A:C,2,0))</f>
        <v/>
      </c>
      <c r="E48" s="196">
        <f>IF(C48="","",VLOOKUP(C48,재고차이!A:C,3,0))</f>
        <v/>
      </c>
      <c r="F48" s="197">
        <f>IF(A48="","",VLOOKUP(A48,L:M,2,0))</f>
        <v/>
      </c>
      <c r="G48" s="197">
        <f>IF(A48="","",VLOOKUP(A48&amp;B48,K:O,5,0))</f>
        <v/>
      </c>
      <c r="H48" s="198" t="n"/>
      <c r="I48" s="198" t="n"/>
      <c r="J48" s="199" t="n"/>
      <c r="K48" s="199">
        <f>$L$23&amp;N48</f>
        <v/>
      </c>
      <c r="L48" s="199" t="n"/>
      <c r="M48" s="199" t="n"/>
      <c r="N48" s="201" t="n">
        <v>26</v>
      </c>
      <c r="O48" s="206" t="inlineStr">
        <is>
          <t>이마트24 화성</t>
        </is>
      </c>
      <c r="Q48" s="203" t="n"/>
    </row>
    <row r="49" ht="17.25" customFormat="1" customHeight="1" s="202">
      <c r="A49" s="192" t="n"/>
      <c r="B49" s="193" t="n"/>
      <c r="C49" s="194" t="n"/>
      <c r="D49" s="195">
        <f>IF(C49="","",VLOOKUP(C49,재고차이!A:C,2,0))</f>
        <v/>
      </c>
      <c r="E49" s="196">
        <f>IF(C49="","",VLOOKUP(C49,재고차이!A:C,3,0))</f>
        <v/>
      </c>
      <c r="F49" s="197">
        <f>IF(A49="","",VLOOKUP(A49,L:M,2,0))</f>
        <v/>
      </c>
      <c r="G49" s="197">
        <f>IF(A49="","",VLOOKUP(A49&amp;B49,K:O,5,0))</f>
        <v/>
      </c>
      <c r="H49" s="198" t="n"/>
      <c r="I49" s="198">
        <f>SUM(I9:I48)</f>
        <v/>
      </c>
      <c r="J49" s="199" t="n"/>
      <c r="K49" s="199">
        <f>$L$23&amp;N49</f>
        <v/>
      </c>
      <c r="L49" s="199" t="n"/>
      <c r="N49" s="201" t="n">
        <v>27</v>
      </c>
      <c r="O49" s="50" t="inlineStr">
        <is>
          <t>BGF 강화지점</t>
        </is>
      </c>
      <c r="Q49" s="203" t="n"/>
    </row>
    <row r="50">
      <c r="C50" s="41" t="n"/>
      <c r="D50" s="41" t="n"/>
      <c r="E50" s="41" t="n"/>
      <c r="F50" s="41" t="n"/>
      <c r="G50" s="41" t="n"/>
      <c r="H50" s="41" t="n"/>
      <c r="I50" s="41" t="n"/>
      <c r="J50" s="41" t="n"/>
      <c r="K50" s="41">
        <f>$L$23&amp;N50</f>
        <v/>
      </c>
      <c r="L50" s="41" t="n"/>
      <c r="N50" s="201" t="n">
        <v>28</v>
      </c>
      <c r="O50" s="50" t="inlineStr">
        <is>
          <t>BGF 로지스 양주</t>
        </is>
      </c>
    </row>
    <row r="51">
      <c r="C51" s="47" t="n"/>
      <c r="D51" s="47" t="n"/>
      <c r="E51" s="48" t="n"/>
      <c r="F51" s="48" t="inlineStr">
        <is>
          <t>수량</t>
        </is>
      </c>
      <c r="G51" s="48" t="n"/>
      <c r="H51" s="48" t="n"/>
      <c r="I51" s="48" t="n"/>
      <c r="J51" s="46" t="inlineStr">
        <is>
          <t>  </t>
        </is>
      </c>
      <c r="K51" s="41">
        <f>$L$23&amp;N51</f>
        <v/>
      </c>
      <c r="L51" s="41" t="n"/>
      <c r="N51" s="201" t="n">
        <v>29</v>
      </c>
      <c r="O51" s="206" t="inlineStr">
        <is>
          <t>이마트24 양지</t>
        </is>
      </c>
    </row>
    <row r="52">
      <c r="C52" s="49" t="inlineStr">
        <is>
          <t>박 혜 원  (인)</t>
        </is>
      </c>
      <c r="D52" s="49" t="n"/>
      <c r="E52" s="50" t="n"/>
      <c r="F52" s="51">
        <f>SUMIF(G9:G49,G52,I9:I49)</f>
        <v/>
      </c>
      <c r="G52" s="50" t="inlineStr">
        <is>
          <t>BF(로드믹싱 작업파손)</t>
        </is>
      </c>
      <c r="H52" s="50" t="n"/>
      <c r="I52" s="48" t="n"/>
      <c r="K52" s="41">
        <f>$L$23&amp;N52</f>
        <v/>
      </c>
      <c r="L52" s="41" t="n"/>
      <c r="N52" s="201" t="n">
        <v>30</v>
      </c>
      <c r="O52" s="206" t="inlineStr">
        <is>
          <t>이마트24 원주</t>
        </is>
      </c>
    </row>
    <row r="53">
      <c r="C53" s="52" t="inlineStr">
        <is>
          <t>작성자</t>
        </is>
      </c>
      <c r="D53" s="52" t="n"/>
      <c r="E53" s="53" t="inlineStr">
        <is>
          <t>(로드메이커)</t>
        </is>
      </c>
      <c r="F53" s="49" t="n"/>
      <c r="G53" s="54" t="n"/>
      <c r="H53" s="54" t="n"/>
      <c r="I53" s="289" t="n"/>
      <c r="K53" s="41">
        <f>$L$23&amp;N53</f>
        <v/>
      </c>
      <c r="L53" s="41" t="n"/>
      <c r="N53" s="201" t="n">
        <v>31</v>
      </c>
      <c r="O53" s="206" t="inlineStr">
        <is>
          <t>이마트24 포천</t>
        </is>
      </c>
    </row>
    <row r="54" ht="20.25" customHeight="1" s="237">
      <c r="C54" s="47" t="n"/>
      <c r="D54" s="47" t="n"/>
      <c r="E54" s="49" t="n"/>
      <c r="F54" s="49" t="n"/>
      <c r="G54" s="54" t="n"/>
      <c r="H54" s="54" t="n"/>
      <c r="I54" s="289" t="n"/>
      <c r="K54" s="41">
        <f>$L$23&amp;N54</f>
        <v/>
      </c>
      <c r="L54" s="41" t="n"/>
      <c r="M54" s="97" t="n"/>
      <c r="N54" s="201" t="n">
        <v>32</v>
      </c>
      <c r="O54" s="206" t="inlineStr">
        <is>
          <t>코리아세븐 성남</t>
        </is>
      </c>
    </row>
    <row r="55" ht="20.25" customHeight="1" s="237">
      <c r="C55" s="49" t="inlineStr">
        <is>
          <t>김 재 익  (인)</t>
        </is>
      </c>
      <c r="D55" s="49" t="n"/>
      <c r="E55" s="49" t="n"/>
      <c r="F55" s="51">
        <f>SUMIF(G9:G49,G55,I9:I49)</f>
        <v/>
      </c>
      <c r="G55" s="49" t="inlineStr">
        <is>
          <t>BW(지게차 작업파손)</t>
        </is>
      </c>
      <c r="H55" s="49" t="n"/>
      <c r="I55" s="289" t="n"/>
      <c r="K55" s="41">
        <f>$L$23&amp;N55</f>
        <v/>
      </c>
      <c r="L55" s="41" t="n"/>
      <c r="M55" s="97" t="n"/>
      <c r="N55" s="201" t="n">
        <v>33</v>
      </c>
      <c r="O55" s="206" t="inlineStr">
        <is>
          <t>코리아세븐 인천</t>
        </is>
      </c>
    </row>
    <row r="56" ht="20.25" customHeight="1" s="237">
      <c r="C56" s="52" t="inlineStr">
        <is>
          <t>작성자</t>
        </is>
      </c>
      <c r="D56" s="52" t="n"/>
      <c r="E56" s="53" t="inlineStr">
        <is>
          <t>(담당자)</t>
        </is>
      </c>
      <c r="F56" s="49" t="n"/>
      <c r="G56" s="54" t="n"/>
      <c r="H56" s="54" t="n"/>
      <c r="I56" s="289" t="n"/>
      <c r="K56" s="41">
        <f>$L$23&amp;N56</f>
        <v/>
      </c>
      <c r="L56" s="41" t="n"/>
      <c r="M56" s="97" t="n"/>
      <c r="N56" s="201" t="n">
        <v>34</v>
      </c>
      <c r="O56" s="206" t="inlineStr">
        <is>
          <t>코리아세븐 양주</t>
        </is>
      </c>
    </row>
    <row r="57" ht="20.25" customHeight="1" s="237">
      <c r="C57" s="47" t="n"/>
      <c r="D57" s="47" t="n"/>
      <c r="E57" s="49" t="n"/>
      <c r="F57" s="49" t="n"/>
      <c r="G57" s="54" t="n"/>
      <c r="H57" s="54" t="n"/>
      <c r="I57" s="289" t="n"/>
      <c r="K57" s="41">
        <f>$L$23&amp;N57</f>
        <v/>
      </c>
      <c r="L57" s="41" t="n"/>
      <c r="M57" s="97" t="n"/>
      <c r="N57" s="201" t="n">
        <v>35</v>
      </c>
      <c r="O57" s="206" t="inlineStr">
        <is>
          <t>코리아세븐 원주</t>
        </is>
      </c>
    </row>
    <row r="58">
      <c r="C58" s="49" t="inlineStr">
        <is>
          <t>원 종 혁  (인)</t>
        </is>
      </c>
      <c r="D58" s="49" t="n"/>
      <c r="E58" s="49" t="n"/>
      <c r="F58" s="51">
        <f>I49-F52-F55</f>
        <v/>
      </c>
      <c r="G58" s="49" t="inlineStr">
        <is>
          <t>재고담당</t>
        </is>
      </c>
      <c r="H58" s="49" t="n"/>
      <c r="I58" s="289" t="n"/>
      <c r="K58" s="41">
        <f>$L$23&amp;N58</f>
        <v/>
      </c>
      <c r="N58" s="201" t="n">
        <v>36</v>
      </c>
      <c r="O58" s="206" t="inlineStr">
        <is>
          <t>코리아세븐 서이천</t>
        </is>
      </c>
    </row>
    <row r="59">
      <c r="C59" s="52" t="inlineStr">
        <is>
          <t>작성자</t>
        </is>
      </c>
      <c r="D59" s="52" t="n"/>
      <c r="E59" s="53" t="inlineStr">
        <is>
          <t>(담당체커)</t>
        </is>
      </c>
      <c r="F59" s="49" t="n"/>
      <c r="G59" s="54" t="n"/>
      <c r="H59" s="54" t="n"/>
      <c r="I59" s="289" t="n"/>
      <c r="K59" s="41">
        <f>$L$23&amp;N59</f>
        <v/>
      </c>
      <c r="N59" s="201" t="n">
        <v>37</v>
      </c>
      <c r="O59" s="206" t="inlineStr">
        <is>
          <t>코리아세븐 구성</t>
        </is>
      </c>
    </row>
    <row r="60">
      <c r="C60" s="50" t="n"/>
      <c r="D60" s="50" t="n"/>
      <c r="E60" s="49" t="n"/>
      <c r="F60" s="49" t="n"/>
      <c r="G60" s="54" t="n"/>
      <c r="H60" s="54" t="n"/>
      <c r="I60" s="289" t="n"/>
      <c r="K60" s="41">
        <f>$L$23&amp;N60</f>
        <v/>
      </c>
      <c r="N60" s="201" t="n">
        <v>38</v>
      </c>
      <c r="O60" s="206" t="inlineStr">
        <is>
          <t>코리아세븐 의왕</t>
        </is>
      </c>
    </row>
    <row r="61" ht="20.25" customFormat="1" customHeight="1" s="97">
      <c r="C61" s="96" t="inlineStr">
        <is>
          <t xml:space="preserve">※ 체커란은 물류 담당 체커가 체커함. </t>
        </is>
      </c>
      <c r="E61" s="96" t="n"/>
      <c r="F61" s="96" t="n"/>
      <c r="K61" s="41">
        <f>$L$23&amp;N61</f>
        <v/>
      </c>
      <c r="N61" s="201" t="n">
        <v>39</v>
      </c>
      <c r="O61" s="206" t="inlineStr">
        <is>
          <t>코리아세븐 인천B</t>
        </is>
      </c>
      <c r="Q61" s="98" t="n"/>
    </row>
    <row r="62" ht="20.25" customFormat="1" customHeight="1" s="97">
      <c r="C62" s="96" t="inlineStr">
        <is>
          <t>※ 파손유발자가 보고서 작성</t>
        </is>
      </c>
      <c r="E62" s="96" t="n"/>
      <c r="F62" s="96" t="n"/>
      <c r="K62" s="41">
        <f>$L$23&amp;N62</f>
        <v/>
      </c>
      <c r="N62" s="201" t="n">
        <v>40</v>
      </c>
      <c r="O62" s="206" t="inlineStr">
        <is>
          <t>코리아세븐 천안</t>
        </is>
      </c>
      <c r="Q62" s="98" t="n"/>
    </row>
    <row r="63" ht="20.25" customFormat="1" customHeight="1" s="97">
      <c r="C63" s="96" t="inlineStr">
        <is>
          <t>※ 이송파손은 메가센타 체커가 확인(상호 서명)</t>
        </is>
      </c>
      <c r="E63" s="96" t="n"/>
      <c r="F63" s="96" t="n"/>
      <c r="K63" s="41">
        <f>$L$23&amp;N63</f>
        <v/>
      </c>
      <c r="N63" s="201" t="n">
        <v>41</v>
      </c>
      <c r="O63" s="206" t="inlineStr">
        <is>
          <t>BGF 로지스 남사</t>
        </is>
      </c>
      <c r="Q63" s="98" t="n"/>
    </row>
    <row r="64" ht="20.25" customFormat="1" customHeight="1" s="97">
      <c r="C64" s="96" t="inlineStr">
        <is>
          <t xml:space="preserve">※ 루트파손은 전결규정(5C/S)초과시 지점장 결재 서명 </t>
        </is>
      </c>
      <c r="E64" s="96" t="n"/>
      <c r="F64" s="99" t="n"/>
      <c r="K64" s="41">
        <f>$L$23&amp;N64</f>
        <v/>
      </c>
      <c r="N64" s="201" t="n">
        <v>42</v>
      </c>
      <c r="O64" s="206" t="inlineStr">
        <is>
          <t>BGF 로지스 인천</t>
        </is>
      </c>
      <c r="Q64" s="98" t="n"/>
    </row>
    <row r="65">
      <c r="K65" s="41">
        <f>$L$23&amp;N65</f>
        <v/>
      </c>
      <c r="N65" s="201" t="n">
        <v>43</v>
      </c>
      <c r="O65" s="206" t="inlineStr">
        <is>
          <t>BGF 화인로지텍</t>
        </is>
      </c>
    </row>
    <row r="66">
      <c r="K66" s="41">
        <f>$L$23&amp;N66</f>
        <v/>
      </c>
      <c r="N66" s="201" t="n">
        <v>44</v>
      </c>
      <c r="O66" s="206" t="inlineStr">
        <is>
          <t>BGF 로지스 남양주</t>
        </is>
      </c>
    </row>
    <row r="67">
      <c r="K67" s="41">
        <f>$L$23&amp;N67</f>
        <v/>
      </c>
      <c r="N67" s="201" t="n">
        <v>45</v>
      </c>
      <c r="O67" s="206" t="inlineStr">
        <is>
          <t>BGF 로지스 안성</t>
        </is>
      </c>
    </row>
    <row r="68">
      <c r="K68" s="41">
        <f>$L$23&amp;N68</f>
        <v/>
      </c>
      <c r="N68" s="201" t="n">
        <v>46</v>
      </c>
      <c r="O68" s="199" t="inlineStr">
        <is>
          <t>BGF 로지스 김포</t>
        </is>
      </c>
    </row>
    <row r="69">
      <c r="K69" s="41">
        <f>$L$23&amp;N69</f>
        <v/>
      </c>
      <c r="N69" s="201" t="n">
        <v>47</v>
      </c>
      <c r="O69" s="206" t="inlineStr">
        <is>
          <t>BGF 동부로지스</t>
        </is>
      </c>
    </row>
    <row r="70">
      <c r="K70" s="41">
        <f>$L$23&amp;N70</f>
        <v/>
      </c>
      <c r="N70" s="201" t="n">
        <v>48</v>
      </c>
      <c r="O70" s="206" t="inlineStr">
        <is>
          <t>BGF 로지스 중부</t>
        </is>
      </c>
    </row>
    <row r="71">
      <c r="K71" s="41">
        <f>$L$23&amp;N71</f>
        <v/>
      </c>
      <c r="N71" s="201" t="n">
        <v>49</v>
      </c>
      <c r="O71" s="206" t="inlineStr">
        <is>
          <t>BGF 로지스 부천</t>
        </is>
      </c>
    </row>
    <row r="72">
      <c r="K72" s="41">
        <f>$L$23&amp;N72</f>
        <v/>
      </c>
      <c r="N72" s="201" t="n">
        <v>50</v>
      </c>
      <c r="O72" s="206" t="inlineStr">
        <is>
          <t>BGF 로지스 광주</t>
        </is>
      </c>
    </row>
    <row r="73">
      <c r="K73" s="41">
        <f>$L$23&amp;N73</f>
        <v/>
      </c>
      <c r="N73" s="201" t="n">
        <v>51</v>
      </c>
      <c r="O73" s="206" t="inlineStr">
        <is>
          <t>BGF 로지스 아산</t>
        </is>
      </c>
    </row>
    <row r="74">
      <c r="K74" s="41">
        <f>$L$23&amp;N74</f>
        <v/>
      </c>
      <c r="N74" s="201" t="n">
        <v>52</v>
      </c>
      <c r="O74" s="206" t="inlineStr">
        <is>
          <t>BGF 로지스 양주</t>
        </is>
      </c>
    </row>
    <row r="75">
      <c r="K75" s="41">
        <f>$L$23&amp;N75</f>
        <v/>
      </c>
      <c r="N75" s="201" t="n">
        <v>53</v>
      </c>
      <c r="O75" s="215" t="inlineStr">
        <is>
          <t>BGF 강화지점</t>
        </is>
      </c>
    </row>
    <row r="76">
      <c r="K76" s="41">
        <f>$L$23&amp;N76</f>
        <v/>
      </c>
      <c r="N76" s="201" t="n">
        <v>54</v>
      </c>
      <c r="O76" s="215" t="inlineStr">
        <is>
          <t>BGF 로지스 강릉</t>
        </is>
      </c>
    </row>
    <row r="77">
      <c r="K77" s="41">
        <f>$L$23&amp;N77</f>
        <v/>
      </c>
      <c r="N77" s="201" t="n">
        <v>55</v>
      </c>
      <c r="O77" s="50" t="inlineStr">
        <is>
          <t>BGF 로지스 청라</t>
        </is>
      </c>
    </row>
    <row r="78">
      <c r="K78" s="41">
        <f>$L$23&amp;N78</f>
        <v/>
      </c>
      <c r="N78" s="201" t="n">
        <v>56</v>
      </c>
      <c r="O78" s="206" t="inlineStr">
        <is>
          <t>BGF 로지스 인천</t>
        </is>
      </c>
    </row>
    <row r="79">
      <c r="K79" s="41">
        <f>$L$23&amp;N79</f>
        <v/>
      </c>
      <c r="N79" s="201" t="n">
        <v>57</v>
      </c>
      <c r="O79" s="50" t="inlineStr">
        <is>
          <t>BGF 로지스 남사</t>
        </is>
      </c>
    </row>
    <row r="80">
      <c r="K80" s="41">
        <f>$L$23&amp;N80</f>
        <v/>
      </c>
      <c r="N80" s="201" t="n">
        <v>58</v>
      </c>
      <c r="O80" s="50" t="inlineStr">
        <is>
          <t>BGF 로지스 곤지암</t>
        </is>
      </c>
    </row>
    <row r="81">
      <c r="K81" s="41">
        <f>$L$23&amp;N81</f>
        <v/>
      </c>
      <c r="N81" s="201" t="n">
        <v>59</v>
      </c>
      <c r="O81" s="206" t="inlineStr">
        <is>
          <t>BGF 로지스 서인천</t>
        </is>
      </c>
    </row>
    <row r="82">
      <c r="K82" s="41">
        <f>$L$23&amp;N82</f>
        <v/>
      </c>
    </row>
  </sheetData>
  <mergeCells count="2">
    <mergeCell ref="D6:E6"/>
    <mergeCell ref="Q8:R8"/>
  </mergeCells>
  <conditionalFormatting sqref="I53:I60">
    <cfRule type="cellIs" priority="1" operator="notEqual" dxfId="0">
      <formula>0</formula>
    </cfRule>
  </conditionalFormatting>
  <pageMargins left="0.1968503937007874" right="0" top="0.7874015748031497" bottom="0" header="0.3149606299212598" footer="0.3149606299212598"/>
  <pageSetup orientation="portrait" paperSize="9" scale="63" cellComments="asDisplayed"/>
</worksheet>
</file>

<file path=xl/worksheets/sheet9.xml><?xml version="1.0" encoding="utf-8"?>
<worksheet xmlns="http://schemas.openxmlformats.org/spreadsheetml/2006/main">
  <sheetPr codeName="Sheet2">
    <outlinePr summaryBelow="1" summaryRight="1"/>
    <pageSetUpPr fitToPage="1"/>
  </sheetPr>
  <dimension ref="A1:S44"/>
  <sheetViews>
    <sheetView showGridLines="0" showZeros="0" topLeftCell="A13" zoomScale="80" zoomScaleNormal="80" workbookViewId="0">
      <selection activeCell="H39" sqref="H39"/>
    </sheetView>
  </sheetViews>
  <sheetFormatPr baseColWidth="8" defaultRowHeight="16.5"/>
  <cols>
    <col width="3.875" customWidth="1" style="37" min="1" max="1"/>
    <col width="4.25" customWidth="1" style="37" min="2" max="2"/>
    <col width="11.75" customWidth="1" style="37" min="3" max="3"/>
    <col width="11.125" customWidth="1" style="37" min="4" max="4"/>
    <col width="43.375" customWidth="1" style="37" min="5" max="5"/>
    <col width="18.875" customWidth="1" style="37" min="6" max="6"/>
    <col width="25.625" customWidth="1" style="37" min="7" max="8"/>
    <col width="10.5" bestFit="1" customWidth="1" style="37" min="9" max="9"/>
    <col width="1.625" customWidth="1" style="37" min="10" max="10"/>
    <col hidden="1" width="5.125" customWidth="1" style="37" min="11" max="11"/>
    <col width="4.625" bestFit="1" customWidth="1" style="37" min="12" max="12"/>
    <col width="15.25" customWidth="1" style="37" min="13" max="13"/>
    <col width="4.625" bestFit="1" customWidth="1" style="37" min="14" max="14"/>
    <col width="24.5" bestFit="1" customWidth="1" style="37" min="15" max="15"/>
    <col width="2.875" customWidth="1" style="37" min="16" max="16"/>
    <col width="15" customWidth="1" style="40" min="17" max="17"/>
    <col width="9" customWidth="1" style="37" min="18" max="16384"/>
  </cols>
  <sheetData>
    <row r="1" ht="51.75" customHeight="1" s="237">
      <c r="C1" s="38" t="inlineStr">
        <is>
          <t xml:space="preserve">      코카-콜라 음료 주식회사 </t>
        </is>
      </c>
      <c r="D1" s="38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</row>
    <row r="2" ht="9.75" customHeight="1" s="237">
      <c r="C2" s="41" t="n"/>
      <c r="D2" s="41" t="n"/>
      <c r="E2" s="41" t="n"/>
      <c r="F2" s="41" t="n"/>
      <c r="G2" s="41" t="n"/>
      <c r="H2" s="41" t="n"/>
      <c r="I2" s="41" t="n"/>
      <c r="J2" s="41" t="n"/>
      <c r="K2" s="41" t="n"/>
      <c r="L2" s="41" t="n"/>
      <c r="M2" s="41" t="n"/>
      <c r="N2" s="41" t="n"/>
      <c r="O2" s="41" t="n"/>
      <c r="P2" s="41" t="n"/>
    </row>
    <row r="3" ht="22.5" customHeight="1" s="237">
      <c r="C3" s="42" t="inlineStr">
        <is>
          <t xml:space="preserve">               파손품 확인 보고서 </t>
        </is>
      </c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</row>
    <row r="4">
      <c r="C4" s="56" t="n"/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</row>
    <row r="5">
      <c r="C5" s="16" t="inlineStr">
        <is>
          <t xml:space="preserve">물류/지점명 :    </t>
        </is>
      </c>
      <c r="D5" s="57" t="inlineStr">
        <is>
          <t>본두리 편의점</t>
        </is>
      </c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  <c r="N5" s="41" t="n"/>
      <c r="O5" s="41" t="n"/>
      <c r="P5" s="41" t="n"/>
    </row>
    <row r="6">
      <c r="C6" s="43" t="inlineStr">
        <is>
          <t xml:space="preserve">일자 (Date)    :                    </t>
        </is>
      </c>
      <c r="D6" s="285">
        <f>파손품!D6</f>
        <v/>
      </c>
      <c r="E6" s="286" t="n"/>
      <c r="F6" s="287" t="n"/>
      <c r="G6" s="288" t="n"/>
      <c r="H6" s="288" t="n"/>
      <c r="I6" s="41" t="n"/>
      <c r="J6" s="41" t="n"/>
      <c r="K6" s="41" t="n"/>
      <c r="L6" s="41" t="n"/>
      <c r="M6" s="41" t="n"/>
      <c r="N6" s="41" t="n"/>
      <c r="O6" s="41" t="n"/>
      <c r="P6" s="41" t="n"/>
    </row>
    <row r="7" ht="4.5" customHeight="1" s="237">
      <c r="C7" s="41" t="n"/>
      <c r="D7" s="41" t="n"/>
      <c r="E7" s="41" t="n"/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</row>
    <row r="8" ht="23.25" customHeight="1" s="237">
      <c r="A8" s="111" t="inlineStr">
        <is>
          <t>①</t>
        </is>
      </c>
      <c r="B8" s="111" t="inlineStr">
        <is>
          <t>②</t>
        </is>
      </c>
      <c r="C8" s="112" t="inlineStr">
        <is>
          <t>구코드</t>
        </is>
      </c>
      <c r="D8" s="112" t="inlineStr">
        <is>
          <t>SAP코드</t>
        </is>
      </c>
      <c r="E8" s="112" t="inlineStr">
        <is>
          <t>제품명</t>
        </is>
      </c>
      <c r="F8" s="112" t="inlineStr">
        <is>
          <t>1.파손구분</t>
        </is>
      </c>
      <c r="G8" s="112" t="inlineStr">
        <is>
          <t>2.발생원인/편의점교환물류</t>
        </is>
      </c>
      <c r="H8" s="112" t="inlineStr">
        <is>
          <t>3.처리내역(편의점파손교환)</t>
        </is>
      </c>
      <c r="I8" s="112" t="n"/>
      <c r="J8" s="41" t="n"/>
      <c r="K8" s="41" t="inlineStr">
        <is>
          <t>코드</t>
        </is>
      </c>
      <c r="L8" s="111" t="inlineStr">
        <is>
          <t>①</t>
        </is>
      </c>
      <c r="M8" s="16" t="inlineStr">
        <is>
          <t>1.파손구분</t>
        </is>
      </c>
      <c r="N8" s="111" t="inlineStr">
        <is>
          <t>②</t>
        </is>
      </c>
      <c r="O8" s="16" t="inlineStr">
        <is>
          <t>2.발생원인/편의점교환물류</t>
        </is>
      </c>
      <c r="P8" s="41" t="n"/>
      <c r="Q8" s="234" t="n"/>
    </row>
    <row r="9">
      <c r="A9" s="95" t="n"/>
      <c r="B9" s="94" t="n"/>
      <c r="C9" s="24" t="n"/>
      <c r="D9" s="108">
        <f>IF(C9="","",VLOOKUP(C9,재고차이!A:C,2,0))</f>
        <v/>
      </c>
      <c r="E9" s="109">
        <f>IF(C9="","",VLOOKUP(C9,재고차이!A:C,3,0))</f>
        <v/>
      </c>
      <c r="F9" s="110">
        <f>IF(A9="","",VLOOKUP(A9,L:M,2,0))</f>
        <v/>
      </c>
      <c r="G9" s="110">
        <f>IF(A9="","",VLOOKUP(A9&amp;B9,K:O,5,0))</f>
        <v/>
      </c>
      <c r="H9" s="102" t="n"/>
      <c r="I9" s="10" t="n"/>
      <c r="J9" s="41" t="n"/>
      <c r="K9" s="41">
        <f>$L$9&amp;N9</f>
        <v/>
      </c>
      <c r="L9" s="179" t="n">
        <v>1</v>
      </c>
      <c r="M9" s="178" t="inlineStr">
        <is>
          <t>자연재해</t>
        </is>
      </c>
      <c r="N9" s="180" t="n">
        <v>1</v>
      </c>
      <c r="O9" s="178" t="inlineStr">
        <is>
          <t>DU(동파.침수)</t>
        </is>
      </c>
      <c r="Q9" s="118" t="n"/>
      <c r="R9" s="119" t="n"/>
      <c r="S9" s="113" t="n"/>
    </row>
    <row r="10">
      <c r="A10" s="95" t="n"/>
      <c r="B10" s="94" t="n"/>
      <c r="C10" s="24" t="n"/>
      <c r="D10" s="108">
        <f>IF(C10="","",VLOOKUP(C10,재고차이!A:C,2,0))</f>
        <v/>
      </c>
      <c r="E10" s="109">
        <f>IF(C10="","",VLOOKUP(C10,재고차이!A:C,3,0))</f>
        <v/>
      </c>
      <c r="F10" s="110">
        <f>IF(A10="","",VLOOKUP(A10,L:M,2,0))</f>
        <v/>
      </c>
      <c r="G10" s="110">
        <f>IF(A10="","",VLOOKUP(A10&amp;B10,K:O,5,0))</f>
        <v/>
      </c>
      <c r="H10" s="102" t="n"/>
      <c r="I10" s="10" t="n"/>
      <c r="J10" s="41" t="n"/>
      <c r="K10" s="41" t="n"/>
      <c r="L10" s="41" t="n"/>
      <c r="M10" s="100" t="n"/>
      <c r="N10" s="41" t="n"/>
      <c r="O10" s="41" t="n"/>
      <c r="Q10" s="118" t="n"/>
      <c r="R10" s="119" t="n"/>
      <c r="S10" s="113" t="n"/>
    </row>
    <row r="11">
      <c r="A11" s="95" t="n"/>
      <c r="B11" s="94" t="n"/>
      <c r="C11" s="24" t="n"/>
      <c r="D11" s="108">
        <f>IF(C11="","",VLOOKUP(C11,재고차이!A:C,2,0))</f>
        <v/>
      </c>
      <c r="E11" s="109">
        <f>IF(C11="","",VLOOKUP(C11,재고차이!A:C,3,0))</f>
        <v/>
      </c>
      <c r="F11" s="110">
        <f>IF(A11="","",VLOOKUP(A11,L:M,2,0))</f>
        <v/>
      </c>
      <c r="G11" s="110">
        <f>IF(A11="","",VLOOKUP(A11&amp;B11,K:O,5,0))</f>
        <v/>
      </c>
      <c r="H11" s="102" t="n"/>
      <c r="I11" s="10" t="n"/>
      <c r="J11" s="41" t="n"/>
      <c r="K11" s="41" t="n"/>
      <c r="L11" s="41" t="n"/>
      <c r="M11" s="100" t="n"/>
      <c r="N11" s="41" t="n"/>
      <c r="O11" s="41" t="n"/>
      <c r="Q11" s="118" t="n"/>
      <c r="R11" s="119" t="n"/>
      <c r="S11" s="113" t="n"/>
    </row>
    <row r="12">
      <c r="A12" s="95" t="n"/>
      <c r="B12" s="94" t="n"/>
      <c r="C12" s="24" t="n"/>
      <c r="D12" s="108">
        <f>IF(C12="","",VLOOKUP(C12,재고차이!A:C,2,0))</f>
        <v/>
      </c>
      <c r="E12" s="109">
        <f>IF(C12="","",VLOOKUP(C12,재고차이!A:C,3,0))</f>
        <v/>
      </c>
      <c r="F12" s="110">
        <f>IF(A12="","",VLOOKUP(A12,L:M,2,0))</f>
        <v/>
      </c>
      <c r="G12" s="110">
        <f>IF(A12="","",VLOOKUP(A12&amp;B12,K:O,5,0))</f>
        <v/>
      </c>
      <c r="H12" s="102" t="n"/>
      <c r="I12" s="10" t="n"/>
      <c r="J12" s="41" t="n"/>
      <c r="K12" s="41" t="n"/>
      <c r="L12" s="41" t="n"/>
      <c r="M12" s="100" t="n"/>
      <c r="N12" s="41" t="n"/>
      <c r="O12" s="41" t="n"/>
      <c r="Q12" s="118" t="n"/>
      <c r="R12" s="119" t="n"/>
      <c r="S12" s="113" t="n"/>
    </row>
    <row r="13">
      <c r="A13" s="95" t="n"/>
      <c r="B13" s="94" t="n"/>
      <c r="C13" s="104" t="n"/>
      <c r="D13" s="108">
        <f>IF(C13="","",VLOOKUP(C13,재고차이!A:C,2,0))</f>
        <v/>
      </c>
      <c r="E13" s="109">
        <f>IF(C13="","",VLOOKUP(C13,재고차이!A:C,3,0))</f>
        <v/>
      </c>
      <c r="F13" s="110">
        <f>IF(A13="","",VLOOKUP(A13,L:M,2,0))</f>
        <v/>
      </c>
      <c r="G13" s="110">
        <f>IF(A13="","",VLOOKUP(A13&amp;B13,K:O,5,0))</f>
        <v/>
      </c>
      <c r="H13" s="102" t="n"/>
      <c r="I13" s="106" t="n"/>
      <c r="J13" s="41" t="n"/>
      <c r="K13" s="41" t="n"/>
      <c r="L13" s="41" t="n"/>
      <c r="M13" s="100" t="n"/>
      <c r="N13" s="41" t="n"/>
      <c r="O13" s="41" t="n"/>
      <c r="Q13" s="118" t="n"/>
      <c r="R13" s="119" t="n"/>
      <c r="S13" s="113" t="n"/>
    </row>
    <row r="14">
      <c r="A14" s="95" t="n"/>
      <c r="B14" s="94" t="n"/>
      <c r="C14" s="24" t="n"/>
      <c r="D14" s="108">
        <f>IF(C14="","",VLOOKUP(C14,재고차이!A:C,2,0))</f>
        <v/>
      </c>
      <c r="E14" s="109">
        <f>IF(C14="","",VLOOKUP(C14,재고차이!A:C,3,0))</f>
        <v/>
      </c>
      <c r="F14" s="110">
        <f>IF(A14="","",VLOOKUP(A14,L:M,2,0))</f>
        <v/>
      </c>
      <c r="G14" s="110">
        <f>IF(A14="","",VLOOKUP(A14&amp;B14,K:O,5,0))</f>
        <v/>
      </c>
      <c r="H14" s="102" t="n"/>
      <c r="I14" s="10" t="n"/>
      <c r="J14" s="41" t="n"/>
      <c r="K14" s="41" t="n"/>
      <c r="L14" s="41" t="n"/>
      <c r="M14" s="100" t="n"/>
      <c r="N14" s="41" t="n"/>
      <c r="O14" s="41" t="n"/>
      <c r="Q14" s="118" t="n"/>
      <c r="R14" s="119" t="n"/>
      <c r="S14" s="113" t="n"/>
    </row>
    <row r="15">
      <c r="A15" s="95" t="n"/>
      <c r="B15" s="94" t="n"/>
      <c r="C15" s="103" t="n"/>
      <c r="D15" s="108">
        <f>IF(C15="","",VLOOKUP(C15,재고차이!A:C,2,0))</f>
        <v/>
      </c>
      <c r="E15" s="109">
        <f>IF(C15="","",VLOOKUP(C15,재고차이!A:C,3,0))</f>
        <v/>
      </c>
      <c r="F15" s="110">
        <f>IF(A15="","",VLOOKUP(A15,L:M,2,0))</f>
        <v/>
      </c>
      <c r="G15" s="110">
        <f>IF(A15="","",VLOOKUP(A15&amp;B15,K:O,5,0))</f>
        <v/>
      </c>
      <c r="H15" s="102" t="n"/>
      <c r="I15" s="10" t="n"/>
      <c r="J15" s="41" t="n"/>
      <c r="K15" s="41" t="n"/>
      <c r="L15" s="41" t="n"/>
      <c r="M15" s="100" t="n"/>
      <c r="N15" s="41" t="n"/>
      <c r="O15" s="41" t="n"/>
      <c r="Q15" s="118" t="n"/>
      <c r="R15" s="119" t="n"/>
      <c r="S15" s="113" t="n"/>
    </row>
    <row r="16">
      <c r="A16" s="95" t="n"/>
      <c r="B16" s="94" t="n"/>
      <c r="C16" s="103" t="n"/>
      <c r="D16" s="108">
        <f>IF(C16="","",VLOOKUP(C16,재고차이!A:C,2,0))</f>
        <v/>
      </c>
      <c r="E16" s="109">
        <f>IF(C16="","",VLOOKUP(C16,재고차이!A:C,3,0))</f>
        <v/>
      </c>
      <c r="F16" s="110">
        <f>IF(A16="","",VLOOKUP(A16,L:M,2,0))</f>
        <v/>
      </c>
      <c r="G16" s="110">
        <f>IF(A16="","",VLOOKUP(A16&amp;B16,K:O,5,0))</f>
        <v/>
      </c>
      <c r="H16" s="102" t="n"/>
      <c r="I16" s="106" t="n"/>
      <c r="J16" s="41" t="n"/>
      <c r="K16" s="41" t="n"/>
      <c r="L16" s="41" t="n"/>
      <c r="M16" s="100" t="n"/>
      <c r="N16" s="41" t="n"/>
      <c r="O16" s="41" t="n"/>
      <c r="Q16" s="118" t="n"/>
      <c r="R16" s="119" t="n"/>
      <c r="S16" s="113" t="n"/>
    </row>
    <row r="17">
      <c r="A17" s="95" t="n"/>
      <c r="B17" s="94" t="n"/>
      <c r="C17" s="103" t="n"/>
      <c r="D17" s="108">
        <f>IF(C17="","",VLOOKUP(C17,재고차이!A:C,2,0))</f>
        <v/>
      </c>
      <c r="E17" s="109">
        <f>IF(C17="","",VLOOKUP(C17,재고차이!A:C,3,0))</f>
        <v/>
      </c>
      <c r="F17" s="110">
        <f>IF(A17="","",VLOOKUP(A17,L:M,2,0))</f>
        <v/>
      </c>
      <c r="G17" s="110">
        <f>IF(A17="","",VLOOKUP(A17&amp;B17,K:O,5,0))</f>
        <v/>
      </c>
      <c r="H17" s="102" t="n"/>
      <c r="I17" s="106" t="n"/>
      <c r="J17" s="41" t="n"/>
      <c r="K17" s="41" t="n"/>
      <c r="L17" s="41" t="n"/>
      <c r="M17" s="100" t="n"/>
      <c r="N17" s="41" t="n"/>
      <c r="O17" s="41" t="n"/>
      <c r="Q17" s="118" t="n"/>
      <c r="R17" s="119" t="n"/>
      <c r="S17" s="113" t="n"/>
    </row>
    <row r="18">
      <c r="A18" s="95" t="n"/>
      <c r="B18" s="94" t="n"/>
      <c r="C18" s="104" t="n"/>
      <c r="D18" s="108">
        <f>IF(C18="","",VLOOKUP(C18,재고차이!A:C,2,0))</f>
        <v/>
      </c>
      <c r="E18" s="109">
        <f>IF(C18="","",VLOOKUP(C18,재고차이!A:C,3,0))</f>
        <v/>
      </c>
      <c r="F18" s="110">
        <f>IF(A18="","",VLOOKUP(A18,L:M,2,0))</f>
        <v/>
      </c>
      <c r="G18" s="110">
        <f>IF(A18="","",VLOOKUP(A18&amp;B18,K:O,5,0))</f>
        <v/>
      </c>
      <c r="H18" s="102" t="n"/>
      <c r="I18" s="10" t="n"/>
      <c r="J18" s="41" t="n"/>
      <c r="K18" s="41" t="n"/>
      <c r="L18" s="41" t="n"/>
      <c r="M18" s="100" t="n"/>
      <c r="N18" s="41" t="n"/>
      <c r="O18" s="41" t="n"/>
      <c r="Q18" s="118" t="n"/>
      <c r="R18" s="119" t="n"/>
      <c r="S18" s="113" t="n"/>
    </row>
    <row r="19">
      <c r="A19" s="95" t="n"/>
      <c r="B19" s="94" t="n"/>
      <c r="C19" s="24" t="n"/>
      <c r="D19" s="108">
        <f>IF(C19="","",VLOOKUP(C19,재고차이!A:C,2,0))</f>
        <v/>
      </c>
      <c r="E19" s="109">
        <f>IF(C19="","",VLOOKUP(C19,재고차이!A:C,3,0))</f>
        <v/>
      </c>
      <c r="F19" s="110">
        <f>IF(A19="","",VLOOKUP(A19,L:M,2,0))</f>
        <v/>
      </c>
      <c r="G19" s="110">
        <f>IF(A19="","",VLOOKUP(A19&amp;B19,K:O,5,0))</f>
        <v/>
      </c>
      <c r="H19" s="102" t="n"/>
      <c r="I19" s="10" t="n"/>
      <c r="J19" s="41" t="n"/>
      <c r="K19" s="41" t="n"/>
      <c r="L19" s="41" t="n"/>
      <c r="M19" s="100" t="n"/>
      <c r="N19" s="41" t="n"/>
      <c r="O19" s="41" t="n"/>
      <c r="Q19" s="118" t="n"/>
      <c r="R19" s="119" t="n"/>
      <c r="S19" s="113" t="n"/>
    </row>
    <row r="20">
      <c r="A20" s="95" t="n"/>
      <c r="B20" s="94" t="n"/>
      <c r="C20" s="24" t="n"/>
      <c r="D20" s="108">
        <f>IF(C20="","",VLOOKUP(C20,재고차이!A:C,2,0))</f>
        <v/>
      </c>
      <c r="E20" s="109">
        <f>IF(C20="","",VLOOKUP(C20,재고차이!A:C,3,0))</f>
        <v/>
      </c>
      <c r="F20" s="110">
        <f>IF(A20="","",VLOOKUP(A20,L:M,2,0))</f>
        <v/>
      </c>
      <c r="G20" s="110">
        <f>IF(A20="","",VLOOKUP(A20&amp;B20,K:O,5,0))</f>
        <v/>
      </c>
      <c r="H20" s="102" t="n"/>
      <c r="I20" s="106" t="n"/>
      <c r="J20" s="41" t="n"/>
      <c r="K20" s="41" t="n"/>
      <c r="L20" s="41" t="n"/>
      <c r="M20" s="100" t="n"/>
      <c r="N20" s="41" t="n"/>
      <c r="O20" s="41" t="n"/>
      <c r="Q20" s="118" t="n"/>
      <c r="R20" s="119" t="n"/>
      <c r="S20" s="113" t="n"/>
    </row>
    <row r="21">
      <c r="A21" s="95" t="n"/>
      <c r="B21" s="94" t="n"/>
      <c r="C21" s="24" t="n"/>
      <c r="D21" s="108">
        <f>IF(C21="","",VLOOKUP(C21,재고차이!A:C,2,0))</f>
        <v/>
      </c>
      <c r="E21" s="109">
        <f>IF(C21="","",VLOOKUP(C21,재고차이!A:C,3,0))</f>
        <v/>
      </c>
      <c r="F21" s="110">
        <f>IF(A21="","",VLOOKUP(A21,L:M,2,0))</f>
        <v/>
      </c>
      <c r="G21" s="110">
        <f>IF(A21="","",VLOOKUP(A21&amp;B21,K:O,5,0))</f>
        <v/>
      </c>
      <c r="H21" s="102" t="n"/>
      <c r="I21" s="10" t="n"/>
      <c r="J21" s="41" t="n"/>
      <c r="K21" s="41" t="n"/>
      <c r="L21" s="41" t="n"/>
      <c r="M21" s="100" t="n"/>
      <c r="N21" s="41" t="n"/>
      <c r="O21" s="41" t="n"/>
      <c r="Q21" s="118" t="n"/>
      <c r="R21" s="119" t="n"/>
      <c r="S21" s="113" t="n"/>
    </row>
    <row r="22">
      <c r="A22" s="95" t="n"/>
      <c r="B22" s="94" t="n"/>
      <c r="C22" s="104" t="n"/>
      <c r="D22" s="108">
        <f>IF(C22="","",VLOOKUP(C22,재고차이!A:C,2,0))</f>
        <v/>
      </c>
      <c r="E22" s="109">
        <f>IF(C22="","",VLOOKUP(C22,재고차이!A:C,3,0))</f>
        <v/>
      </c>
      <c r="F22" s="110">
        <f>IF(A22="","",VLOOKUP(A22,L:M,2,0))</f>
        <v/>
      </c>
      <c r="G22" s="110">
        <f>IF(A22="","",VLOOKUP(A22&amp;B22,K:O,5,0))</f>
        <v/>
      </c>
      <c r="H22" s="102" t="n"/>
      <c r="I22" s="10" t="n"/>
      <c r="J22" s="41" t="n"/>
      <c r="K22" s="41" t="n"/>
      <c r="L22" s="41" t="n"/>
      <c r="M22" s="100" t="n"/>
      <c r="N22" s="41" t="n"/>
      <c r="O22" s="41" t="n"/>
      <c r="Q22" s="118" t="n"/>
      <c r="R22" s="119" t="n"/>
      <c r="S22" s="113" t="n"/>
    </row>
    <row r="23">
      <c r="A23" s="95" t="n"/>
      <c r="B23" s="94" t="n"/>
      <c r="C23" s="24" t="n"/>
      <c r="D23" s="108">
        <f>IF(C23="","",VLOOKUP(C23,재고차이!A:C,2,0))</f>
        <v/>
      </c>
      <c r="E23" s="109">
        <f>IF(C23="","",VLOOKUP(C23,재고차이!A:C,3,0))</f>
        <v/>
      </c>
      <c r="F23" s="110">
        <f>IF(A23="","",VLOOKUP(A23,L:M,2,0))</f>
        <v/>
      </c>
      <c r="G23" s="110">
        <f>IF(A23="","",VLOOKUP(A23&amp;B23,K:O,5,0))</f>
        <v/>
      </c>
      <c r="H23" s="102" t="n"/>
      <c r="I23" s="106" t="n"/>
      <c r="J23" s="41" t="n"/>
      <c r="K23" s="41" t="n"/>
      <c r="L23" s="41" t="n"/>
      <c r="M23" s="100" t="n"/>
      <c r="N23" s="41" t="n"/>
      <c r="O23" s="41" t="n"/>
      <c r="Q23" s="118" t="n"/>
      <c r="R23" s="0" t="n"/>
      <c r="S23" s="113" t="n"/>
    </row>
    <row r="24">
      <c r="A24" s="95" t="n"/>
      <c r="B24" s="94" t="n"/>
      <c r="C24" s="24" t="n"/>
      <c r="D24" s="108">
        <f>IF(C24="","",VLOOKUP(C24,재고차이!A:C,2,0))</f>
        <v/>
      </c>
      <c r="E24" s="109">
        <f>IF(C24="","",VLOOKUP(C24,재고차이!A:C,3,0))</f>
        <v/>
      </c>
      <c r="F24" s="110">
        <f>IF(A24="","",VLOOKUP(A24,L:M,2,0))</f>
        <v/>
      </c>
      <c r="G24" s="110">
        <f>IF(A24="","",VLOOKUP(A24&amp;B24,K:O,5,0))</f>
        <v/>
      </c>
      <c r="H24" s="102" t="n"/>
      <c r="I24" s="10" t="n"/>
      <c r="J24" s="41" t="n"/>
      <c r="K24" s="41" t="n"/>
      <c r="L24" s="41" t="n"/>
      <c r="M24" s="100" t="n"/>
      <c r="O24" s="41" t="n"/>
      <c r="Q24" s="116" t="n"/>
      <c r="R24" s="117" t="n"/>
      <c r="S24" s="113" t="n"/>
    </row>
    <row r="25">
      <c r="A25" s="95" t="n"/>
      <c r="B25" s="94" t="n"/>
      <c r="C25" s="103" t="n"/>
      <c r="D25" s="108">
        <f>IF(C25="","",VLOOKUP(C25,재고차이!A:C,2,0))</f>
        <v/>
      </c>
      <c r="E25" s="109">
        <f>IF(C25="","",VLOOKUP(C25,재고차이!A:C,3,0))</f>
        <v/>
      </c>
      <c r="F25" s="110">
        <f>IF(A25="","",VLOOKUP(A25,L:M,2,0))</f>
        <v/>
      </c>
      <c r="G25" s="110">
        <f>IF(A25="","",VLOOKUP(A25&amp;B25,K:O,5,0))</f>
        <v/>
      </c>
      <c r="H25" s="102" t="n"/>
      <c r="I25" s="10" t="n"/>
      <c r="J25" s="41" t="n"/>
      <c r="K25" s="41" t="n"/>
      <c r="L25" s="41" t="n"/>
      <c r="M25" s="100" t="n"/>
      <c r="N25" s="41" t="n"/>
      <c r="O25" s="41" t="n"/>
      <c r="Q25" s="116" t="n"/>
      <c r="R25" s="117" t="n"/>
      <c r="S25" s="113" t="n"/>
    </row>
    <row r="26">
      <c r="A26" s="95" t="n"/>
      <c r="B26" s="94" t="n"/>
      <c r="C26" s="104" t="n"/>
      <c r="D26" s="108">
        <f>IF(C26="","",VLOOKUP(C26,재고차이!A:C,2,0))</f>
        <v/>
      </c>
      <c r="E26" s="109">
        <f>IF(C26="","",VLOOKUP(C26,재고차이!A:C,3,0))</f>
        <v/>
      </c>
      <c r="F26" s="110">
        <f>IF(A26="","",VLOOKUP(A26,L:M,2,0))</f>
        <v/>
      </c>
      <c r="G26" s="110">
        <f>IF(A26="","",VLOOKUP(A26&amp;B26,K:O,5,0))</f>
        <v/>
      </c>
      <c r="H26" s="102" t="n"/>
      <c r="I26" s="106" t="n"/>
      <c r="J26" s="41" t="n"/>
      <c r="K26" s="41" t="n"/>
      <c r="L26" s="41" t="n"/>
      <c r="M26" s="41" t="n"/>
      <c r="N26" s="41" t="n"/>
      <c r="O26" s="175" t="n"/>
    </row>
    <row r="27">
      <c r="A27" s="95" t="n"/>
      <c r="B27" s="94" t="n"/>
      <c r="C27" s="104" t="n"/>
      <c r="D27" s="108">
        <f>IF(C27="","",VLOOKUP(C27,재고차이!A:C,2,0))</f>
        <v/>
      </c>
      <c r="E27" s="109">
        <f>IF(C27="","",VLOOKUP(C27,재고차이!A:C,3,0))</f>
        <v/>
      </c>
      <c r="F27" s="110">
        <f>IF(A27="","",VLOOKUP(A27,L:M,2,0))</f>
        <v/>
      </c>
      <c r="G27" s="110">
        <f>IF(A27="","",VLOOKUP(A27&amp;B27,K:O,5,0))</f>
        <v/>
      </c>
      <c r="H27" s="102" t="n"/>
      <c r="I27" s="106" t="n"/>
      <c r="J27" s="41" t="n"/>
      <c r="K27" s="41" t="n"/>
      <c r="L27" s="41" t="n"/>
      <c r="M27" s="41" t="n"/>
      <c r="N27" s="41" t="n"/>
      <c r="O27" s="101" t="n"/>
    </row>
    <row r="28">
      <c r="C28" s="105" t="n"/>
      <c r="D28" s="105" t="n"/>
      <c r="E28" s="102" t="n"/>
      <c r="F28" s="102" t="n"/>
      <c r="G28" s="102" t="n"/>
      <c r="H28" s="102" t="n"/>
      <c r="I28" s="107">
        <f>SUM(I9:I27)</f>
        <v/>
      </c>
      <c r="J28" s="41" t="n"/>
      <c r="K28" s="41" t="n"/>
      <c r="L28" s="41" t="n"/>
      <c r="M28" s="41" t="n"/>
      <c r="N28" s="41" t="n"/>
      <c r="O28" s="101" t="n"/>
      <c r="P28" s="41" t="n"/>
    </row>
    <row r="29">
      <c r="C29" s="41" t="n"/>
      <c r="D29" s="41" t="n"/>
      <c r="E29" s="41" t="n"/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101" t="n"/>
      <c r="P29" s="41" t="n"/>
    </row>
    <row r="30">
      <c r="C30" s="47" t="n"/>
      <c r="D30" s="47" t="n"/>
      <c r="E30" s="48" t="n"/>
      <c r="F30" s="48" t="inlineStr">
        <is>
          <t>수량</t>
        </is>
      </c>
      <c r="G30" s="48" t="n"/>
      <c r="H30" s="48" t="n"/>
      <c r="I30" s="48" t="n"/>
      <c r="J30" s="46" t="inlineStr">
        <is>
          <t>  </t>
        </is>
      </c>
      <c r="K30" s="41" t="n"/>
      <c r="L30" s="41" t="n"/>
      <c r="M30" s="46" t="n"/>
      <c r="N30" s="41" t="n"/>
      <c r="O30" s="101" t="n"/>
      <c r="P30" s="46" t="n"/>
    </row>
    <row r="31">
      <c r="C31" s="49" t="inlineStr">
        <is>
          <t>김 재 익</t>
        </is>
      </c>
      <c r="D31" s="49" t="n"/>
      <c r="E31" s="50" t="n"/>
      <c r="F31" s="51">
        <f>SUMIF(G9:G27,G31,I9:I27)</f>
        <v/>
      </c>
      <c r="G31" s="50" t="inlineStr">
        <is>
          <t>BF(로드메이커)</t>
        </is>
      </c>
      <c r="H31" s="50" t="n"/>
      <c r="I31" s="48" t="n"/>
      <c r="K31" s="41" t="n"/>
      <c r="L31" s="41" t="n"/>
      <c r="N31" s="41" t="n"/>
      <c r="O31" s="101" t="n"/>
    </row>
    <row r="32">
      <c r="C32" s="52" t="inlineStr">
        <is>
          <t>작성자</t>
        </is>
      </c>
      <c r="D32" s="52" t="n"/>
      <c r="E32" s="53" t="inlineStr">
        <is>
          <t>싸인(로드메이커)</t>
        </is>
      </c>
      <c r="F32" s="49" t="n"/>
      <c r="G32" s="54" t="n"/>
      <c r="H32" s="54" t="n"/>
      <c r="I32" s="289" t="n"/>
      <c r="K32" s="41" t="n"/>
      <c r="L32" s="41" t="n"/>
      <c r="N32" s="41" t="n"/>
      <c r="O32" s="101" t="n"/>
    </row>
    <row r="33">
      <c r="C33" s="47" t="n"/>
      <c r="D33" s="47" t="n"/>
      <c r="E33" s="49" t="n"/>
      <c r="F33" s="49" t="n"/>
      <c r="G33" s="54" t="n"/>
      <c r="H33" s="54" t="n"/>
      <c r="I33" s="289" t="n"/>
      <c r="K33" s="41" t="n"/>
      <c r="L33" s="41" t="n"/>
      <c r="N33" s="41" t="n"/>
      <c r="O33" s="101" t="n"/>
    </row>
    <row r="34">
      <c r="C34" s="49" t="inlineStr">
        <is>
          <t>박 혜 원</t>
        </is>
      </c>
      <c r="D34" s="49" t="n"/>
      <c r="E34" s="49" t="n"/>
      <c r="F34" s="51">
        <f>SUMIF(G9:G27,G34,I9:I27)</f>
        <v/>
      </c>
      <c r="G34" s="49" t="inlineStr">
        <is>
          <t>BW(지게차)</t>
        </is>
      </c>
      <c r="H34" s="49" t="n"/>
      <c r="I34" s="289" t="n"/>
      <c r="K34" s="41" t="n"/>
      <c r="L34" s="41" t="n"/>
      <c r="N34" s="41" t="n"/>
      <c r="O34" s="101" t="n"/>
    </row>
    <row r="35">
      <c r="C35" s="52" t="inlineStr">
        <is>
          <t>작성자</t>
        </is>
      </c>
      <c r="D35" s="52" t="n"/>
      <c r="E35" s="53" t="inlineStr">
        <is>
          <t>싸인(지게차)</t>
        </is>
      </c>
      <c r="F35" s="49" t="n"/>
      <c r="G35" s="54" t="n"/>
      <c r="H35" s="54" t="n"/>
      <c r="I35" s="289" t="n"/>
      <c r="K35" s="41" t="n"/>
      <c r="L35" s="41" t="n"/>
      <c r="N35" s="41" t="n"/>
      <c r="O35" s="101" t="n"/>
    </row>
    <row r="36">
      <c r="C36" s="47" t="n"/>
      <c r="D36" s="47" t="n"/>
      <c r="E36" s="49" t="n"/>
      <c r="F36" s="49" t="n"/>
      <c r="G36" s="54" t="n"/>
      <c r="H36" s="54" t="n"/>
      <c r="I36" s="289" t="n"/>
      <c r="K36" s="41" t="n"/>
      <c r="L36" s="41" t="n"/>
      <c r="N36" s="41" t="n"/>
      <c r="O36" s="101" t="n"/>
    </row>
    <row r="37">
      <c r="C37" s="49" t="inlineStr">
        <is>
          <t>원 종 혁</t>
        </is>
      </c>
      <c r="D37" s="49" t="n"/>
      <c r="E37" s="49" t="n"/>
      <c r="F37" s="51">
        <f>I28-F31-F34</f>
        <v/>
      </c>
      <c r="G37" s="49" t="inlineStr">
        <is>
          <t>재고담당</t>
        </is>
      </c>
      <c r="H37" s="49" t="n"/>
      <c r="I37" s="289" t="n"/>
      <c r="K37" s="41" t="n"/>
      <c r="L37" s="41" t="n"/>
      <c r="N37" s="41" t="n"/>
      <c r="O37" s="101" t="n"/>
    </row>
    <row r="38">
      <c r="C38" s="52" t="inlineStr">
        <is>
          <t>작성자</t>
        </is>
      </c>
      <c r="D38" s="52" t="n"/>
      <c r="E38" s="53" t="inlineStr">
        <is>
          <t>싸인(담당체커)</t>
        </is>
      </c>
      <c r="F38" s="49" t="n"/>
      <c r="G38" s="54" t="n"/>
      <c r="H38" s="54" t="n"/>
      <c r="I38" s="289" t="n"/>
      <c r="K38" s="41" t="n"/>
      <c r="L38" s="41" t="n"/>
      <c r="N38" s="41" t="n"/>
      <c r="O38" s="101" t="n"/>
    </row>
    <row r="39">
      <c r="C39" s="50" t="n"/>
      <c r="D39" s="50" t="n"/>
      <c r="E39" s="49" t="n"/>
      <c r="F39" s="49" t="n"/>
      <c r="G39" s="54" t="n"/>
      <c r="H39" s="54" t="n"/>
      <c r="I39" s="289" t="n"/>
      <c r="K39" s="41" t="n"/>
      <c r="L39" s="41" t="n"/>
      <c r="N39" s="41" t="n"/>
      <c r="O39" s="101" t="n"/>
    </row>
    <row r="40" ht="20.25" customFormat="1" customHeight="1" s="97">
      <c r="C40" s="96" t="inlineStr">
        <is>
          <t xml:space="preserve">※ 체커란은 물류 담당 체커가 체커함. </t>
        </is>
      </c>
      <c r="E40" s="96" t="n"/>
      <c r="F40" s="96" t="n"/>
      <c r="K40" s="41" t="n"/>
      <c r="L40" s="41" t="n"/>
      <c r="N40" s="41" t="n"/>
      <c r="O40" s="101" t="n"/>
      <c r="Q40" s="98" t="n"/>
    </row>
    <row r="41" ht="20.25" customFormat="1" customHeight="1" s="97">
      <c r="C41" s="96" t="inlineStr">
        <is>
          <t>※ 파손유발자가 보고서 작성</t>
        </is>
      </c>
      <c r="E41" s="96" t="n"/>
      <c r="F41" s="96" t="n"/>
      <c r="K41" s="41" t="n"/>
      <c r="L41" s="41" t="n"/>
      <c r="N41" s="41" t="n"/>
      <c r="O41" s="101" t="n"/>
      <c r="Q41" s="98" t="n"/>
    </row>
    <row r="42" ht="20.25" customFormat="1" customHeight="1" s="97">
      <c r="C42" s="96" t="inlineStr">
        <is>
          <t>※ 이송파손은 메가센타 체커가 확인(상호 서명)</t>
        </is>
      </c>
      <c r="E42" s="96" t="n"/>
      <c r="F42" s="96" t="n"/>
      <c r="K42" s="41" t="n"/>
      <c r="L42" s="41" t="n"/>
      <c r="N42" s="41" t="n"/>
      <c r="O42" s="101" t="n"/>
      <c r="Q42" s="98" t="n"/>
    </row>
    <row r="43" ht="20.25" customFormat="1" customHeight="1" s="97">
      <c r="C43" s="96" t="inlineStr">
        <is>
          <t xml:space="preserve">※ 루트파손은 전결규정(5C/S)초과시 지점장 결재 서명 </t>
        </is>
      </c>
      <c r="E43" s="96" t="n"/>
      <c r="F43" s="99" t="n"/>
      <c r="K43" s="41" t="n"/>
      <c r="L43" s="41" t="n"/>
      <c r="N43" s="41" t="n"/>
      <c r="O43" s="176" t="n"/>
      <c r="Q43" s="98" t="n"/>
    </row>
    <row r="44">
      <c r="N44" s="41" t="n"/>
      <c r="O44" s="177" t="n"/>
    </row>
  </sheetData>
  <mergeCells count="2">
    <mergeCell ref="D6:E6"/>
    <mergeCell ref="Q8:R8"/>
  </mergeCells>
  <conditionalFormatting sqref="I32:I39">
    <cfRule type="cellIs" priority="1" operator="notEqual" dxfId="0">
      <formula>0</formula>
    </cfRule>
  </conditionalFormatting>
  <pageMargins left="0.4724409448818898" right="0.03937007874015748" top="0.7480314960629921" bottom="0.7480314960629921" header="0.3149606299212598" footer="0.3149606299212598"/>
  <pageSetup orientation="portrait" paperSize="9" scale="61"/>
</worksheet>
</file>

<file path=xl/worksheets/sheet10.xml><?xml version="1.0" encoding="utf-8"?>
<worksheet xmlns="http://schemas.openxmlformats.org/spreadsheetml/2006/main">
  <sheetPr codeName="Sheet11">
    <tabColor rgb="FFFF0000"/>
    <outlinePr summaryBelow="1" summaryRight="1"/>
    <pageSetUpPr fitToPage="1"/>
  </sheetPr>
  <dimension ref="A1:P232"/>
  <sheetViews>
    <sheetView tabSelected="1" zoomScaleNormal="100" workbookViewId="0">
      <pane ySplit="2" topLeftCell="A3" activePane="bottomLeft" state="frozen"/>
      <selection activeCell="A3" sqref="A3:J63"/>
      <selection pane="bottomLeft" activeCell="A3" sqref="A3"/>
    </sheetView>
  </sheetViews>
  <sheetFormatPr baseColWidth="8" defaultRowHeight="16.5"/>
  <cols>
    <col width="5.75" customWidth="1" style="5" min="1" max="1"/>
    <col width="9.25" bestFit="1" customWidth="1" style="5" min="2" max="2"/>
    <col width="11.25" customWidth="1" style="5" min="3" max="3"/>
    <col width="43.625" customWidth="1" style="231" min="4" max="4"/>
    <col width="12.875" customWidth="1" style="5" min="5" max="6"/>
    <col width="12.75" customWidth="1" style="5" min="7" max="7"/>
    <col width="12.875" customWidth="1" style="5" min="8" max="8"/>
    <col width="13" customWidth="1" style="5" min="9" max="9"/>
    <col width="40.625" customWidth="1" style="5" min="10" max="10"/>
    <col width="9.25" customWidth="1" style="5" min="11" max="11"/>
    <col hidden="1" width="10.625" customWidth="1" style="280" min="12" max="12"/>
    <col hidden="1" width="12.375" customWidth="1" style="5" min="13" max="13"/>
    <col hidden="1" width="9.5" customWidth="1" style="5" min="14" max="14"/>
    <col hidden="1" width="14" customWidth="1" style="5" min="15" max="15"/>
    <col width="9" customWidth="1" style="5" min="16" max="16384"/>
  </cols>
  <sheetData>
    <row r="1" ht="18.75" customHeight="1" s="237">
      <c r="I1" s="11">
        <f>TODAY()</f>
        <v/>
      </c>
      <c r="J1" s="11" t="n"/>
      <c r="L1" s="281" t="inlineStr">
        <is>
          <t>중요</t>
        </is>
      </c>
      <c r="N1" s="14">
        <f>100%-N2</f>
        <v/>
      </c>
    </row>
    <row r="2" ht="33" customHeight="1" s="237">
      <c r="A2" s="86" t="n"/>
      <c r="B2" s="86" t="inlineStr">
        <is>
          <t>제품코드</t>
        </is>
      </c>
      <c r="C2" s="86" t="inlineStr">
        <is>
          <t>SAP코드</t>
        </is>
      </c>
      <c r="D2" s="86" t="inlineStr">
        <is>
          <t>Brand Name</t>
        </is>
      </c>
      <c r="E2" s="86" t="inlineStr">
        <is>
          <t>아주</t>
        </is>
      </c>
      <c r="F2" s="86" t="inlineStr">
        <is>
          <t>940P</t>
        </is>
      </c>
      <c r="G2" s="86" t="inlineStr">
        <is>
          <t>잔량</t>
        </is>
      </c>
      <c r="H2" s="87" t="inlineStr">
        <is>
          <t>보류재고              (불량포함)</t>
        </is>
      </c>
      <c r="I2" s="86" t="inlineStr">
        <is>
          <t>소비기한</t>
        </is>
      </c>
      <c r="J2" s="86" t="inlineStr">
        <is>
          <t>홀딩테그</t>
        </is>
      </c>
      <c r="K2" s="88" t="inlineStr">
        <is>
          <t>75%        잔여일</t>
        </is>
      </c>
      <c r="L2" s="280" t="inlineStr">
        <is>
          <t>소비기한</t>
        </is>
      </c>
      <c r="M2" s="5" t="inlineStr">
        <is>
          <t>생산일자</t>
        </is>
      </c>
      <c r="N2" s="225" t="n">
        <v>0.75</v>
      </c>
      <c r="O2" s="5" t="inlineStr">
        <is>
          <t>사용가능</t>
        </is>
      </c>
    </row>
    <row r="3">
      <c r="A3" s="10">
        <f>ROW()-2</f>
        <v/>
      </c>
      <c r="B3" s="10" t="n">
        <v>455</v>
      </c>
      <c r="C3" s="22">
        <f>VLOOKUP(B:B,재고차이!A:B,2,0)</f>
        <v/>
      </c>
      <c r="D3" s="22">
        <f>VLOOKUP(C:C,재고차이!B:C,2,0)</f>
        <v/>
      </c>
      <c r="E3" s="10" t="n">
        <v>16</v>
      </c>
      <c r="F3" s="10" t="n"/>
      <c r="G3" s="185" t="n"/>
      <c r="H3" s="185" t="n"/>
      <c r="I3" s="184" t="n">
        <v>46351</v>
      </c>
      <c r="J3" s="184" t="n"/>
      <c r="K3" s="20">
        <f>IF(O3="","",O3-$I$1)</f>
        <v/>
      </c>
      <c r="L3" s="280">
        <f>IF(I3="","",SUMIF(제품등록!B:B,정리표!C:C,제품등록!F:F))</f>
        <v/>
      </c>
      <c r="M3" s="11">
        <f>IF(I3=0,"",I3-L3)</f>
        <v/>
      </c>
      <c r="N3" s="290">
        <f>IF(L3="","",L3*상미75)</f>
        <v/>
      </c>
      <c r="O3" s="11">
        <f>IF(M3="","",M3+N3)</f>
        <v/>
      </c>
      <c r="P3" s="227">
        <f>IF(T3="","",T3-$I$1)</f>
        <v/>
      </c>
    </row>
    <row r="4">
      <c r="A4" s="10">
        <f>ROW()-2</f>
        <v/>
      </c>
      <c r="B4" s="24" t="n">
        <v>455</v>
      </c>
      <c r="C4" s="22">
        <f>VLOOKUP(B:B,재고차이!A:B,2,0)</f>
        <v/>
      </c>
      <c r="D4" s="22">
        <f>VLOOKUP(C:C,재고차이!B:C,2,0)</f>
        <v/>
      </c>
      <c r="E4" s="10" t="n"/>
      <c r="F4" s="10" t="n"/>
      <c r="G4" s="10" t="n">
        <v>31</v>
      </c>
      <c r="H4" s="10" t="n"/>
      <c r="I4" s="184" t="n">
        <v>46351</v>
      </c>
      <c r="J4" s="184" t="n"/>
      <c r="K4" s="20">
        <f>IF(O4="","",O4-$I$1)</f>
        <v/>
      </c>
      <c r="L4" s="280">
        <f>IF(I4="","",SUMIF(제품등록!B:B,정리표!C:C,제품등록!F:F))</f>
        <v/>
      </c>
      <c r="M4" s="11">
        <f>IF(I4=0,"",I4-L4)</f>
        <v/>
      </c>
      <c r="N4" s="290">
        <f>IF(L4="","",L4*상미75)</f>
        <v/>
      </c>
      <c r="O4" s="11">
        <f>IF(M4="","",M4+N4)</f>
        <v/>
      </c>
      <c r="P4" s="227">
        <f>IF(T4="","",T4-$I$1)</f>
        <v/>
      </c>
    </row>
    <row r="5">
      <c r="A5" s="10">
        <f>ROW()-2</f>
        <v/>
      </c>
      <c r="B5" s="10" t="n">
        <v>455</v>
      </c>
      <c r="C5" s="22">
        <f>VLOOKUP(B:B,재고차이!A:B,2,0)</f>
        <v/>
      </c>
      <c r="D5" s="22">
        <f>VLOOKUP(C:C,재고차이!B:C,2,0)</f>
        <v/>
      </c>
      <c r="E5" s="10" t="n">
        <v>17</v>
      </c>
      <c r="F5" s="10" t="n"/>
      <c r="G5" s="185" t="n"/>
      <c r="H5" s="185" t="n"/>
      <c r="I5" s="184" t="n">
        <v>46352</v>
      </c>
      <c r="J5" s="184" t="n"/>
      <c r="K5" s="20">
        <f>IF(O5="","",O5-$I$1)</f>
        <v/>
      </c>
      <c r="L5" s="280">
        <f>IF(I5="","",SUMIF(제품등록!B:B,정리표!C:C,제품등록!F:F))</f>
        <v/>
      </c>
      <c r="M5" s="11">
        <f>IF(I5=0,"",I5-L5)</f>
        <v/>
      </c>
      <c r="N5" s="290">
        <f>IF(L5="","",L5*상미75)</f>
        <v/>
      </c>
      <c r="O5" s="11">
        <f>IF(M5="","",M5+N5)</f>
        <v/>
      </c>
      <c r="P5" s="227">
        <f>IF(T5="","",T5-$I$1)</f>
        <v/>
      </c>
    </row>
    <row r="6">
      <c r="A6" s="10">
        <f>ROW()-2</f>
        <v/>
      </c>
      <c r="B6" s="10" t="n">
        <v>455</v>
      </c>
      <c r="C6" s="22">
        <f>VLOOKUP(B:B,재고차이!A:B,2,0)</f>
        <v/>
      </c>
      <c r="D6" s="22">
        <f>VLOOKUP(C:C,재고차이!B:C,2,0)</f>
        <v/>
      </c>
      <c r="E6" s="10" t="n">
        <v>15</v>
      </c>
      <c r="F6" s="10" t="n"/>
      <c r="G6" s="185" t="n"/>
      <c r="H6" s="185" t="n"/>
      <c r="I6" s="184" t="n">
        <v>46366</v>
      </c>
      <c r="J6" s="184" t="n"/>
      <c r="K6" s="20">
        <f>IF(O6="","",O6-$I$1)</f>
        <v/>
      </c>
      <c r="L6" s="280">
        <f>IF(I6="","",SUMIF(제품등록!B:B,정리표!C:C,제품등록!F:F))</f>
        <v/>
      </c>
      <c r="M6" s="11">
        <f>IF(I6=0,"",I6-L6)</f>
        <v/>
      </c>
      <c r="N6" s="290">
        <f>IF(L6="","",L6*상미75)</f>
        <v/>
      </c>
      <c r="O6" s="11">
        <f>IF(M6="","",M6+N6)</f>
        <v/>
      </c>
      <c r="P6" s="227">
        <f>IF(T6="","",T6-$I$1)</f>
        <v/>
      </c>
    </row>
    <row r="7">
      <c r="A7" s="10">
        <f>ROW()-2</f>
        <v/>
      </c>
      <c r="B7" s="10" t="n">
        <v>1000</v>
      </c>
      <c r="C7" s="22">
        <f>VLOOKUP(B:B,재고차이!A:B,2,0)</f>
        <v/>
      </c>
      <c r="D7" s="22">
        <f>VLOOKUP(C:C,재고차이!B:C,2,0)</f>
        <v/>
      </c>
      <c r="E7" s="185" t="n">
        <v>1</v>
      </c>
      <c r="F7" s="185" t="n"/>
      <c r="G7" s="185" t="n"/>
      <c r="H7" s="185" t="n"/>
      <c r="I7" s="151" t="n">
        <v>46330</v>
      </c>
      <c r="J7" s="184" t="n"/>
      <c r="K7" s="20">
        <f>IF(O7="","",O7-$I$1)</f>
        <v/>
      </c>
      <c r="L7" s="280">
        <f>IF(I7="","",SUMIF(제품등록!B:B,정리표!C:C,제품등록!F:F))</f>
        <v/>
      </c>
      <c r="M7" s="11">
        <f>IF(I7=0,"",I7-L7)</f>
        <v/>
      </c>
      <c r="N7" s="290">
        <f>IF(L7="","",L7*상미75)</f>
        <v/>
      </c>
      <c r="O7" s="11">
        <f>IF(M7="","",M7+N7)</f>
        <v/>
      </c>
      <c r="P7" s="227">
        <f>IF(T7="","",T7-$I$1)</f>
        <v/>
      </c>
    </row>
    <row r="8">
      <c r="A8" s="10">
        <f>ROW()-2</f>
        <v/>
      </c>
      <c r="B8" s="24" t="n">
        <v>1000</v>
      </c>
      <c r="C8" s="22">
        <f>VLOOKUP(B:B,재고차이!A:B,2,0)</f>
        <v/>
      </c>
      <c r="D8" s="22">
        <f>VLOOKUP(C:C,재고차이!B:C,2,0)</f>
        <v/>
      </c>
      <c r="E8" s="10" t="n"/>
      <c r="F8" s="10" t="n"/>
      <c r="G8" s="10" t="n">
        <v>42</v>
      </c>
      <c r="H8" s="10" t="n"/>
      <c r="I8" s="184" t="n">
        <v>46330</v>
      </c>
      <c r="J8" s="184" t="n"/>
      <c r="K8" s="20">
        <f>IF(O8="","",O8-$I$1)</f>
        <v/>
      </c>
      <c r="L8" s="280">
        <f>IF(I8="","",SUMIF(제품등록!B:B,정리표!C:C,제품등록!F:F))</f>
        <v/>
      </c>
      <c r="M8" s="11">
        <f>IF(I8=0,"",I8-L8)</f>
        <v/>
      </c>
      <c r="N8" s="290">
        <f>IF(L8="","",L8*상미75)</f>
        <v/>
      </c>
      <c r="O8" s="11">
        <f>IF(M8="","",M8+N8)</f>
        <v/>
      </c>
      <c r="P8" s="227">
        <f>IF(T8="","",T8-$I$1)</f>
        <v/>
      </c>
    </row>
    <row r="9">
      <c r="A9" s="10">
        <f>ROW()-2</f>
        <v/>
      </c>
      <c r="B9" s="10" t="n">
        <v>1000</v>
      </c>
      <c r="C9" s="22">
        <f>VLOOKUP(B:B,재고차이!A:B,2,0)</f>
        <v/>
      </c>
      <c r="D9" s="22">
        <f>VLOOKUP(C:C,재고차이!B:C,2,0)</f>
        <v/>
      </c>
      <c r="E9" s="185" t="n">
        <v>16</v>
      </c>
      <c r="F9" s="185" t="n"/>
      <c r="G9" s="185" t="n"/>
      <c r="H9" s="185" t="n"/>
      <c r="I9" s="151" t="n">
        <v>46364</v>
      </c>
      <c r="J9" s="184" t="n"/>
      <c r="K9" s="20">
        <f>IF(O9="","",O9-$I$1)</f>
        <v/>
      </c>
      <c r="L9" s="280">
        <f>IF(I9="","",SUMIF(제품등록!B:B,정리표!C:C,제품등록!F:F))</f>
        <v/>
      </c>
      <c r="M9" s="11">
        <f>IF(I9=0,"",I9-L9)</f>
        <v/>
      </c>
      <c r="N9" s="290">
        <f>IF(L9="","",L9*상미75)</f>
        <v/>
      </c>
      <c r="O9" s="11">
        <f>IF(M9="","",M9+N9)</f>
        <v/>
      </c>
      <c r="P9" s="227">
        <f>IF(T9="","",T9-$I$1)</f>
        <v/>
      </c>
    </row>
    <row r="10">
      <c r="A10" s="10">
        <f>ROW()-2</f>
        <v/>
      </c>
      <c r="B10" s="10" t="n">
        <v>1001</v>
      </c>
      <c r="C10" s="22">
        <f>VLOOKUP(B:B,재고차이!A:B,2,0)</f>
        <v/>
      </c>
      <c r="D10" s="22">
        <f>VLOOKUP(C:C,재고차이!B:C,2,0)</f>
        <v/>
      </c>
      <c r="E10" s="185" t="n">
        <v>1</v>
      </c>
      <c r="F10" s="185" t="n"/>
      <c r="G10" s="185" t="n"/>
      <c r="H10" s="185" t="n"/>
      <c r="I10" s="235" t="n">
        <v>46354</v>
      </c>
      <c r="J10" s="235" t="inlineStr">
        <is>
          <t>사용기한 임박</t>
        </is>
      </c>
      <c r="K10" s="20">
        <f>IF(O10="","",O10-$I$1)</f>
        <v/>
      </c>
      <c r="L10" s="280">
        <f>IF(I10="","",SUMIF(제품등록!B:B,정리표!C:C,제품등록!F:F))</f>
        <v/>
      </c>
      <c r="M10" s="11">
        <f>IF(I10=0,"",I10-L10)</f>
        <v/>
      </c>
      <c r="N10" s="290">
        <f>IF(L10="","",L10*상미75)</f>
        <v/>
      </c>
      <c r="O10" s="11">
        <f>IF(M10="","",M10+N10)</f>
        <v/>
      </c>
      <c r="P10" s="227">
        <f>IF(T10="","",T10-$I$1)</f>
        <v/>
      </c>
    </row>
    <row r="11">
      <c r="A11" s="10">
        <f>ROW()-2</f>
        <v/>
      </c>
      <c r="B11" s="24" t="n">
        <v>1001</v>
      </c>
      <c r="C11" s="22">
        <f>VLOOKUP(B:B,재고차이!A:B,2,0)</f>
        <v/>
      </c>
      <c r="D11" s="22">
        <f>VLOOKUP(C:C,재고차이!B:C,2,0)</f>
        <v/>
      </c>
      <c r="E11" s="10" t="n"/>
      <c r="F11" s="10" t="n"/>
      <c r="G11" s="10" t="n">
        <v>97</v>
      </c>
      <c r="H11" s="10" t="n"/>
      <c r="I11" s="235" t="n">
        <v>46354</v>
      </c>
      <c r="J11" s="235" t="inlineStr">
        <is>
          <t>사용기한 임박</t>
        </is>
      </c>
      <c r="K11" s="20">
        <f>IF(O11="","",O11-$I$1)</f>
        <v/>
      </c>
      <c r="L11" s="280">
        <f>IF(I11="","",SUMIF(제품등록!B:B,정리표!C:C,제품등록!F:F))</f>
        <v/>
      </c>
      <c r="M11" s="11">
        <f>IF(I11=0,"",I11-L11)</f>
        <v/>
      </c>
      <c r="N11" s="290">
        <f>IF(L11="","",L11*상미75)</f>
        <v/>
      </c>
      <c r="O11" s="11">
        <f>IF(M11="","",M11+N11)</f>
        <v/>
      </c>
      <c r="P11" s="227">
        <f>IF(T11="","",T11-$I$1)</f>
        <v/>
      </c>
    </row>
    <row r="12">
      <c r="A12" s="10">
        <f>ROW()-2</f>
        <v/>
      </c>
      <c r="B12" s="24" t="n">
        <v>1002</v>
      </c>
      <c r="C12" s="22">
        <f>VLOOKUP(B:B,재고차이!A:B,2,0)</f>
        <v/>
      </c>
      <c r="D12" s="22">
        <f>VLOOKUP(C:C,재고차이!B:C,2,0)</f>
        <v/>
      </c>
      <c r="E12" s="10" t="n"/>
      <c r="F12" s="10" t="n"/>
      <c r="G12" s="10" t="n">
        <v>9</v>
      </c>
      <c r="H12" s="10" t="n"/>
      <c r="I12" s="184" t="n">
        <v>46250</v>
      </c>
      <c r="J12" s="184" t="n"/>
      <c r="K12" s="20">
        <f>IF(O12="","",O12-$I$1)</f>
        <v/>
      </c>
      <c r="L12" s="280">
        <f>IF(I12="","",SUMIF(제품등록!B:B,정리표!C:C,제품등록!F:F))</f>
        <v/>
      </c>
      <c r="M12" s="11">
        <f>IF(I12=0,"",I12-L12)</f>
        <v/>
      </c>
      <c r="N12" s="290">
        <f>IF(L12="","",L12*상미75)</f>
        <v/>
      </c>
      <c r="O12" s="11">
        <f>IF(M12="","",M12+N12)</f>
        <v/>
      </c>
      <c r="P12" s="227">
        <f>IF(T12="","",T12-$I$1)</f>
        <v/>
      </c>
    </row>
    <row r="13">
      <c r="A13" s="10">
        <f>ROW()-2</f>
        <v/>
      </c>
      <c r="B13" s="10" t="n">
        <v>1002</v>
      </c>
      <c r="C13" s="22">
        <f>VLOOKUP(B:B,재고차이!A:B,2,0)</f>
        <v/>
      </c>
      <c r="D13" s="22">
        <f>VLOOKUP(C:C,재고차이!B:C,2,0)</f>
        <v/>
      </c>
      <c r="E13" s="185" t="n">
        <v>7</v>
      </c>
      <c r="F13" s="185" t="n"/>
      <c r="G13" s="185" t="n"/>
      <c r="H13" s="185" t="n"/>
      <c r="I13" s="151" t="n">
        <v>46251</v>
      </c>
      <c r="J13" s="184" t="n"/>
      <c r="K13" s="20">
        <f>IF(O13="","",O13-$I$1)</f>
        <v/>
      </c>
      <c r="L13" s="280">
        <f>IF(I13="","",SUMIF(제품등록!B:B,정리표!C:C,제품등록!F:F))</f>
        <v/>
      </c>
      <c r="M13" s="11">
        <f>IF(I13=0,"",I13-L13)</f>
        <v/>
      </c>
      <c r="N13" s="290">
        <f>IF(L13="","",L13*상미75)</f>
        <v/>
      </c>
      <c r="O13" s="11">
        <f>IF(M13="","",M13+N13)</f>
        <v/>
      </c>
      <c r="P13" s="227">
        <f>IF(T13="","",T13-$I$1)</f>
        <v/>
      </c>
    </row>
    <row r="14">
      <c r="A14" s="10">
        <f>ROW()-2</f>
        <v/>
      </c>
      <c r="B14" s="10" t="n">
        <v>1007</v>
      </c>
      <c r="C14" s="22">
        <f>VLOOKUP(B:B,재고차이!A:B,2,0)</f>
        <v/>
      </c>
      <c r="D14" s="22">
        <f>VLOOKUP(C:C,재고차이!B:C,2,0)</f>
        <v/>
      </c>
      <c r="E14" s="10">
        <f>46+11+24</f>
        <v/>
      </c>
      <c r="F14" s="10" t="n"/>
      <c r="G14" s="185" t="n"/>
      <c r="H14" s="185" t="n"/>
      <c r="I14" s="184" t="n">
        <v>46319</v>
      </c>
      <c r="J14" s="184" t="n"/>
      <c r="K14" s="20">
        <f>IF(O14="","",O14-$I$1)</f>
        <v/>
      </c>
      <c r="L14" s="280">
        <f>IF(I14="","",SUMIF(제품등록!B:B,정리표!C:C,제품등록!F:F))</f>
        <v/>
      </c>
      <c r="M14" s="11">
        <f>IF(I14=0,"",I14-L14)</f>
        <v/>
      </c>
      <c r="N14" s="290">
        <f>IF(L14="","",L14*상미75)</f>
        <v/>
      </c>
      <c r="O14" s="11">
        <f>IF(M14="","",M14+N14)</f>
        <v/>
      </c>
      <c r="P14" s="227">
        <f>IF(T14="","",T14-$I$1)</f>
        <v/>
      </c>
    </row>
    <row r="15" ht="15.75" customHeight="1" s="237">
      <c r="A15" s="10">
        <f>ROW()-2</f>
        <v/>
      </c>
      <c r="B15" s="24" t="n">
        <v>1007</v>
      </c>
      <c r="C15" s="22">
        <f>VLOOKUP(B:B,재고차이!A:B,2,0)</f>
        <v/>
      </c>
      <c r="D15" s="22">
        <f>VLOOKUP(C:C,재고차이!B:C,2,0)</f>
        <v/>
      </c>
      <c r="E15" s="10" t="n"/>
      <c r="F15" s="10" t="n"/>
      <c r="G15" s="10" t="n">
        <v>47</v>
      </c>
      <c r="H15" s="10" t="n"/>
      <c r="I15" s="184" t="n">
        <v>46319</v>
      </c>
      <c r="J15" s="184" t="n"/>
      <c r="K15" s="20">
        <f>IF(O15="","",O15-$I$1)</f>
        <v/>
      </c>
      <c r="L15" s="280">
        <f>IF(I15="","",SUMIF(제품등록!B:B,정리표!C:C,제품등록!F:F))</f>
        <v/>
      </c>
      <c r="M15" s="11">
        <f>IF(I15=0,"",I15-L15)</f>
        <v/>
      </c>
      <c r="N15" s="290">
        <f>IF(L15="","",L15*상미75)</f>
        <v/>
      </c>
      <c r="O15" s="11">
        <f>IF(M15="","",M15+N15)</f>
        <v/>
      </c>
      <c r="P15" s="227">
        <f>IF(T15="","",T15-$I$1)</f>
        <v/>
      </c>
    </row>
    <row r="16">
      <c r="A16" s="10">
        <f>ROW()-2</f>
        <v/>
      </c>
      <c r="B16" s="10" t="n">
        <v>1007</v>
      </c>
      <c r="C16" s="22">
        <f>VLOOKUP(B:B,재고차이!A:B,2,0)</f>
        <v/>
      </c>
      <c r="D16" s="22">
        <f>VLOOKUP(C:C,재고차이!B:C,2,0)</f>
        <v/>
      </c>
      <c r="E16" s="10">
        <f>46+20</f>
        <v/>
      </c>
      <c r="F16" s="10" t="n"/>
      <c r="G16" s="185" t="n"/>
      <c r="H16" s="185" t="n"/>
      <c r="I16" s="184" t="n">
        <v>46320</v>
      </c>
      <c r="J16" s="184" t="n"/>
      <c r="K16" s="20">
        <f>IF(O16="","",O16-$I$1)</f>
        <v/>
      </c>
      <c r="L16" s="280">
        <f>IF(I16="","",SUMIF(제품등록!B:B,정리표!C:C,제품등록!F:F))</f>
        <v/>
      </c>
      <c r="M16" s="11">
        <f>IF(I16=0,"",I16-L16)</f>
        <v/>
      </c>
      <c r="N16" s="290">
        <f>IF(L16="","",L16*상미75)</f>
        <v/>
      </c>
      <c r="O16" s="11">
        <f>IF(M16="","",M16+N16)</f>
        <v/>
      </c>
      <c r="P16" s="227">
        <f>IF(T16="","",T16-$I$1)</f>
        <v/>
      </c>
    </row>
    <row r="17">
      <c r="A17" s="10">
        <f>ROW()-2</f>
        <v/>
      </c>
      <c r="B17" s="10" t="n">
        <v>1300</v>
      </c>
      <c r="C17" s="22">
        <f>VLOOKUP(B:B,재고차이!A:B,2,0)</f>
        <v/>
      </c>
      <c r="D17" s="22">
        <f>VLOOKUP(C:C,재고차이!B:C,2,0)</f>
        <v/>
      </c>
      <c r="E17" s="185">
        <f>2+26</f>
        <v/>
      </c>
      <c r="F17" s="185" t="n"/>
      <c r="G17" s="185" t="n"/>
      <c r="H17" s="185" t="n"/>
      <c r="I17" s="151" t="n">
        <v>46717</v>
      </c>
      <c r="J17" s="151" t="n"/>
      <c r="K17" s="20">
        <f>IF(O17="","",O17-$I$1)</f>
        <v/>
      </c>
      <c r="L17" s="280">
        <f>IF(I17="","",SUMIF(제품등록!B:B,정리표!C:C,제품등록!F:F))</f>
        <v/>
      </c>
      <c r="M17" s="11">
        <f>IF(I17=0,"",I17-L17)</f>
        <v/>
      </c>
      <c r="N17" s="290">
        <f>IF(L17="","",L17*상미75)</f>
        <v/>
      </c>
      <c r="O17" s="11">
        <f>IF(M17="","",M17+N17)</f>
        <v/>
      </c>
      <c r="P17" s="227">
        <f>IF(T17="","",T17-$I$1)</f>
        <v/>
      </c>
    </row>
    <row r="18">
      <c r="A18" s="10">
        <f>ROW()-2</f>
        <v/>
      </c>
      <c r="B18" s="10" t="n">
        <v>1300</v>
      </c>
      <c r="C18" s="22">
        <f>VLOOKUP(B:B,재고차이!A:B,2,0)</f>
        <v/>
      </c>
      <c r="D18" s="22">
        <f>VLOOKUP(C:C,재고차이!B:C,2,0)</f>
        <v/>
      </c>
      <c r="E18" s="10" t="n"/>
      <c r="F18" s="10" t="n"/>
      <c r="G18" s="185" t="n">
        <v>8</v>
      </c>
      <c r="H18" s="185" t="n"/>
      <c r="I18" s="184" t="n">
        <v>46717</v>
      </c>
      <c r="J18" s="184" t="n"/>
      <c r="K18" s="20">
        <f>IF(O18="","",O18-$I$1)</f>
        <v/>
      </c>
      <c r="L18" s="291">
        <f>IF(I18="","",SUMIF(제품등록!B:B,정리표!C:C,제품등록!F:F))</f>
        <v/>
      </c>
      <c r="M18" s="228">
        <f>IF(I18=0,"",I18-L18)</f>
        <v/>
      </c>
      <c r="N18" s="292">
        <f>IF(L18="","",L18*상미75)</f>
        <v/>
      </c>
      <c r="O18" s="228">
        <f>IF(M18="","",M18+N18)</f>
        <v/>
      </c>
      <c r="P18" s="227">
        <f>IF(T18="","",T18-$I$1)</f>
        <v/>
      </c>
    </row>
    <row r="19">
      <c r="A19" s="10">
        <f>ROW()-2</f>
        <v/>
      </c>
      <c r="B19" s="10" t="n">
        <v>1300</v>
      </c>
      <c r="C19" s="22">
        <f>VLOOKUP(B:B,재고차이!A:B,2,0)</f>
        <v/>
      </c>
      <c r="D19" s="22">
        <f>VLOOKUP(C:C,재고차이!B:C,2,0)</f>
        <v/>
      </c>
      <c r="E19" s="185" t="n">
        <v>8</v>
      </c>
      <c r="F19" s="185" t="n"/>
      <c r="G19" s="185" t="n"/>
      <c r="H19" s="185" t="n"/>
      <c r="I19" s="151" t="n">
        <v>46718</v>
      </c>
      <c r="J19" s="151" t="n"/>
      <c r="K19" s="20">
        <f>IF(O19="","",O19-$I$1)</f>
        <v/>
      </c>
      <c r="L19" s="280">
        <f>IF(I19="","",SUMIF(제품등록!B:B,정리표!C:C,제품등록!F:F))</f>
        <v/>
      </c>
      <c r="M19" s="11">
        <f>IF(I19=0,"",I19-L19)</f>
        <v/>
      </c>
      <c r="N19" s="290">
        <f>IF(L19="","",L19*상미75)</f>
        <v/>
      </c>
      <c r="O19" s="11">
        <f>IF(M19="","",M19+N19)</f>
        <v/>
      </c>
      <c r="P19" s="227">
        <f>IF(T19="","",T19-$I$1)</f>
        <v/>
      </c>
    </row>
    <row r="20">
      <c r="A20" s="10">
        <f>ROW()-2</f>
        <v/>
      </c>
      <c r="B20" s="10" t="n">
        <v>2531</v>
      </c>
      <c r="C20" s="22">
        <f>VLOOKUP(B:B,재고차이!A:B,2,0)</f>
        <v/>
      </c>
      <c r="D20" s="22">
        <f>VLOOKUP(C:C,재고차이!B:C,2,0)</f>
        <v/>
      </c>
      <c r="E20" s="185" t="n">
        <v>34</v>
      </c>
      <c r="F20" s="185" t="n"/>
      <c r="G20" s="185" t="n"/>
      <c r="H20" s="185" t="n"/>
      <c r="I20" s="151" t="n">
        <v>46682</v>
      </c>
      <c r="J20" s="151" t="n"/>
      <c r="K20" s="20">
        <f>IF(O20="","",O20-$I$1)</f>
        <v/>
      </c>
      <c r="L20" s="280">
        <f>IF(I20="","",SUMIF(제품등록!B:B,정리표!C:C,제품등록!F:F))</f>
        <v/>
      </c>
      <c r="M20" s="11">
        <f>IF(I20=0,"",I20-L20)</f>
        <v/>
      </c>
      <c r="N20" s="290">
        <f>IF(L20="","",L20*상미75)</f>
        <v/>
      </c>
      <c r="O20" s="11">
        <f>IF(M20="","",M20+N20)</f>
        <v/>
      </c>
      <c r="P20" s="227">
        <f>IF(T20="","",T20-$I$1)</f>
        <v/>
      </c>
    </row>
    <row r="21">
      <c r="A21" s="10">
        <f>ROW()-2</f>
        <v/>
      </c>
      <c r="B21" s="24" t="n">
        <v>2531</v>
      </c>
      <c r="C21" s="22">
        <f>VLOOKUP(B:B,재고차이!A:B,2,0)</f>
        <v/>
      </c>
      <c r="D21" s="22">
        <f>VLOOKUP(C:C,재고차이!B:C,2,0)</f>
        <v/>
      </c>
      <c r="E21" s="10" t="n"/>
      <c r="F21" s="10" t="n"/>
      <c r="G21" s="10" t="n">
        <v>9</v>
      </c>
      <c r="H21" s="10" t="n"/>
      <c r="I21" s="184" t="n">
        <v>46682</v>
      </c>
      <c r="J21" s="184" t="n"/>
      <c r="K21" s="20">
        <f>IF(O21="","",O21-$I$1)</f>
        <v/>
      </c>
      <c r="L21" s="280">
        <f>IF(I21="","",SUMIF(제품등록!B:B,정리표!C:C,제품등록!F:F))</f>
        <v/>
      </c>
      <c r="M21" s="11">
        <f>IF(I21=0,"",I21-L21)</f>
        <v/>
      </c>
      <c r="N21" s="290">
        <f>IF(L21="","",L21*상미75)</f>
        <v/>
      </c>
      <c r="O21" s="11">
        <f>IF(M21="","",M21+N21)</f>
        <v/>
      </c>
      <c r="P21" s="227">
        <f>IF(T21="","",T21-$I$1)</f>
        <v/>
      </c>
    </row>
    <row r="22">
      <c r="A22" s="10">
        <f>ROW()-2</f>
        <v/>
      </c>
      <c r="B22" s="10" t="n">
        <v>2825</v>
      </c>
      <c r="C22" s="22">
        <f>VLOOKUP(B:B,재고차이!A:B,2,0)</f>
        <v/>
      </c>
      <c r="D22" s="22">
        <f>VLOOKUP(C:C,재고차이!B:C,2,0)</f>
        <v/>
      </c>
      <c r="E22" s="185" t="n">
        <v>12</v>
      </c>
      <c r="F22" s="185" t="n"/>
      <c r="G22" s="185" t="n"/>
      <c r="H22" s="185" t="n"/>
      <c r="I22" s="151" t="n">
        <v>46270</v>
      </c>
      <c r="J22" s="184" t="n"/>
      <c r="K22" s="20">
        <f>IF(O22="","",O22-$I$1)</f>
        <v/>
      </c>
      <c r="L22" s="280">
        <f>IF(I22="","",SUMIF(제품등록!B:B,정리표!C:C,제품등록!F:F))</f>
        <v/>
      </c>
      <c r="M22" s="11">
        <f>IF(I22=0,"",I22-L22)</f>
        <v/>
      </c>
      <c r="N22" s="290">
        <f>IF(L22="","",L22*상미75)</f>
        <v/>
      </c>
      <c r="O22" s="11">
        <f>IF(M22="","",M22+N22)</f>
        <v/>
      </c>
      <c r="P22" s="227">
        <f>IF(T22="","",T22-$I$1)</f>
        <v/>
      </c>
    </row>
    <row r="23">
      <c r="A23" s="10">
        <f>ROW()-2</f>
        <v/>
      </c>
      <c r="B23" s="24" t="n">
        <v>2825</v>
      </c>
      <c r="C23" s="22">
        <f>VLOOKUP(B:B,재고차이!A:B,2,0)</f>
        <v/>
      </c>
      <c r="D23" s="22">
        <f>VLOOKUP(C:C,재고차이!B:C,2,0)</f>
        <v/>
      </c>
      <c r="E23" s="10" t="n"/>
      <c r="F23" s="10" t="n"/>
      <c r="G23" s="10" t="n">
        <v>15</v>
      </c>
      <c r="H23" s="10" t="n"/>
      <c r="I23" s="184" t="n">
        <v>46270</v>
      </c>
      <c r="J23" s="184" t="n"/>
      <c r="K23" s="20">
        <f>IF(O23="","",O23-$I$1)</f>
        <v/>
      </c>
      <c r="L23" s="280">
        <f>IF(I23="","",SUMIF(제품등록!B:B,정리표!C:C,제품등록!F:F))</f>
        <v/>
      </c>
      <c r="M23" s="11">
        <f>IF(I23=0,"",I23-L23)</f>
        <v/>
      </c>
      <c r="N23" s="290">
        <f>IF(L23="","",L23*상미75)</f>
        <v/>
      </c>
      <c r="O23" s="11">
        <f>IF(M23="","",M23+N23)</f>
        <v/>
      </c>
      <c r="P23" s="227">
        <f>IF(T23="","",T23-$I$1)</f>
        <v/>
      </c>
    </row>
    <row r="24">
      <c r="A24" s="10">
        <f>ROW()-2</f>
        <v/>
      </c>
      <c r="B24" s="10" t="n">
        <v>2825</v>
      </c>
      <c r="C24" s="22">
        <f>VLOOKUP(B:B,재고차이!A:B,2,0)</f>
        <v/>
      </c>
      <c r="D24" s="22">
        <f>VLOOKUP(C:C,재고차이!B:C,2,0)</f>
        <v/>
      </c>
      <c r="E24" s="185" t="n">
        <v>10</v>
      </c>
      <c r="F24" s="185" t="n"/>
      <c r="G24" s="185" t="n"/>
      <c r="H24" s="185" t="n"/>
      <c r="I24" s="151" t="n">
        <v>46282</v>
      </c>
      <c r="J24" s="184" t="n"/>
      <c r="K24" s="20">
        <f>IF(O24="","",O24-$I$1)</f>
        <v/>
      </c>
      <c r="L24" s="280">
        <f>IF(I24="","",SUMIF(제품등록!B:B,정리표!C:C,제품등록!F:F))</f>
        <v/>
      </c>
      <c r="M24" s="11">
        <f>IF(I24=0,"",I24-L24)</f>
        <v/>
      </c>
      <c r="N24" s="290">
        <f>IF(L24="","",L24*상미75)</f>
        <v/>
      </c>
      <c r="O24" s="11">
        <f>IF(M24="","",M24+N24)</f>
        <v/>
      </c>
      <c r="P24" s="227">
        <f>IF(T24="","",T24-$I$1)</f>
        <v/>
      </c>
    </row>
    <row r="25">
      <c r="A25" s="10">
        <f>ROW()-2</f>
        <v/>
      </c>
      <c r="B25" s="10" t="n">
        <v>2826</v>
      </c>
      <c r="C25" s="22">
        <f>VLOOKUP(B:B,재고차이!A:B,2,0)</f>
        <v/>
      </c>
      <c r="D25" s="22">
        <f>VLOOKUP(C:C,재고차이!B:C,2,0)</f>
        <v/>
      </c>
      <c r="E25" s="185" t="n">
        <v>6</v>
      </c>
      <c r="F25" s="185" t="n"/>
      <c r="G25" s="185" t="n"/>
      <c r="H25" s="185" t="n"/>
      <c r="I25" s="151" t="n">
        <v>46270</v>
      </c>
      <c r="J25" s="184" t="n"/>
      <c r="K25" s="20">
        <f>IF(O25="","",O25-$I$1)</f>
        <v/>
      </c>
      <c r="L25" s="280">
        <f>IF(I25="","",SUMIF(제품등록!B:B,정리표!C:C,제품등록!F:F))</f>
        <v/>
      </c>
      <c r="M25" s="11">
        <f>IF(I25=0,"",I25-L25)</f>
        <v/>
      </c>
      <c r="N25" s="290">
        <f>IF(L25="","",L25*상미75)</f>
        <v/>
      </c>
      <c r="O25" s="11">
        <f>IF(M25="","",M25+N25)</f>
        <v/>
      </c>
      <c r="P25" s="227">
        <f>IF(T25="","",T25-$I$1)</f>
        <v/>
      </c>
    </row>
    <row r="26">
      <c r="A26" s="10">
        <f>ROW()-2</f>
        <v/>
      </c>
      <c r="B26" s="24" t="n">
        <v>2826</v>
      </c>
      <c r="C26" s="22">
        <f>VLOOKUP(B:B,재고차이!A:B,2,0)</f>
        <v/>
      </c>
      <c r="D26" s="22">
        <f>VLOOKUP(C:C,재고차이!B:C,2,0)</f>
        <v/>
      </c>
      <c r="E26" s="10" t="n"/>
      <c r="F26" s="10" t="n"/>
      <c r="G26" s="10" t="n">
        <v>26</v>
      </c>
      <c r="H26" s="10" t="n"/>
      <c r="I26" s="184" t="n">
        <v>46270</v>
      </c>
      <c r="J26" s="184" t="n"/>
      <c r="K26" s="20">
        <f>IF(O26="","",O26-$I$1)</f>
        <v/>
      </c>
      <c r="L26" s="280">
        <f>IF(I26="","",SUMIF(제품등록!B:B,정리표!C:C,제품등록!F:F))</f>
        <v/>
      </c>
      <c r="M26" s="11">
        <f>IF(I26=0,"",I26-L26)</f>
        <v/>
      </c>
      <c r="N26" s="290">
        <f>IF(L26="","",L26*상미75)</f>
        <v/>
      </c>
      <c r="O26" s="11">
        <f>IF(M26="","",M26+N26)</f>
        <v/>
      </c>
      <c r="P26" s="227">
        <f>IF(T26="","",T26-$I$1)</f>
        <v/>
      </c>
    </row>
    <row r="27">
      <c r="A27" s="10" t="n">
        <v>16</v>
      </c>
      <c r="B27" s="24" t="n">
        <v>4112</v>
      </c>
      <c r="C27" s="22">
        <f>VLOOKUP(B:B,재고차이!A:B,2,0)</f>
        <v/>
      </c>
      <c r="D27" s="22">
        <f>VLOOKUP(C:C,재고차이!B:C,2,0)</f>
        <v/>
      </c>
      <c r="E27" s="10" t="n"/>
      <c r="F27" s="10" t="n"/>
      <c r="G27" s="10">
        <f>132+132+39</f>
        <v/>
      </c>
      <c r="H27" s="10" t="n"/>
      <c r="I27" s="236" t="n">
        <v>46273</v>
      </c>
      <c r="J27" s="236" t="inlineStr">
        <is>
          <t>상미기한 초과</t>
        </is>
      </c>
      <c r="K27" s="20">
        <f>IF(O27="","",O27-$I$1)</f>
        <v/>
      </c>
      <c r="L27" s="280">
        <f>IF(I27="","",SUMIF(제품등록!B:B,정리표!C:C,제품등록!F:F))</f>
        <v/>
      </c>
      <c r="M27" s="11">
        <f>IF(I27=0,"",I27-L27)</f>
        <v/>
      </c>
      <c r="N27" s="290">
        <f>IF(L27="","",L27*상미75)</f>
        <v/>
      </c>
      <c r="O27" s="11">
        <f>IF(M27="","",M27+N27)</f>
        <v/>
      </c>
      <c r="P27" s="227">
        <f>IF(T27="","",T27-$I$1)</f>
        <v/>
      </c>
    </row>
    <row r="28">
      <c r="A28" s="10">
        <f>ROW()-2</f>
        <v/>
      </c>
      <c r="B28" s="10" t="n">
        <v>4112</v>
      </c>
      <c r="C28" s="22">
        <f>VLOOKUP(B:B,재고차이!A:B,2,0)</f>
        <v/>
      </c>
      <c r="D28" s="22">
        <f>VLOOKUP(C:C,재고차이!B:C,2,0)</f>
        <v/>
      </c>
      <c r="E28" s="185" t="n">
        <v>1</v>
      </c>
      <c r="F28" s="185" t="n"/>
      <c r="G28" s="185" t="n"/>
      <c r="H28" s="185" t="n"/>
      <c r="I28" s="151" t="n">
        <v>46324</v>
      </c>
      <c r="J28" s="184" t="n"/>
      <c r="K28" s="20">
        <f>IF(O28="","",O28-$I$1)</f>
        <v/>
      </c>
      <c r="L28" s="280">
        <f>IF(I28="","",SUMIF(제품등록!B:B,정리표!C:C,제품등록!F:F))</f>
        <v/>
      </c>
      <c r="M28" s="11">
        <f>IF(I28=0,"",I28-L28)</f>
        <v/>
      </c>
      <c r="N28" s="290">
        <f>IF(L28="","",L28*상미75)</f>
        <v/>
      </c>
      <c r="O28" s="11">
        <f>IF(M28="","",M28+N28)</f>
        <v/>
      </c>
      <c r="P28" s="227">
        <f>IF(T28="","",T28-$I$1)</f>
        <v/>
      </c>
    </row>
    <row r="29">
      <c r="A29" s="10" t="n">
        <v>16</v>
      </c>
      <c r="B29" s="24" t="n">
        <v>4112</v>
      </c>
      <c r="C29" s="22">
        <f>VLOOKUP(B:B,재고차이!A:B,2,0)</f>
        <v/>
      </c>
      <c r="D29" s="22">
        <f>VLOOKUP(C:C,재고차이!B:C,2,0)</f>
        <v/>
      </c>
      <c r="E29" s="10" t="n"/>
      <c r="F29" s="10" t="n"/>
      <c r="G29" s="10" t="n">
        <v>44</v>
      </c>
      <c r="H29" s="10" t="n"/>
      <c r="I29" s="184" t="n">
        <v>46324</v>
      </c>
      <c r="J29" s="184" t="n"/>
      <c r="K29" s="20">
        <f>IF(O29="","",O29-$I$1)</f>
        <v/>
      </c>
      <c r="L29" s="280">
        <f>IF(I29="","",SUMIF(제품등록!B:B,정리표!C:C,제품등록!F:F))</f>
        <v/>
      </c>
      <c r="M29" s="11">
        <f>IF(I29=0,"",I29-L29)</f>
        <v/>
      </c>
      <c r="N29" s="290">
        <f>IF(L29="","",L29*상미75)</f>
        <v/>
      </c>
      <c r="O29" s="11">
        <f>IF(M29="","",M29+N29)</f>
        <v/>
      </c>
      <c r="P29" s="227">
        <f>IF(T29="","",T29-$I$1)</f>
        <v/>
      </c>
    </row>
    <row r="30" ht="17.25" customHeight="1" s="237">
      <c r="A30" s="10">
        <f>ROW()-2</f>
        <v/>
      </c>
      <c r="B30" s="10" t="n">
        <v>4125</v>
      </c>
      <c r="C30" s="22">
        <f>VLOOKUP(B:B,재고차이!A:B,2,0)</f>
        <v/>
      </c>
      <c r="D30" s="22">
        <f>VLOOKUP(C:C,재고차이!B:C,2,0)</f>
        <v/>
      </c>
      <c r="E30" s="185" t="n">
        <v>1</v>
      </c>
      <c r="F30" s="185" t="n"/>
      <c r="G30" s="185" t="n"/>
      <c r="H30" s="185" t="n"/>
      <c r="I30" s="151" t="n">
        <v>46674</v>
      </c>
      <c r="J30" s="184" t="n"/>
      <c r="K30" s="20">
        <f>IF(O30="","",O30-$I$1)</f>
        <v/>
      </c>
      <c r="L30" s="280">
        <f>IF(I30="","",SUMIF(제품등록!B:B,정리표!C:C,제품등록!F:F))</f>
        <v/>
      </c>
      <c r="M30" s="11">
        <f>IF(I30=0,"",I30-L30)</f>
        <v/>
      </c>
      <c r="N30" s="290">
        <f>IF(L30="","",L30*상미75)</f>
        <v/>
      </c>
      <c r="O30" s="11">
        <f>IF(M30="","",M30+N30)</f>
        <v/>
      </c>
      <c r="P30" s="227">
        <f>IF(T30="","",T30-$I$1)</f>
        <v/>
      </c>
    </row>
    <row r="31">
      <c r="A31" s="10">
        <f>ROW()-2</f>
        <v/>
      </c>
      <c r="B31" s="10" t="n">
        <v>4125</v>
      </c>
      <c r="C31" s="22">
        <f>VLOOKUP(B:B,재고차이!A:B,2,0)</f>
        <v/>
      </c>
      <c r="D31" s="22">
        <f>VLOOKUP(C:C,재고차이!B:C,2,0)</f>
        <v/>
      </c>
      <c r="E31" s="10" t="n"/>
      <c r="F31" s="10" t="n"/>
      <c r="G31" s="10" t="n">
        <v>1</v>
      </c>
      <c r="H31" s="10" t="n"/>
      <c r="I31" s="184" t="n">
        <v>46674</v>
      </c>
      <c r="J31" s="184" t="n"/>
      <c r="K31" s="20">
        <f>IF(O31="","",O31-$I$1)</f>
        <v/>
      </c>
      <c r="L31" s="280">
        <f>IF(I31="","",SUMIF(제품등록!B:B,정리표!C:C,제품등록!F:F))</f>
        <v/>
      </c>
      <c r="M31" s="11">
        <f>IF(I31=0,"",I31-L31)</f>
        <v/>
      </c>
      <c r="N31" s="290">
        <f>IF(L31="","",L31*상미75)</f>
        <v/>
      </c>
      <c r="O31" s="11">
        <f>IF(M31="","",M31+N31)</f>
        <v/>
      </c>
      <c r="P31" s="227">
        <f>IF(T31="","",T31-$I$1)</f>
        <v/>
      </c>
    </row>
    <row r="32">
      <c r="A32" s="10">
        <f>ROW()-2</f>
        <v/>
      </c>
      <c r="B32" s="10" t="n">
        <v>4125</v>
      </c>
      <c r="C32" s="22">
        <f>VLOOKUP(B:B,재고차이!A:B,2,0)</f>
        <v/>
      </c>
      <c r="D32" s="22">
        <f>VLOOKUP(C:C,재고차이!B:C,2,0)</f>
        <v/>
      </c>
      <c r="E32" s="185" t="n">
        <v>4</v>
      </c>
      <c r="F32" s="185" t="n"/>
      <c r="G32" s="185" t="n"/>
      <c r="H32" s="185" t="n"/>
      <c r="I32" s="151" t="n">
        <v>46697</v>
      </c>
      <c r="J32" s="184" t="n"/>
      <c r="K32" s="20">
        <f>IF(O32="","",O32-$I$1)</f>
        <v/>
      </c>
      <c r="L32" s="280">
        <f>IF(I32="","",SUMIF(제품등록!B:B,정리표!C:C,제품등록!F:F))</f>
        <v/>
      </c>
      <c r="M32" s="11">
        <f>IF(I32=0,"",I32-L32)</f>
        <v/>
      </c>
      <c r="N32" s="290">
        <f>IF(L32="","",L32*상미75)</f>
        <v/>
      </c>
      <c r="O32" s="11">
        <f>IF(M32="","",M32+N32)</f>
        <v/>
      </c>
      <c r="P32" s="227">
        <f>IF(T32="","",T32-$I$1)</f>
        <v/>
      </c>
    </row>
    <row r="33">
      <c r="A33" s="10">
        <f>ROW()-2</f>
        <v/>
      </c>
      <c r="B33" s="10" t="n">
        <v>4177</v>
      </c>
      <c r="C33" s="22">
        <f>VLOOKUP(B:B,재고차이!A:B,2,0)</f>
        <v/>
      </c>
      <c r="D33" s="22">
        <f>VLOOKUP(C:C,재고차이!B:C,2,0)</f>
        <v/>
      </c>
      <c r="E33" s="185" t="n">
        <v>1</v>
      </c>
      <c r="F33" s="185" t="n"/>
      <c r="G33" s="185" t="n"/>
      <c r="H33" s="185" t="n"/>
      <c r="I33" s="151" t="n">
        <v>46570</v>
      </c>
      <c r="J33" s="151" t="n"/>
      <c r="K33" s="20">
        <f>IF(O33="","",O33-$I$1)</f>
        <v/>
      </c>
      <c r="L33" s="280">
        <f>IF(I33="","",SUMIF(제품등록!B:B,정리표!C:C,제품등록!F:F))</f>
        <v/>
      </c>
      <c r="M33" s="11">
        <f>IF(I33=0,"",I33-L33)</f>
        <v/>
      </c>
      <c r="N33" s="290">
        <f>IF(L33="","",L33*상미75)</f>
        <v/>
      </c>
      <c r="O33" s="11">
        <f>IF(M33="","",M33+N33)</f>
        <v/>
      </c>
      <c r="P33" s="227">
        <f>IF(T33="","",T33-$I$1)</f>
        <v/>
      </c>
    </row>
    <row r="34">
      <c r="A34" s="10">
        <f>ROW()-2</f>
        <v/>
      </c>
      <c r="B34" s="24" t="n">
        <v>4177</v>
      </c>
      <c r="C34" s="22">
        <f>VLOOKUP(B:B,재고차이!A:B,2,0)</f>
        <v/>
      </c>
      <c r="D34" s="22">
        <f>VLOOKUP(C:C,재고차이!B:C,2,0)</f>
        <v/>
      </c>
      <c r="E34" s="10" t="n"/>
      <c r="F34" s="10" t="n"/>
      <c r="G34" s="10" t="n">
        <v>65</v>
      </c>
      <c r="H34" s="10" t="n"/>
      <c r="I34" s="184" t="n">
        <v>46570</v>
      </c>
      <c r="J34" s="184" t="n"/>
      <c r="K34" s="20">
        <f>IF(O34="","",O34-$I$1)</f>
        <v/>
      </c>
      <c r="L34" s="280">
        <f>IF(I34="","",SUMIF(제품등록!B:B,정리표!C:C,제품등록!F:F))</f>
        <v/>
      </c>
      <c r="M34" s="11">
        <f>IF(I34=0,"",I34-L34)</f>
        <v/>
      </c>
      <c r="N34" s="290">
        <f>IF(L34="","",L34*상미75)</f>
        <v/>
      </c>
      <c r="O34" s="11">
        <f>IF(M34="","",M34+N34)</f>
        <v/>
      </c>
      <c r="P34" s="227">
        <f>IF(T34="","",T34-$I$1)</f>
        <v/>
      </c>
    </row>
    <row r="35">
      <c r="A35" s="10">
        <f>ROW()-2</f>
        <v/>
      </c>
      <c r="B35" s="10" t="n">
        <v>4177</v>
      </c>
      <c r="C35" s="22">
        <f>VLOOKUP(B:B,재고차이!A:B,2,0)</f>
        <v/>
      </c>
      <c r="D35" s="22">
        <f>VLOOKUP(C:C,재고차이!B:C,2,0)</f>
        <v/>
      </c>
      <c r="E35" s="185" t="n">
        <v>5</v>
      </c>
      <c r="F35" s="185" t="n"/>
      <c r="G35" s="185" t="n"/>
      <c r="H35" s="185" t="n"/>
      <c r="I35" s="151" t="n">
        <v>46582</v>
      </c>
      <c r="J35" s="151" t="n"/>
      <c r="K35" s="20">
        <f>IF(O35="","",O35-$I$1)</f>
        <v/>
      </c>
      <c r="L35" s="280">
        <f>IF(I35="","",SUMIF(제품등록!B:B,정리표!C:C,제품등록!F:F))</f>
        <v/>
      </c>
      <c r="M35" s="11">
        <f>IF(I35=0,"",I35-L35)</f>
        <v/>
      </c>
      <c r="N35" s="290">
        <f>IF(L35="","",L35*상미75)</f>
        <v/>
      </c>
      <c r="O35" s="11">
        <f>IF(M35="","",M35+N35)</f>
        <v/>
      </c>
      <c r="P35" s="227">
        <f>IF(T35="","",T35-$I$1)</f>
        <v/>
      </c>
    </row>
    <row r="36">
      <c r="A36" s="10">
        <f>ROW()-2</f>
        <v/>
      </c>
      <c r="B36" s="10" t="n">
        <v>4179</v>
      </c>
      <c r="C36" s="22">
        <f>VLOOKUP(B:B,재고차이!A:B,2,0)</f>
        <v/>
      </c>
      <c r="D36" s="22">
        <f>VLOOKUP(C:C,재고차이!B:C,2,0)</f>
        <v/>
      </c>
      <c r="E36" s="185" t="n">
        <v>24</v>
      </c>
      <c r="F36" s="185" t="n"/>
      <c r="G36" s="185" t="n"/>
      <c r="H36" s="185" t="n"/>
      <c r="I36" s="151" t="n">
        <v>46683</v>
      </c>
      <c r="J36" s="151" t="n"/>
      <c r="K36" s="20">
        <f>IF(O36="","",O36-$I$1)</f>
        <v/>
      </c>
      <c r="L36" s="280">
        <f>IF(I36="","",SUMIF(제품등록!B:B,정리표!C:C,제품등록!F:F))</f>
        <v/>
      </c>
      <c r="M36" s="11">
        <f>IF(I36=0,"",I36-L36)</f>
        <v/>
      </c>
      <c r="N36" s="290">
        <f>IF(L36="","",L36*상미75)</f>
        <v/>
      </c>
      <c r="O36" s="11">
        <f>IF(M36="","",M36+N36)</f>
        <v/>
      </c>
      <c r="P36" s="227">
        <f>IF(T36="","",T36-$I$1)</f>
        <v/>
      </c>
    </row>
    <row r="37">
      <c r="A37" s="10">
        <f>ROW()-2</f>
        <v/>
      </c>
      <c r="B37" s="24" t="n">
        <v>4179</v>
      </c>
      <c r="C37" s="22">
        <f>VLOOKUP(B:B,재고차이!A:B,2,0)</f>
        <v/>
      </c>
      <c r="D37" s="22">
        <f>VLOOKUP(C:C,재고차이!B:C,2,0)</f>
        <v/>
      </c>
      <c r="E37" s="10" t="n"/>
      <c r="F37" s="10" t="n"/>
      <c r="G37" s="10" t="n">
        <v>40</v>
      </c>
      <c r="H37" s="10" t="n"/>
      <c r="I37" s="184" t="n">
        <v>46683</v>
      </c>
      <c r="J37" s="184" t="n"/>
      <c r="K37" s="20">
        <f>IF(O37="","",O37-$I$1)</f>
        <v/>
      </c>
      <c r="L37" s="280">
        <f>IF(I37="","",SUMIF(제품등록!B:B,정리표!C:C,제품등록!F:F))</f>
        <v/>
      </c>
      <c r="M37" s="11">
        <f>IF(I37=0,"",I37-L37)</f>
        <v/>
      </c>
      <c r="N37" s="290">
        <f>IF(L37="","",L37*상미75)</f>
        <v/>
      </c>
      <c r="O37" s="11">
        <f>IF(M37="","",M37+N37)</f>
        <v/>
      </c>
      <c r="P37" s="227">
        <f>IF(T37="","",T37-$I$1)</f>
        <v/>
      </c>
    </row>
    <row r="38">
      <c r="A38" s="10">
        <f>ROW()-2</f>
        <v/>
      </c>
      <c r="B38" s="10" t="n">
        <v>4179</v>
      </c>
      <c r="C38" s="22">
        <f>VLOOKUP(B:B,재고차이!A:B,2,0)</f>
        <v/>
      </c>
      <c r="D38" s="22">
        <f>VLOOKUP(C:C,재고차이!B:C,2,0)</f>
        <v/>
      </c>
      <c r="E38" s="185" t="n">
        <v>14</v>
      </c>
      <c r="F38" s="185" t="n"/>
      <c r="G38" s="185" t="n"/>
      <c r="H38" s="185" t="n"/>
      <c r="I38" s="151" t="n">
        <v>46722</v>
      </c>
      <c r="J38" s="151" t="n"/>
      <c r="K38" s="20">
        <f>IF(O38="","",O38-$I$1)</f>
        <v/>
      </c>
      <c r="L38" s="280">
        <f>IF(I38="","",SUMIF(제품등록!B:B,정리표!C:C,제품등록!F:F))</f>
        <v/>
      </c>
      <c r="M38" s="11">
        <f>IF(I38=0,"",I38-L38)</f>
        <v/>
      </c>
      <c r="N38" s="290">
        <f>IF(L38="","",L38*상미75)</f>
        <v/>
      </c>
      <c r="O38" s="11">
        <f>IF(M38="","",M38+N38)</f>
        <v/>
      </c>
      <c r="P38" s="227">
        <f>IF(T38="","",T38-$I$1)</f>
        <v/>
      </c>
    </row>
    <row r="39">
      <c r="A39" s="10">
        <f>ROW()-2</f>
        <v/>
      </c>
      <c r="B39" s="10" t="n">
        <v>4182</v>
      </c>
      <c r="C39" s="22">
        <f>VLOOKUP(B:B,재고차이!A:B,2,0)</f>
        <v/>
      </c>
      <c r="D39" s="22">
        <f>VLOOKUP(C:C,재고차이!B:C,2,0)</f>
        <v/>
      </c>
      <c r="E39" s="185" t="n">
        <v>9</v>
      </c>
      <c r="F39" s="185" t="n"/>
      <c r="G39" s="185" t="n"/>
      <c r="H39" s="185" t="n"/>
      <c r="I39" s="151" t="n">
        <v>46322</v>
      </c>
      <c r="J39" s="151" t="n"/>
      <c r="K39" s="20">
        <f>IF(O39="","",O39-$I$1)</f>
        <v/>
      </c>
      <c r="L39" s="280">
        <f>IF(I39="","",SUMIF(제품등록!B:B,정리표!C:C,제품등록!F:F))</f>
        <v/>
      </c>
      <c r="M39" s="11">
        <f>IF(I39=0,"",I39-L39)</f>
        <v/>
      </c>
      <c r="N39" s="290">
        <f>IF(L39="","",L39*상미75)</f>
        <v/>
      </c>
      <c r="O39" s="11">
        <f>IF(M39="","",M39+N39)</f>
        <v/>
      </c>
      <c r="P39" s="227">
        <f>IF(T39="","",T39-$I$1)</f>
        <v/>
      </c>
    </row>
    <row r="40">
      <c r="A40" s="10">
        <f>ROW()-2</f>
        <v/>
      </c>
      <c r="B40" s="10" t="n">
        <v>4182</v>
      </c>
      <c r="C40" s="22">
        <f>VLOOKUP(B:B,재고차이!A:B,2,0)</f>
        <v/>
      </c>
      <c r="D40" s="22">
        <f>VLOOKUP(C:C,재고차이!B:C,2,0)</f>
        <v/>
      </c>
      <c r="E40" s="10" t="n"/>
      <c r="F40" s="10" t="n"/>
      <c r="G40" s="10" t="n">
        <v>30</v>
      </c>
      <c r="H40" s="185" t="n"/>
      <c r="I40" s="184" t="n">
        <v>46323</v>
      </c>
      <c r="J40" s="151" t="n"/>
      <c r="K40" s="20">
        <f>IF(O40="","",O40-$I$1)</f>
        <v/>
      </c>
      <c r="L40" s="280">
        <f>IF(I40="","",SUMIF(제품등록!B:B,정리표!C:C,제품등록!F:F))</f>
        <v/>
      </c>
      <c r="M40" s="11">
        <f>IF(I40=0,"",I40-L40)</f>
        <v/>
      </c>
      <c r="N40" s="290">
        <f>IF(L40="","",L40*상미75)</f>
        <v/>
      </c>
      <c r="O40" s="11">
        <f>IF(M40="","",M40+N40)</f>
        <v/>
      </c>
      <c r="P40" s="227">
        <f>IF(T40="","",T40-$I$1)</f>
        <v/>
      </c>
    </row>
    <row r="41">
      <c r="A41" s="10">
        <f>ROW()-2</f>
        <v/>
      </c>
      <c r="B41" s="10" t="n">
        <v>4183</v>
      </c>
      <c r="C41" s="22">
        <f>VLOOKUP(B:B,재고차이!A:B,2,0)</f>
        <v/>
      </c>
      <c r="D41" s="22">
        <f>VLOOKUP(C:C,재고차이!B:C,2,0)</f>
        <v/>
      </c>
      <c r="E41" s="185">
        <f>64+39</f>
        <v/>
      </c>
      <c r="F41" s="185" t="n"/>
      <c r="G41" s="185" t="n"/>
      <c r="H41" s="185" t="n"/>
      <c r="I41" s="151" t="n">
        <v>46322</v>
      </c>
      <c r="J41" s="151" t="n"/>
      <c r="K41" s="20">
        <f>IF(O41="","",O41-$I$1)</f>
        <v/>
      </c>
      <c r="L41" s="280">
        <f>IF(I41="","",SUMIF(제품등록!B:B,정리표!C:C,제품등록!F:F))</f>
        <v/>
      </c>
      <c r="M41" s="11">
        <f>IF(I41=0,"",I41-L41)</f>
        <v/>
      </c>
      <c r="N41" s="290">
        <f>IF(L41="","",L41*상미75)</f>
        <v/>
      </c>
      <c r="O41" s="11">
        <f>IF(M41="","",M41+N41)</f>
        <v/>
      </c>
      <c r="P41" s="227">
        <f>IF(T41="","",T41-$I$1)</f>
        <v/>
      </c>
    </row>
    <row r="42">
      <c r="A42" s="10">
        <f>ROW()-2</f>
        <v/>
      </c>
      <c r="B42" s="24" t="n">
        <v>4183</v>
      </c>
      <c r="C42" s="22">
        <f>VLOOKUP(B:B,재고차이!A:B,2,0)</f>
        <v/>
      </c>
      <c r="D42" s="22">
        <f>VLOOKUP(C:C,재고차이!B:C,2,0)</f>
        <v/>
      </c>
      <c r="E42" s="10" t="n"/>
      <c r="F42" s="10" t="n"/>
      <c r="G42" s="10" t="n">
        <v>29</v>
      </c>
      <c r="H42" s="10" t="n"/>
      <c r="I42" s="184" t="n">
        <v>46322</v>
      </c>
      <c r="J42" s="184" t="n"/>
      <c r="K42" s="20">
        <f>IF(O42="","",O42-$I$1)</f>
        <v/>
      </c>
      <c r="L42" s="280">
        <f>IF(I42="","",SUMIF(제품등록!B:B,정리표!C:C,제품등록!F:F))</f>
        <v/>
      </c>
      <c r="M42" s="11">
        <f>IF(I42=0,"",I42-L42)</f>
        <v/>
      </c>
      <c r="N42" s="290">
        <f>IF(L42="","",L42*상미75)</f>
        <v/>
      </c>
      <c r="O42" s="11">
        <f>IF(M42="","",M42+N42)</f>
        <v/>
      </c>
      <c r="P42" s="227">
        <f>IF(T42="","",T42-$I$1)</f>
        <v/>
      </c>
    </row>
    <row r="43">
      <c r="A43" s="10">
        <f>ROW()-2</f>
        <v/>
      </c>
      <c r="B43" s="10" t="n">
        <v>4184</v>
      </c>
      <c r="C43" s="22">
        <f>VLOOKUP(B:B,재고차이!A:B,2,0)</f>
        <v/>
      </c>
      <c r="D43" s="22">
        <f>VLOOKUP(C:C,재고차이!B:C,2,0)</f>
        <v/>
      </c>
      <c r="E43" s="185" t="n">
        <v>8</v>
      </c>
      <c r="F43" s="185" t="n"/>
      <c r="G43" s="185" t="n"/>
      <c r="H43" s="185" t="n"/>
      <c r="I43" s="151" t="n">
        <v>46310</v>
      </c>
      <c r="J43" s="184" t="n"/>
      <c r="K43" s="20">
        <f>IF(O43="","",O43-$I$1)</f>
        <v/>
      </c>
      <c r="L43" s="280">
        <f>IF(I43="","",SUMIF(제품등록!B:B,정리표!C:C,제품등록!F:F))</f>
        <v/>
      </c>
      <c r="M43" s="11">
        <f>IF(I43=0,"",I43-L43)</f>
        <v/>
      </c>
      <c r="N43" s="290">
        <f>IF(L43="","",L43*상미75)</f>
        <v/>
      </c>
      <c r="O43" s="11">
        <f>IF(M43="","",M43+N43)</f>
        <v/>
      </c>
      <c r="P43" s="227">
        <f>IF(T43="","",T43-$I$1)</f>
        <v/>
      </c>
    </row>
    <row r="44">
      <c r="A44" s="10">
        <f>ROW()-2</f>
        <v/>
      </c>
      <c r="B44" s="24" t="n">
        <v>4184</v>
      </c>
      <c r="C44" s="22">
        <f>VLOOKUP(B:B,재고차이!A:B,2,0)</f>
        <v/>
      </c>
      <c r="D44" s="22">
        <f>VLOOKUP(C:C,재고차이!B:C,2,0)</f>
        <v/>
      </c>
      <c r="E44" s="10" t="n"/>
      <c r="F44" s="10" t="n"/>
      <c r="G44" s="10" t="n">
        <v>56</v>
      </c>
      <c r="H44" s="10" t="n"/>
      <c r="I44" s="184" t="n">
        <v>46310</v>
      </c>
      <c r="J44" s="184" t="n"/>
      <c r="K44" s="20">
        <f>IF(O44="","",O44-$I$1)</f>
        <v/>
      </c>
      <c r="L44" s="280">
        <f>IF(I44="","",SUMIF(제품등록!B:B,정리표!C:C,제품등록!F:F))</f>
        <v/>
      </c>
      <c r="M44" s="11">
        <f>IF(I44=0,"",I44-L44)</f>
        <v/>
      </c>
      <c r="N44" s="290">
        <f>IF(L44="","",L44*상미75)</f>
        <v/>
      </c>
      <c r="O44" s="11">
        <f>IF(M44="","",M44+N44)</f>
        <v/>
      </c>
      <c r="P44" s="227">
        <f>IF(T44="","",T44-$I$1)</f>
        <v/>
      </c>
    </row>
    <row r="45">
      <c r="A45" s="10">
        <f>ROW()-2</f>
        <v/>
      </c>
      <c r="B45" s="10" t="n">
        <v>4184</v>
      </c>
      <c r="C45" s="22">
        <f>VLOOKUP(B:B,재고차이!A:B,2,0)</f>
        <v/>
      </c>
      <c r="D45" s="22">
        <f>VLOOKUP(C:C,재고차이!B:C,2,0)</f>
        <v/>
      </c>
      <c r="E45" s="185" t="n">
        <v>28</v>
      </c>
      <c r="F45" s="185" t="n"/>
      <c r="G45" s="185" t="n"/>
      <c r="H45" s="185" t="n"/>
      <c r="I45" s="151" t="n">
        <v>46339</v>
      </c>
      <c r="J45" s="184" t="n"/>
      <c r="K45" s="20">
        <f>IF(O45="","",O45-$I$1)</f>
        <v/>
      </c>
      <c r="L45" s="280">
        <f>IF(I45="","",SUMIF(제품등록!B:B,정리표!C:C,제품등록!F:F))</f>
        <v/>
      </c>
      <c r="M45" s="11">
        <f>IF(I45=0,"",I45-L45)</f>
        <v/>
      </c>
      <c r="N45" s="290">
        <f>IF(L45="","",L45*상미75)</f>
        <v/>
      </c>
      <c r="O45" s="11">
        <f>IF(M45="","",M45+N45)</f>
        <v/>
      </c>
      <c r="P45" s="227">
        <f>IF(T45="","",T45-$I$1)</f>
        <v/>
      </c>
    </row>
    <row r="46">
      <c r="A46" s="10">
        <f>ROW()-2</f>
        <v/>
      </c>
      <c r="B46" s="10" t="n">
        <v>4259</v>
      </c>
      <c r="C46" s="22">
        <f>VLOOKUP(B:B,재고차이!A:B,2,0)</f>
        <v/>
      </c>
      <c r="D46" s="22">
        <f>VLOOKUP(C:C,재고차이!B:C,2,0)</f>
        <v/>
      </c>
      <c r="E46" s="185" t="n">
        <v>6</v>
      </c>
      <c r="F46" s="185" t="n"/>
      <c r="G46" s="185" t="n"/>
      <c r="H46" s="185" t="n"/>
      <c r="I46" s="151" t="n">
        <v>46675</v>
      </c>
      <c r="J46" s="184" t="n"/>
      <c r="K46" s="20">
        <f>IF(O46="","",O46-$I$1)</f>
        <v/>
      </c>
      <c r="L46" s="280">
        <f>IF(I46="","",SUMIF(제품등록!B:B,정리표!C:C,제품등록!F:F))</f>
        <v/>
      </c>
      <c r="M46" s="11">
        <f>IF(I46=0,"",I46-L46)</f>
        <v/>
      </c>
      <c r="N46" s="290">
        <f>IF(L46="","",L46*상미75)</f>
        <v/>
      </c>
      <c r="O46" s="11">
        <f>IF(M46="","",M46+N46)</f>
        <v/>
      </c>
      <c r="P46" s="227">
        <f>IF(T46="","",T46-$I$1)</f>
        <v/>
      </c>
    </row>
    <row r="47">
      <c r="A47" s="10">
        <f>ROW()-2</f>
        <v/>
      </c>
      <c r="B47" s="10" t="n">
        <v>4259</v>
      </c>
      <c r="C47" s="22">
        <f>VLOOKUP(B:B,재고차이!A:B,2,0)</f>
        <v/>
      </c>
      <c r="D47" s="22">
        <f>VLOOKUP(C:C,재고차이!B:C,2,0)</f>
        <v/>
      </c>
      <c r="E47" s="10" t="n"/>
      <c r="F47" s="10" t="n"/>
      <c r="G47" s="10" t="n">
        <v>12</v>
      </c>
      <c r="H47" s="10" t="n"/>
      <c r="I47" s="184" t="n">
        <v>46675</v>
      </c>
      <c r="J47" s="184" t="n"/>
      <c r="K47" s="20">
        <f>IF(O47="","",O47-$I$1)</f>
        <v/>
      </c>
      <c r="L47" s="280">
        <f>IF(I47="","",SUMIF(제품등록!B:B,정리표!C:C,제품등록!F:F))</f>
        <v/>
      </c>
      <c r="M47" s="11">
        <f>IF(I47=0,"",I47-L47)</f>
        <v/>
      </c>
      <c r="N47" s="290">
        <f>IF(L47="","",L47*상미75)</f>
        <v/>
      </c>
      <c r="O47" s="11">
        <f>IF(M47="","",M47+N47)</f>
        <v/>
      </c>
      <c r="P47" s="227">
        <f>IF(T47="","",T47-$I$1)</f>
        <v/>
      </c>
    </row>
    <row r="48">
      <c r="A48" s="10">
        <f>ROW()-2</f>
        <v/>
      </c>
      <c r="B48" s="10" t="n">
        <v>4259</v>
      </c>
      <c r="C48" s="22">
        <f>VLOOKUP(B:B,재고차이!A:B,2,0)</f>
        <v/>
      </c>
      <c r="D48" s="22">
        <f>VLOOKUP(C:C,재고차이!B:C,2,0)</f>
        <v/>
      </c>
      <c r="E48" s="185" t="n">
        <v>3</v>
      </c>
      <c r="F48" s="185" t="n"/>
      <c r="G48" s="185" t="n"/>
      <c r="H48" s="185" t="n"/>
      <c r="I48" s="151" t="n">
        <v>46676</v>
      </c>
      <c r="J48" s="184" t="n"/>
      <c r="K48" s="20">
        <f>IF(O48="","",O48-$I$1)</f>
        <v/>
      </c>
      <c r="L48" s="280">
        <f>IF(I48="","",SUMIF(제품등록!B:B,정리표!C:C,제품등록!F:F))</f>
        <v/>
      </c>
      <c r="M48" s="11">
        <f>IF(I48=0,"",I48-L48)</f>
        <v/>
      </c>
      <c r="N48" s="290">
        <f>IF(L48="","",L48*상미75)</f>
        <v/>
      </c>
      <c r="O48" s="11">
        <f>IF(M48="","",M48+N48)</f>
        <v/>
      </c>
      <c r="P48" s="227">
        <f>IF(T48="","",T48-$I$1)</f>
        <v/>
      </c>
    </row>
    <row r="49">
      <c r="A49" s="10">
        <f>ROW()-2</f>
        <v/>
      </c>
      <c r="B49" s="10" t="n">
        <v>4281</v>
      </c>
      <c r="C49" s="22">
        <f>VLOOKUP(B:B,재고차이!A:B,2,0)</f>
        <v/>
      </c>
      <c r="D49" s="22">
        <f>VLOOKUP(C:C,재고차이!B:C,2,0)</f>
        <v/>
      </c>
      <c r="E49" s="185" t="n">
        <v>1</v>
      </c>
      <c r="F49" s="185" t="n"/>
      <c r="G49" s="185" t="n"/>
      <c r="H49" s="185" t="n"/>
      <c r="I49" s="151" t="n">
        <v>46297</v>
      </c>
      <c r="J49" s="184" t="n"/>
      <c r="K49" s="20">
        <f>IF(O49="","",O49-$I$1)</f>
        <v/>
      </c>
      <c r="L49" s="280">
        <f>IF(I49="","",SUMIF(제품등록!B:B,정리표!C:C,제품등록!F:F))</f>
        <v/>
      </c>
      <c r="M49" s="11">
        <f>IF(I49=0,"",I49-L49)</f>
        <v/>
      </c>
      <c r="N49" s="290">
        <f>IF(L49="","",L49*상미75)</f>
        <v/>
      </c>
      <c r="O49" s="11">
        <f>IF(M49="","",M49+N49)</f>
        <v/>
      </c>
      <c r="P49" s="227">
        <f>IF(T49="","",T49-$I$1)</f>
        <v/>
      </c>
    </row>
    <row r="50">
      <c r="A50" s="10">
        <f>ROW()-2</f>
        <v/>
      </c>
      <c r="B50" s="10" t="n">
        <v>4281</v>
      </c>
      <c r="C50" s="22">
        <f>VLOOKUP(B:B,재고차이!A:B,2,0)</f>
        <v/>
      </c>
      <c r="D50" s="22">
        <f>VLOOKUP(C:C,재고차이!B:C,2,0)</f>
        <v/>
      </c>
      <c r="E50" s="10" t="n"/>
      <c r="F50" s="10" t="n"/>
      <c r="G50" s="10" t="n">
        <v>41</v>
      </c>
      <c r="H50" s="10" t="n"/>
      <c r="I50" s="184" t="n">
        <v>46297</v>
      </c>
      <c r="J50" s="184" t="n"/>
      <c r="K50" s="20">
        <f>IF(O50="","",O50-$I$1)</f>
        <v/>
      </c>
      <c r="L50" s="280">
        <f>IF(I50="","",SUMIF(제품등록!B:B,정리표!C:C,제품등록!F:F))</f>
        <v/>
      </c>
      <c r="M50" s="11">
        <f>IF(I50=0,"",I50-L50)</f>
        <v/>
      </c>
      <c r="N50" s="290">
        <f>IF(L50="","",L50*상미75)</f>
        <v/>
      </c>
      <c r="O50" s="11">
        <f>IF(M50="","",M50+N50)</f>
        <v/>
      </c>
      <c r="P50" s="227">
        <f>IF(T50="","",T50-$I$1)</f>
        <v/>
      </c>
    </row>
    <row r="51">
      <c r="A51" s="10">
        <f>ROW()-2</f>
        <v/>
      </c>
      <c r="B51" s="10" t="n">
        <v>4281</v>
      </c>
      <c r="C51" s="22">
        <f>VLOOKUP(B:B,재고차이!A:B,2,0)</f>
        <v/>
      </c>
      <c r="D51" s="22">
        <f>VLOOKUP(C:C,재고차이!B:C,2,0)</f>
        <v/>
      </c>
      <c r="E51" s="185" t="n">
        <v>2</v>
      </c>
      <c r="F51" s="185" t="n"/>
      <c r="G51" s="185" t="n"/>
      <c r="H51" s="185" t="n"/>
      <c r="I51" s="151" t="n">
        <v>46339</v>
      </c>
      <c r="J51" s="184" t="n"/>
      <c r="K51" s="20">
        <f>IF(O51="","",O51-$I$1)</f>
        <v/>
      </c>
      <c r="L51" s="280">
        <f>IF(I51="","",SUMIF(제품등록!B:B,정리표!C:C,제품등록!F:F))</f>
        <v/>
      </c>
      <c r="M51" s="11">
        <f>IF(I51=0,"",I51-L51)</f>
        <v/>
      </c>
      <c r="N51" s="290">
        <f>IF(L51="","",L51*상미75)</f>
        <v/>
      </c>
      <c r="O51" s="11">
        <f>IF(M51="","",M51+N51)</f>
        <v/>
      </c>
      <c r="P51" s="227">
        <f>IF(T51="","",T51-$I$1)</f>
        <v/>
      </c>
    </row>
    <row r="52">
      <c r="A52" s="10">
        <f>ROW()-2</f>
        <v/>
      </c>
      <c r="B52" s="10" t="n">
        <v>4290</v>
      </c>
      <c r="C52" s="22">
        <f>VLOOKUP(B:B,재고차이!A:B,2,0)</f>
        <v/>
      </c>
      <c r="D52" s="22">
        <f>VLOOKUP(C:C,재고차이!B:C,2,0)</f>
        <v/>
      </c>
      <c r="E52" s="185" t="n">
        <v>10</v>
      </c>
      <c r="F52" s="185" t="n"/>
      <c r="G52" s="185" t="n"/>
      <c r="H52" s="185" t="n"/>
      <c r="I52" s="151" t="n">
        <v>46349</v>
      </c>
      <c r="J52" s="184" t="n"/>
      <c r="K52" s="20">
        <f>IF(O52="","",O52-$I$1)</f>
        <v/>
      </c>
      <c r="L52" s="280">
        <f>IF(I52="","",SUMIF(제품등록!B:B,정리표!C:C,제품등록!F:F))</f>
        <v/>
      </c>
      <c r="M52" s="11">
        <f>IF(I52=0,"",I52-L52)</f>
        <v/>
      </c>
      <c r="N52" s="290">
        <f>IF(L52="","",L52*상미75)</f>
        <v/>
      </c>
      <c r="O52" s="11">
        <f>IF(M52="","",M52+N52)</f>
        <v/>
      </c>
      <c r="P52" s="227">
        <f>IF(T52="","",T52-$I$1)</f>
        <v/>
      </c>
    </row>
    <row r="53">
      <c r="A53" s="10">
        <f>ROW()-2</f>
        <v/>
      </c>
      <c r="B53" s="10" t="n">
        <v>4290</v>
      </c>
      <c r="C53" s="22">
        <f>VLOOKUP(B:B,재고차이!A:B,2,0)</f>
        <v/>
      </c>
      <c r="D53" s="22">
        <f>VLOOKUP(C:C,재고차이!B:C,2,0)</f>
        <v/>
      </c>
      <c r="E53" s="10" t="n"/>
      <c r="F53" s="10" t="n"/>
      <c r="G53" s="10" t="n">
        <v>31</v>
      </c>
      <c r="H53" s="10" t="n"/>
      <c r="I53" s="184" t="n">
        <v>46349</v>
      </c>
      <c r="J53" s="184" t="n"/>
      <c r="K53" s="20">
        <f>IF(O53="","",O53-$I$1)</f>
        <v/>
      </c>
      <c r="L53" s="280">
        <f>IF(I53="","",SUMIF(제품등록!B:B,정리표!C:C,제품등록!F:F))</f>
        <v/>
      </c>
      <c r="M53" s="11">
        <f>IF(I53=0,"",I53-L53)</f>
        <v/>
      </c>
      <c r="N53" s="290">
        <f>IF(L53="","",L53*상미75)</f>
        <v/>
      </c>
      <c r="O53" s="11">
        <f>IF(M53="","",M53+N53)</f>
        <v/>
      </c>
      <c r="P53" s="227">
        <f>IF(T53="","",T53-$I$1)</f>
        <v/>
      </c>
    </row>
    <row r="54">
      <c r="A54" s="10">
        <f>ROW()-2</f>
        <v/>
      </c>
      <c r="B54" s="10" t="n">
        <v>4432</v>
      </c>
      <c r="C54" s="22">
        <f>VLOOKUP(B:B,재고차이!A:B,2,0)</f>
        <v/>
      </c>
      <c r="D54" s="22">
        <f>VLOOKUP(C:C,재고차이!B:C,2,0)</f>
        <v/>
      </c>
      <c r="E54" s="10">
        <f>10+58</f>
        <v/>
      </c>
      <c r="F54" s="10" t="n"/>
      <c r="G54" s="185" t="n"/>
      <c r="H54" s="185" t="n"/>
      <c r="I54" s="184" t="n">
        <v>46267</v>
      </c>
      <c r="J54" s="151" t="n"/>
      <c r="K54" s="20">
        <f>IF(O54="","",O54-$I$1)</f>
        <v/>
      </c>
      <c r="L54" s="280">
        <f>IF(I54="","",SUMIF(제품등록!B:B,정리표!C:C,제품등록!F:F))</f>
        <v/>
      </c>
      <c r="M54" s="11">
        <f>IF(I54=0,"",I54-L54)</f>
        <v/>
      </c>
      <c r="N54" s="290">
        <f>IF(L54="","",L54*상미75)</f>
        <v/>
      </c>
      <c r="O54" s="11">
        <f>IF(M54="","",M54+N54)</f>
        <v/>
      </c>
      <c r="P54" s="227">
        <f>IF(T54="","",T54-$I$1)</f>
        <v/>
      </c>
    </row>
    <row r="55">
      <c r="A55" s="10">
        <f>ROW()-2</f>
        <v/>
      </c>
      <c r="B55" s="24" t="n">
        <v>4432</v>
      </c>
      <c r="C55" s="22">
        <f>VLOOKUP(B:B,재고차이!A:B,2,0)</f>
        <v/>
      </c>
      <c r="D55" s="22">
        <f>VLOOKUP(C:C,재고차이!B:C,2,0)</f>
        <v/>
      </c>
      <c r="E55" s="10" t="n"/>
      <c r="F55" s="10" t="n"/>
      <c r="G55" s="10" t="n">
        <v>55</v>
      </c>
      <c r="H55" s="10" t="n"/>
      <c r="I55" s="184" t="n">
        <v>46267</v>
      </c>
      <c r="J55" s="184" t="n"/>
      <c r="K55" s="20">
        <f>IF(O55="","",O55-$I$1)</f>
        <v/>
      </c>
      <c r="L55" s="280">
        <f>IF(I55="","",SUMIF(제품등록!B:B,정리표!C:C,제품등록!F:F))</f>
        <v/>
      </c>
      <c r="M55" s="11">
        <f>IF(I55=0,"",I55-L55)</f>
        <v/>
      </c>
      <c r="N55" s="290">
        <f>IF(L55="","",L55*상미75)</f>
        <v/>
      </c>
      <c r="O55" s="11">
        <f>IF(M55="","",M55+N55)</f>
        <v/>
      </c>
      <c r="P55" s="227">
        <f>IF(T55="","",T55-$I$1)</f>
        <v/>
      </c>
    </row>
    <row r="56">
      <c r="A56" s="10">
        <f>ROW()-2</f>
        <v/>
      </c>
      <c r="B56" s="10" t="n">
        <v>4432</v>
      </c>
      <c r="C56" s="22">
        <f>VLOOKUP(B:B,재고차이!A:B,2,0)</f>
        <v/>
      </c>
      <c r="D56" s="22">
        <f>VLOOKUP(C:C,재고차이!B:C,2,0)</f>
        <v/>
      </c>
      <c r="E56" s="10">
        <f>32+32</f>
        <v/>
      </c>
      <c r="F56" s="10" t="n"/>
      <c r="G56" s="185" t="n"/>
      <c r="H56" s="185" t="n"/>
      <c r="I56" s="184" t="n">
        <v>46268</v>
      </c>
      <c r="J56" s="151" t="n"/>
      <c r="K56" s="20">
        <f>IF(O56="","",O56-$I$1)</f>
        <v/>
      </c>
      <c r="L56" s="280">
        <f>IF(I56="","",SUMIF(제품등록!B:B,정리표!C:C,제품등록!F:F))</f>
        <v/>
      </c>
      <c r="M56" s="11">
        <f>IF(I56=0,"",I56-L56)</f>
        <v/>
      </c>
      <c r="N56" s="290">
        <f>IF(L56="","",L56*상미75)</f>
        <v/>
      </c>
      <c r="O56" s="11">
        <f>IF(M56="","",M56+N56)</f>
        <v/>
      </c>
      <c r="P56" s="227">
        <f>IF(T56="","",T56-$I$1)</f>
        <v/>
      </c>
    </row>
    <row r="57">
      <c r="A57" s="10">
        <f>ROW()-2</f>
        <v/>
      </c>
      <c r="B57" s="10" t="n">
        <v>4823</v>
      </c>
      <c r="C57" s="22">
        <f>VLOOKUP(B:B,재고차이!A:B,2,0)</f>
        <v/>
      </c>
      <c r="D57" s="22">
        <f>VLOOKUP(C:C,재고차이!B:C,2,0)</f>
        <v/>
      </c>
      <c r="E57" s="185" t="n">
        <v>9</v>
      </c>
      <c r="F57" s="185" t="n"/>
      <c r="G57" s="185" t="n"/>
      <c r="H57" s="185" t="n"/>
      <c r="I57" s="151" t="n">
        <v>46708</v>
      </c>
      <c r="J57" s="151" t="n"/>
      <c r="K57" s="20">
        <f>IF(O57="","",O57-$I$1)</f>
        <v/>
      </c>
      <c r="L57" s="280">
        <f>IF(I57="","",SUMIF(제품등록!B:B,정리표!C:C,제품등록!F:F))</f>
        <v/>
      </c>
      <c r="M57" s="11">
        <f>IF(I57=0,"",I57-L57)</f>
        <v/>
      </c>
      <c r="N57" s="290">
        <f>IF(L57="","",L57*상미75)</f>
        <v/>
      </c>
      <c r="O57" s="11">
        <f>IF(M57="","",M57+N57)</f>
        <v/>
      </c>
      <c r="P57" s="227">
        <f>IF(T57="","",T57-$I$1)</f>
        <v/>
      </c>
    </row>
    <row r="58">
      <c r="A58" s="10">
        <f>ROW()-2</f>
        <v/>
      </c>
      <c r="B58" s="24" t="n">
        <v>4823</v>
      </c>
      <c r="C58" s="22">
        <f>VLOOKUP(B:B,재고차이!A:B,2,0)</f>
        <v/>
      </c>
      <c r="D58" s="22">
        <f>VLOOKUP(C:C,재고차이!B:C,2,0)</f>
        <v/>
      </c>
      <c r="E58" s="10" t="n"/>
      <c r="F58" s="10" t="n"/>
      <c r="G58" s="10" t="n">
        <v>63</v>
      </c>
      <c r="H58" s="10" t="n"/>
      <c r="I58" s="184" t="n">
        <v>46708</v>
      </c>
      <c r="J58" s="184" t="n"/>
      <c r="K58" s="20">
        <f>IF(O58="","",O58-$I$1)</f>
        <v/>
      </c>
      <c r="L58" s="280">
        <f>IF(I58="","",SUMIF(제품등록!B:B,정리표!C:C,제품등록!F:F))</f>
        <v/>
      </c>
      <c r="M58" s="11">
        <f>IF(I58=0,"",I58-L58)</f>
        <v/>
      </c>
      <c r="N58" s="290">
        <f>IF(L58="","",L58*상미75)</f>
        <v/>
      </c>
      <c r="O58" s="11">
        <f>IF(M58="","",M58+N58)</f>
        <v/>
      </c>
      <c r="P58" s="227">
        <f>IF(T58="","",T58-$I$1)</f>
        <v/>
      </c>
    </row>
    <row r="59">
      <c r="A59" s="10">
        <f>ROW()-2</f>
        <v/>
      </c>
      <c r="B59" s="10" t="n">
        <v>4872</v>
      </c>
      <c r="C59" s="22">
        <f>VLOOKUP(B:B,재고차이!A:B,2,0)</f>
        <v/>
      </c>
      <c r="D59" s="22">
        <f>VLOOKUP(C:C,재고차이!B:C,2,0)</f>
        <v/>
      </c>
      <c r="E59" s="185" t="n">
        <v>10</v>
      </c>
      <c r="F59" s="185" t="n"/>
      <c r="G59" s="185" t="n"/>
      <c r="H59" s="185" t="n"/>
      <c r="I59" s="151" t="n">
        <v>46366</v>
      </c>
      <c r="J59" s="151" t="n"/>
      <c r="K59" s="20">
        <f>IF(O59="","",O59-$I$1)</f>
        <v/>
      </c>
      <c r="L59" s="280">
        <f>IF(I59="","",SUMIF(제품등록!B:B,정리표!C:C,제품등록!F:F))</f>
        <v/>
      </c>
      <c r="M59" s="11">
        <f>IF(I59=0,"",I59-L59)</f>
        <v/>
      </c>
      <c r="N59" s="290">
        <f>IF(L59="","",L59*상미75)</f>
        <v/>
      </c>
      <c r="O59" s="11">
        <f>IF(M59="","",M59+N59)</f>
        <v/>
      </c>
      <c r="P59" s="227">
        <f>IF(T59="","",T59-$I$1)</f>
        <v/>
      </c>
    </row>
    <row r="60">
      <c r="A60" s="10">
        <f>ROW()-2</f>
        <v/>
      </c>
      <c r="B60" s="10" t="n">
        <v>4872</v>
      </c>
      <c r="C60" s="22">
        <f>VLOOKUP(B:B,재고차이!A:B,2,0)</f>
        <v/>
      </c>
      <c r="D60" s="22">
        <f>VLOOKUP(C:C,재고차이!B:C,2,0)</f>
        <v/>
      </c>
      <c r="E60" s="185" t="n">
        <v>24</v>
      </c>
      <c r="F60" s="185" t="n"/>
      <c r="G60" s="185" t="n"/>
      <c r="H60" s="185" t="n"/>
      <c r="I60" s="151" t="n">
        <v>46367</v>
      </c>
      <c r="J60" s="151" t="n"/>
      <c r="K60" s="20">
        <f>IF(O60="","",O60-$I$1)</f>
        <v/>
      </c>
      <c r="L60" s="280">
        <f>IF(I60="","",SUMIF(제품등록!B:B,정리표!C:C,제품등록!F:F))</f>
        <v/>
      </c>
      <c r="M60" s="11">
        <f>IF(I60=0,"",I60-L60)</f>
        <v/>
      </c>
      <c r="N60" s="290">
        <f>IF(L60="","",L60*상미75)</f>
        <v/>
      </c>
      <c r="O60" s="11">
        <f>IF(M60="","",M60+N60)</f>
        <v/>
      </c>
      <c r="P60" s="227">
        <f>IF(T60="","",T60-$I$1)</f>
        <v/>
      </c>
    </row>
    <row r="61">
      <c r="A61" s="10">
        <f>ROW()-2</f>
        <v/>
      </c>
      <c r="B61" s="24" t="n">
        <v>4872</v>
      </c>
      <c r="C61" s="22">
        <f>VLOOKUP(B:B,재고차이!A:B,2,0)</f>
        <v/>
      </c>
      <c r="D61" s="22">
        <f>VLOOKUP(C:C,재고차이!B:C,2,0)</f>
        <v/>
      </c>
      <c r="E61" s="10" t="n"/>
      <c r="F61" s="10" t="n"/>
      <c r="G61" s="10" t="n">
        <v>111</v>
      </c>
      <c r="H61" s="10" t="n"/>
      <c r="I61" s="184" t="n">
        <v>46367</v>
      </c>
      <c r="J61" s="184" t="n"/>
      <c r="K61" s="20">
        <f>IF(O61="","",O61-$I$1)</f>
        <v/>
      </c>
      <c r="L61" s="280">
        <f>IF(I61="","",SUMIF(제품등록!B:B,정리표!C:C,제품등록!F:F))</f>
        <v/>
      </c>
      <c r="M61" s="11">
        <f>IF(I61=0,"",I61-L61)</f>
        <v/>
      </c>
      <c r="N61" s="290">
        <f>IF(L61="","",L61*상미75)</f>
        <v/>
      </c>
      <c r="O61" s="11">
        <f>IF(M61="","",M61+N61)</f>
        <v/>
      </c>
      <c r="P61" s="227">
        <f>IF(T61="","",T61-$I$1)</f>
        <v/>
      </c>
    </row>
    <row r="62">
      <c r="A62" s="10">
        <f>ROW()-2</f>
        <v/>
      </c>
      <c r="B62" s="10" t="n">
        <v>4879</v>
      </c>
      <c r="C62" s="22">
        <f>VLOOKUP(B:B,재고차이!A:B,2,0)</f>
        <v/>
      </c>
      <c r="D62" s="22">
        <f>VLOOKUP(C:C,재고차이!B:C,2,0)</f>
        <v/>
      </c>
      <c r="E62" s="185" t="n">
        <v>5</v>
      </c>
      <c r="F62" s="185" t="n"/>
      <c r="G62" s="185" t="n"/>
      <c r="H62" s="185" t="n"/>
      <c r="I62" s="151" t="n">
        <v>46358</v>
      </c>
      <c r="J62" s="151" t="n"/>
      <c r="K62" s="20">
        <f>IF(O62="","",O62-$I$1)</f>
        <v/>
      </c>
      <c r="L62" s="280">
        <f>IF(I62="","",SUMIF(제품등록!B:B,정리표!C:C,제품등록!F:F))</f>
        <v/>
      </c>
      <c r="M62" s="11">
        <f>IF(I62=0,"",I62-L62)</f>
        <v/>
      </c>
      <c r="N62" s="290">
        <f>IF(L62="","",L62*상미75)</f>
        <v/>
      </c>
      <c r="O62" s="11">
        <f>IF(M62="","",M62+N62)</f>
        <v/>
      </c>
      <c r="P62" s="227">
        <f>IF(T62="","",T62-$I$1)</f>
        <v/>
      </c>
    </row>
    <row r="63">
      <c r="A63" s="10">
        <f>ROW()-2</f>
        <v/>
      </c>
      <c r="B63" s="24" t="n">
        <v>4879</v>
      </c>
      <c r="C63" s="22">
        <f>VLOOKUP(B:B,재고차이!A:B,2,0)</f>
        <v/>
      </c>
      <c r="D63" s="22">
        <f>VLOOKUP(C:C,재고차이!B:C,2,0)</f>
        <v/>
      </c>
      <c r="E63" s="10" t="n"/>
      <c r="F63" s="10" t="n"/>
      <c r="G63" s="10" t="n">
        <v>56</v>
      </c>
      <c r="H63" s="10" t="n"/>
      <c r="I63" s="184" t="n">
        <v>46358</v>
      </c>
      <c r="J63" s="184" t="n"/>
      <c r="K63" s="20">
        <f>IF(O63="","",O63-$I$1)</f>
        <v/>
      </c>
      <c r="L63" s="280">
        <f>IF(I63="","",SUMIF(제품등록!B:B,정리표!C:C,제품등록!F:F))</f>
        <v/>
      </c>
      <c r="M63" s="11">
        <f>IF(I63=0,"",I63-L63)</f>
        <v/>
      </c>
      <c r="N63" s="290">
        <f>IF(L63="","",L63*상미75)</f>
        <v/>
      </c>
      <c r="O63" s="11">
        <f>IF(M63="","",M63+N63)</f>
        <v/>
      </c>
      <c r="P63" s="227">
        <f>IF(T63="","",T63-$I$1)</f>
        <v/>
      </c>
    </row>
    <row r="64">
      <c r="A64" s="10">
        <f>ROW()-2</f>
        <v/>
      </c>
      <c r="B64" s="10" t="n">
        <v>4899</v>
      </c>
      <c r="C64" s="22">
        <f>VLOOKUP(B:B,재고차이!A:B,2,0)</f>
        <v/>
      </c>
      <c r="D64" s="22">
        <f>VLOOKUP(C:C,재고차이!B:C,2,0)</f>
        <v/>
      </c>
      <c r="E64" s="185" t="n">
        <v>12</v>
      </c>
      <c r="F64" s="185" t="n"/>
      <c r="G64" s="185" t="n"/>
      <c r="H64" s="185" t="n"/>
      <c r="I64" s="151" t="n">
        <v>46343</v>
      </c>
      <c r="J64" s="151" t="n"/>
      <c r="K64" s="20">
        <f>IF(O64="","",O64-$I$1)</f>
        <v/>
      </c>
      <c r="L64" s="280">
        <f>IF(I64="","",SUMIF(제품등록!B:B,정리표!C:C,제품등록!F:F))</f>
        <v/>
      </c>
      <c r="M64" s="11">
        <f>IF(I64=0,"",I64-L64)</f>
        <v/>
      </c>
      <c r="N64" s="290">
        <f>IF(L64="","",L64*상미75)</f>
        <v/>
      </c>
      <c r="O64" s="11">
        <f>IF(M64="","",M64+N64)</f>
        <v/>
      </c>
      <c r="P64" s="227">
        <f>IF(T64="","",T64-$I$1)</f>
        <v/>
      </c>
    </row>
    <row r="65">
      <c r="A65" s="10">
        <f>ROW()-2</f>
        <v/>
      </c>
      <c r="B65" s="24" t="n">
        <v>4899</v>
      </c>
      <c r="C65" s="22">
        <f>VLOOKUP(B:B,재고차이!A:B,2,0)</f>
        <v/>
      </c>
      <c r="D65" s="22">
        <f>VLOOKUP(C:C,재고차이!B:C,2,0)</f>
        <v/>
      </c>
      <c r="E65" s="10" t="n"/>
      <c r="F65" s="10" t="n"/>
      <c r="G65" s="10" t="n">
        <v>12</v>
      </c>
      <c r="H65" s="10" t="n"/>
      <c r="I65" s="184" t="n">
        <v>46343</v>
      </c>
      <c r="J65" s="184" t="n"/>
      <c r="K65" s="20">
        <f>IF(O65="","",O65-$I$1)</f>
        <v/>
      </c>
      <c r="L65" s="280">
        <f>IF(I65="","",SUMIF(제품등록!B:B,정리표!C:C,제품등록!F:F))</f>
        <v/>
      </c>
      <c r="M65" s="11">
        <f>IF(I65=0,"",I65-L65)</f>
        <v/>
      </c>
      <c r="N65" s="290">
        <f>IF(L65="","",L65*상미75)</f>
        <v/>
      </c>
      <c r="O65" s="11">
        <f>IF(M65="","",M65+N65)</f>
        <v/>
      </c>
    </row>
    <row r="66">
      <c r="A66" s="10">
        <f>ROW()-2</f>
        <v/>
      </c>
      <c r="B66" s="24" t="n">
        <v>4929</v>
      </c>
      <c r="C66" s="22">
        <f>VLOOKUP(B:B,재고차이!A:B,2,0)</f>
        <v/>
      </c>
      <c r="D66" s="22">
        <f>VLOOKUP(C:C,재고차이!B:C,2,0)</f>
        <v/>
      </c>
      <c r="E66" s="10" t="n"/>
      <c r="F66" s="10" t="n"/>
      <c r="G66" s="10" t="n">
        <v>93</v>
      </c>
      <c r="H66" s="10" t="n"/>
      <c r="I66" s="184" t="n">
        <v>46681</v>
      </c>
      <c r="J66" s="184" t="n"/>
      <c r="K66" s="20">
        <f>IF(O66="","",O66-$I$1)</f>
        <v/>
      </c>
      <c r="L66" s="280">
        <f>IF(I66="","",SUMIF(제품등록!B:B,정리표!C:C,제품등록!F:F))</f>
        <v/>
      </c>
      <c r="M66" s="11">
        <f>IF(I66=0,"",I66-L66)</f>
        <v/>
      </c>
      <c r="N66" s="290">
        <f>IF(L66="","",L66*상미75)</f>
        <v/>
      </c>
      <c r="O66" s="11">
        <f>IF(M66="","",M66+N66)</f>
        <v/>
      </c>
    </row>
    <row r="67">
      <c r="A67" s="10">
        <f>ROW()-2</f>
        <v/>
      </c>
      <c r="B67" s="10" t="n">
        <v>4929</v>
      </c>
      <c r="C67" s="22">
        <f>VLOOKUP(B:B,재고차이!A:B,2,0)</f>
        <v/>
      </c>
      <c r="D67" s="22">
        <f>VLOOKUP(C:C,재고차이!B:C,2,0)</f>
        <v/>
      </c>
      <c r="E67" s="185" t="n">
        <v>9</v>
      </c>
      <c r="F67" s="185" t="n"/>
      <c r="G67" s="185" t="n"/>
      <c r="H67" s="185" t="n"/>
      <c r="I67" s="151" t="n">
        <v>46682</v>
      </c>
      <c r="J67" s="184" t="n"/>
      <c r="K67" s="20">
        <f>IF(O67="","",O67-$I$1)</f>
        <v/>
      </c>
      <c r="L67" s="280">
        <f>IF(I67="","",SUMIF(제품등록!B:B,정리표!C:C,제품등록!F:F))</f>
        <v/>
      </c>
      <c r="M67" s="11">
        <f>IF(I67=0,"",I67-L67)</f>
        <v/>
      </c>
      <c r="N67" s="290">
        <f>IF(L67="","",L67*상미75)</f>
        <v/>
      </c>
      <c r="O67" s="11">
        <f>IF(M67="","",M67+N67)</f>
        <v/>
      </c>
    </row>
    <row r="68">
      <c r="A68" s="10">
        <f>ROW()-2</f>
        <v/>
      </c>
      <c r="B68" s="10" t="n">
        <v>4929</v>
      </c>
      <c r="C68" s="22">
        <f>VLOOKUP(B:B,재고차이!A:B,2,0)</f>
        <v/>
      </c>
      <c r="D68" s="22">
        <f>VLOOKUP(C:C,재고차이!B:C,2,0)</f>
        <v/>
      </c>
      <c r="E68" s="185" t="n">
        <v>14</v>
      </c>
      <c r="F68" s="185" t="n"/>
      <c r="G68" s="185" t="n"/>
      <c r="H68" s="185" t="n"/>
      <c r="I68" s="151" t="n">
        <v>46687</v>
      </c>
      <c r="J68" s="184" t="n"/>
      <c r="K68" s="20">
        <f>IF(O68="","",O68-$I$1)</f>
        <v/>
      </c>
      <c r="L68" s="280">
        <f>IF(I68="","",SUMIF(제품등록!B:B,정리표!C:C,제품등록!F:F))</f>
        <v/>
      </c>
      <c r="M68" s="11">
        <f>IF(I68=0,"",I68-L68)</f>
        <v/>
      </c>
      <c r="N68" s="290">
        <f>IF(L68="","",L68*상미75)</f>
        <v/>
      </c>
      <c r="O68" s="11">
        <f>IF(M68="","",M68+N68)</f>
        <v/>
      </c>
    </row>
    <row r="69">
      <c r="A69" s="10">
        <f>ROW()-2</f>
        <v/>
      </c>
      <c r="B69" s="10" t="n">
        <v>4929</v>
      </c>
      <c r="C69" s="22">
        <f>VLOOKUP(B:B,재고차이!A:B,2,0)</f>
        <v/>
      </c>
      <c r="D69" s="22">
        <f>VLOOKUP(C:C,재고차이!B:C,2,0)</f>
        <v/>
      </c>
      <c r="E69" s="185" t="n">
        <v>16</v>
      </c>
      <c r="F69" s="185" t="n"/>
      <c r="G69" s="185" t="n"/>
      <c r="H69" s="185" t="n"/>
      <c r="I69" s="151" t="n">
        <v>46694</v>
      </c>
      <c r="J69" s="184" t="n"/>
      <c r="K69" s="20">
        <f>IF(O69="","",O69-$I$1)</f>
        <v/>
      </c>
      <c r="L69" s="280">
        <f>IF(I69="","",SUMIF(제품등록!B:B,정리표!C:C,제품등록!F:F))</f>
        <v/>
      </c>
      <c r="M69" s="11">
        <f>IF(I69=0,"",I69-L69)</f>
        <v/>
      </c>
      <c r="N69" s="290">
        <f>IF(L69="","",L69*상미75)</f>
        <v/>
      </c>
      <c r="O69" s="11">
        <f>IF(M69="","",M69+N69)</f>
        <v/>
      </c>
    </row>
    <row r="70">
      <c r="A70" s="10">
        <f>ROW()-2</f>
        <v/>
      </c>
      <c r="B70" s="10" t="n">
        <v>4969</v>
      </c>
      <c r="C70" s="22">
        <f>VLOOKUP(B:B,재고차이!A:B,2,0)</f>
        <v/>
      </c>
      <c r="D70" s="22">
        <f>VLOOKUP(C:C,재고차이!B:C,2,0)</f>
        <v/>
      </c>
      <c r="E70" s="185">
        <f>12+37</f>
        <v/>
      </c>
      <c r="F70" s="185" t="n"/>
      <c r="G70" s="185" t="n"/>
      <c r="H70" s="185" t="n"/>
      <c r="I70" s="151" t="n">
        <v>46315</v>
      </c>
      <c r="J70" s="184" t="n"/>
      <c r="K70" s="20">
        <f>IF(O70="","",O70-$I$1)</f>
        <v/>
      </c>
      <c r="L70" s="280">
        <f>IF(I70="","",SUMIF(제품등록!B:B,정리표!C:C,제품등록!F:F))</f>
        <v/>
      </c>
      <c r="M70" s="11">
        <f>IF(I70=0,"",I70-L70)</f>
        <v/>
      </c>
      <c r="N70" s="290">
        <f>IF(L70="","",L70*상미75)</f>
        <v/>
      </c>
      <c r="O70" s="11">
        <f>IF(M70="","",M70+N70)</f>
        <v/>
      </c>
    </row>
    <row r="71">
      <c r="A71" s="10">
        <f>ROW()-2</f>
        <v/>
      </c>
      <c r="B71" s="24" t="n">
        <v>4969</v>
      </c>
      <c r="C71" s="22">
        <f>VLOOKUP(B:B,재고차이!A:B,2,0)</f>
        <v/>
      </c>
      <c r="D71" s="22">
        <f>VLOOKUP(C:C,재고차이!B:C,2,0)</f>
        <v/>
      </c>
      <c r="E71" s="10" t="n"/>
      <c r="F71" s="10" t="n"/>
      <c r="G71" s="10" t="n">
        <v>42</v>
      </c>
      <c r="H71" s="10" t="n"/>
      <c r="I71" s="184" t="n">
        <v>46315</v>
      </c>
      <c r="J71" s="184" t="n"/>
      <c r="K71" s="20">
        <f>IF(O71="","",O71-$I$1)</f>
        <v/>
      </c>
      <c r="L71" s="280">
        <f>IF(I71="","",SUMIF(제품등록!B:B,정리표!C:C,제품등록!F:F))</f>
        <v/>
      </c>
      <c r="M71" s="11">
        <f>IF(I71=0,"",I71-L71)</f>
        <v/>
      </c>
      <c r="N71" s="290">
        <f>IF(L71="","",L71*상미75)</f>
        <v/>
      </c>
      <c r="O71" s="11">
        <f>IF(M71="","",M71+N71)</f>
        <v/>
      </c>
    </row>
    <row r="72">
      <c r="A72" s="10">
        <f>ROW()-2</f>
        <v/>
      </c>
      <c r="B72" s="10" t="n">
        <v>5191</v>
      </c>
      <c r="C72" s="22">
        <f>VLOOKUP(B:B,재고차이!A:B,2,0)</f>
        <v/>
      </c>
      <c r="D72" s="22">
        <f>VLOOKUP(C:C,재고차이!B:C,2,0)</f>
        <v/>
      </c>
      <c r="E72" s="10" t="n">
        <v>27</v>
      </c>
      <c r="F72" s="10" t="n"/>
      <c r="G72" s="185" t="n"/>
      <c r="H72" s="185" t="n"/>
      <c r="I72" s="184" t="n">
        <v>46709</v>
      </c>
      <c r="J72" s="151" t="n"/>
      <c r="K72" s="20">
        <f>IF(O72="","",O72-$I$1)</f>
        <v/>
      </c>
      <c r="L72" s="280">
        <f>IF(I72="","",SUMIF(제품등록!B:B,정리표!C:C,제품등록!F:F))</f>
        <v/>
      </c>
      <c r="M72" s="11">
        <f>IF(I72=0,"",I72-L72)</f>
        <v/>
      </c>
      <c r="N72" s="290">
        <f>IF(L72="","",L72*상미75)</f>
        <v/>
      </c>
      <c r="O72" s="11">
        <f>IF(M72="","",M72+N72)</f>
        <v/>
      </c>
    </row>
    <row r="73">
      <c r="A73" s="10">
        <f>ROW()-2</f>
        <v/>
      </c>
      <c r="B73" s="24" t="n">
        <v>5191</v>
      </c>
      <c r="C73" s="22">
        <f>VLOOKUP(B:B,재고차이!A:B,2,0)</f>
        <v/>
      </c>
      <c r="D73" s="22">
        <f>VLOOKUP(C:C,재고차이!B:C,2,0)</f>
        <v/>
      </c>
      <c r="E73" s="10" t="n"/>
      <c r="F73" s="10" t="n"/>
      <c r="G73" s="10" t="n">
        <v>64</v>
      </c>
      <c r="H73" s="10" t="n"/>
      <c r="I73" s="184" t="n">
        <v>46709</v>
      </c>
      <c r="J73" s="184" t="n"/>
      <c r="K73" s="20">
        <f>IF(O73="","",O73-$I$1)</f>
        <v/>
      </c>
      <c r="L73" s="280">
        <f>IF(I73="","",SUMIF(제품등록!B:B,정리표!C:C,제품등록!F:F))</f>
        <v/>
      </c>
      <c r="M73" s="11">
        <f>IF(I73=0,"",I73-L73)</f>
        <v/>
      </c>
      <c r="N73" s="290">
        <f>IF(L73="","",L73*상미75)</f>
        <v/>
      </c>
      <c r="O73" s="11">
        <f>IF(M73="","",M73+N73)</f>
        <v/>
      </c>
    </row>
    <row r="74">
      <c r="A74" s="10">
        <f>ROW()-2</f>
        <v/>
      </c>
      <c r="B74" s="10" t="n">
        <v>5191</v>
      </c>
      <c r="C74" s="22">
        <f>VLOOKUP(B:B,재고차이!A:B,2,0)</f>
        <v/>
      </c>
      <c r="D74" s="22">
        <f>VLOOKUP(C:C,재고차이!B:C,2,0)</f>
        <v/>
      </c>
      <c r="E74" s="10" t="n">
        <v>14</v>
      </c>
      <c r="F74" s="10" t="n"/>
      <c r="G74" s="185" t="n"/>
      <c r="H74" s="185" t="n"/>
      <c r="I74" s="184" t="n">
        <v>46730</v>
      </c>
      <c r="J74" s="151" t="n"/>
      <c r="K74" s="20">
        <f>IF(O74="","",O74-$I$1)</f>
        <v/>
      </c>
      <c r="L74" s="280">
        <f>IF(I74="","",SUMIF(제품등록!B:B,정리표!C:C,제품등록!F:F))</f>
        <v/>
      </c>
      <c r="M74" s="11">
        <f>IF(I74=0,"",I74-L74)</f>
        <v/>
      </c>
      <c r="N74" s="290">
        <f>IF(L74="","",L74*상미75)</f>
        <v/>
      </c>
      <c r="O74" s="11">
        <f>IF(M74="","",M74+N74)</f>
        <v/>
      </c>
    </row>
    <row r="75">
      <c r="A75" s="10">
        <f>ROW()-2</f>
        <v/>
      </c>
      <c r="B75" s="10" t="n">
        <v>5192</v>
      </c>
      <c r="C75" s="22">
        <f>VLOOKUP(B:B,재고차이!A:B,2,0)</f>
        <v/>
      </c>
      <c r="D75" s="22">
        <f>VLOOKUP(C:C,재고차이!B:C,2,0)</f>
        <v/>
      </c>
      <c r="E75" s="10" t="n">
        <v>17</v>
      </c>
      <c r="F75" s="10" t="n"/>
      <c r="G75" s="185" t="n"/>
      <c r="H75" s="185" t="n"/>
      <c r="I75" s="184" t="n">
        <v>46344</v>
      </c>
      <c r="J75" s="151" t="n"/>
      <c r="K75" s="20">
        <f>IF(O75="","",O75-$I$1)</f>
        <v/>
      </c>
      <c r="L75" s="280">
        <f>IF(I75="","",SUMIF(제품등록!B:B,정리표!C:C,제품등록!F:F))</f>
        <v/>
      </c>
      <c r="M75" s="11">
        <f>IF(I75=0,"",I75-L75)</f>
        <v/>
      </c>
      <c r="N75" s="290">
        <f>IF(L75="","",L75*상미75)</f>
        <v/>
      </c>
      <c r="O75" s="11">
        <f>IF(M75="","",M75+N75)</f>
        <v/>
      </c>
    </row>
    <row r="76">
      <c r="A76" s="10">
        <f>ROW()-2</f>
        <v/>
      </c>
      <c r="B76" s="24" t="n">
        <v>5192</v>
      </c>
      <c r="C76" s="22">
        <f>VLOOKUP(B:B,재고차이!A:B,2,0)</f>
        <v/>
      </c>
      <c r="D76" s="22">
        <f>VLOOKUP(C:C,재고차이!B:C,2,0)</f>
        <v/>
      </c>
      <c r="E76" s="10" t="n"/>
      <c r="F76" s="10" t="n"/>
      <c r="G76" s="10" t="n">
        <v>16</v>
      </c>
      <c r="H76" s="10" t="n"/>
      <c r="I76" s="184" t="n">
        <v>46344</v>
      </c>
      <c r="J76" s="184" t="n"/>
      <c r="K76" s="20">
        <f>IF(O76="","",O76-$I$1)</f>
        <v/>
      </c>
      <c r="L76" s="280">
        <f>IF(I76="","",SUMIF(제품등록!B:B,정리표!C:C,제품등록!F:F))</f>
        <v/>
      </c>
      <c r="M76" s="11">
        <f>IF(I76=0,"",I76-L76)</f>
        <v/>
      </c>
      <c r="N76" s="290">
        <f>IF(L76="","",L76*상미75)</f>
        <v/>
      </c>
      <c r="O76" s="11">
        <f>IF(M76="","",M76+N76)</f>
        <v/>
      </c>
    </row>
    <row r="77">
      <c r="A77" s="10">
        <f>ROW()-2</f>
        <v/>
      </c>
      <c r="B77" s="10" t="n">
        <v>5192</v>
      </c>
      <c r="C77" s="22">
        <f>VLOOKUP(B:B,재고차이!A:B,2,0)</f>
        <v/>
      </c>
      <c r="D77" s="22">
        <f>VLOOKUP(C:C,재고차이!B:C,2,0)</f>
        <v/>
      </c>
      <c r="E77" s="10" t="n">
        <v>4</v>
      </c>
      <c r="F77" s="10" t="n"/>
      <c r="G77" s="185" t="n"/>
      <c r="H77" s="185" t="n"/>
      <c r="I77" s="184" t="n">
        <v>46365</v>
      </c>
      <c r="J77" s="151" t="n"/>
      <c r="K77" s="20">
        <f>IF(O77="","",O77-$I$1)</f>
        <v/>
      </c>
      <c r="L77" s="280">
        <f>IF(I77="","",SUMIF(제품등록!B:B,정리표!C:C,제품등록!F:F))</f>
        <v/>
      </c>
      <c r="M77" s="11">
        <f>IF(I77=0,"",I77-L77)</f>
        <v/>
      </c>
      <c r="N77" s="290">
        <f>IF(L77="","",L77*상미75)</f>
        <v/>
      </c>
      <c r="O77" s="11">
        <f>IF(M77="","",M77+N77)</f>
        <v/>
      </c>
    </row>
    <row r="78">
      <c r="A78" s="10">
        <f>ROW()-2</f>
        <v/>
      </c>
      <c r="B78" s="10" t="n">
        <v>5194</v>
      </c>
      <c r="C78" s="22">
        <f>VLOOKUP(B:B,재고차이!A:B,2,0)</f>
        <v/>
      </c>
      <c r="D78" s="22">
        <f>VLOOKUP(C:C,재고차이!B:C,2,0)</f>
        <v/>
      </c>
      <c r="E78" s="185" t="n">
        <v>18</v>
      </c>
      <c r="F78" s="185" t="n"/>
      <c r="G78" s="185" t="n"/>
      <c r="H78" s="185" t="n"/>
      <c r="I78" s="151" t="n">
        <v>46526</v>
      </c>
      <c r="J78" s="151" t="n"/>
      <c r="K78" s="20">
        <f>IF(O78="","",O78-$I$1)</f>
        <v/>
      </c>
      <c r="L78" s="280">
        <f>IF(I78="","",SUMIF(제품등록!B:B,정리표!C:C,제품등록!F:F))</f>
        <v/>
      </c>
      <c r="M78" s="11">
        <f>IF(I78=0,"",I78-L78)</f>
        <v/>
      </c>
      <c r="N78" s="290">
        <f>IF(L78="","",L78*상미75)</f>
        <v/>
      </c>
      <c r="O78" s="11">
        <f>IF(M78="","",M78+N78)</f>
        <v/>
      </c>
    </row>
    <row r="79">
      <c r="A79" s="10">
        <f>ROW()-2</f>
        <v/>
      </c>
      <c r="B79" s="24" t="n">
        <v>5194</v>
      </c>
      <c r="C79" s="22">
        <f>VLOOKUP(B:B,재고차이!A:B,2,0)</f>
        <v/>
      </c>
      <c r="D79" s="22">
        <f>VLOOKUP(C:C,재고차이!B:C,2,0)</f>
        <v/>
      </c>
      <c r="E79" s="10" t="n"/>
      <c r="F79" s="10" t="n"/>
      <c r="G79" s="10" t="n">
        <v>8</v>
      </c>
      <c r="H79" s="10" t="n"/>
      <c r="I79" s="184" t="n">
        <v>46526</v>
      </c>
      <c r="J79" s="184" t="n"/>
      <c r="K79" s="20">
        <f>IF(O79="","",O79-$I$1)</f>
        <v/>
      </c>
      <c r="L79" s="280">
        <f>IF(I79="","",SUMIF(제품등록!B:B,정리표!C:C,제품등록!F:F))</f>
        <v/>
      </c>
      <c r="M79" s="11">
        <f>IF(I79=0,"",I79-L79)</f>
        <v/>
      </c>
      <c r="N79" s="290">
        <f>IF(L79="","",L79*상미75)</f>
        <v/>
      </c>
      <c r="O79" s="11">
        <f>IF(M79="","",M79+N79)</f>
        <v/>
      </c>
    </row>
    <row r="80">
      <c r="A80" s="10">
        <f>ROW()-2</f>
        <v/>
      </c>
      <c r="B80" s="10" t="n">
        <v>5201</v>
      </c>
      <c r="C80" s="22">
        <f>VLOOKUP(B:B,재고차이!A:B,2,0)</f>
        <v/>
      </c>
      <c r="D80" s="22">
        <f>VLOOKUP(C:C,재고차이!B:C,2,0)</f>
        <v/>
      </c>
      <c r="E80" s="10" t="n">
        <v>1</v>
      </c>
      <c r="F80" s="10" t="n"/>
      <c r="G80" s="185" t="n"/>
      <c r="H80" s="185" t="n"/>
      <c r="I80" s="184" t="n">
        <v>46351</v>
      </c>
      <c r="J80" s="151" t="n"/>
      <c r="K80" s="20">
        <f>IF(O80="","",O80-$I$1)</f>
        <v/>
      </c>
      <c r="L80" s="280">
        <f>IF(I80="","",SUMIF(제품등록!B:B,정리표!C:C,제품등록!F:F))</f>
        <v/>
      </c>
      <c r="M80" s="11">
        <f>IF(I80=0,"",I80-L80)</f>
        <v/>
      </c>
      <c r="N80" s="290">
        <f>IF(L80="","",L80*상미75)</f>
        <v/>
      </c>
      <c r="O80" s="11">
        <f>IF(M80="","",M80+N80)</f>
        <v/>
      </c>
    </row>
    <row r="81">
      <c r="A81" s="10">
        <f>ROW()-2</f>
        <v/>
      </c>
      <c r="B81" s="24" t="n">
        <v>5201</v>
      </c>
      <c r="C81" s="22">
        <f>VLOOKUP(B:B,재고차이!A:B,2,0)</f>
        <v/>
      </c>
      <c r="D81" s="22">
        <f>VLOOKUP(C:C,재고차이!B:C,2,0)</f>
        <v/>
      </c>
      <c r="E81" s="10" t="n"/>
      <c r="F81" s="10" t="n"/>
      <c r="G81" s="10" t="n">
        <v>2</v>
      </c>
      <c r="H81" s="10" t="n"/>
      <c r="I81" s="184" t="n">
        <v>46351</v>
      </c>
      <c r="J81" s="184" t="n"/>
      <c r="K81" s="20">
        <f>IF(O81="","",O81-$I$1)</f>
        <v/>
      </c>
      <c r="L81" s="280">
        <f>IF(I81="","",SUMIF(제품등록!B:B,정리표!C:C,제품등록!F:F))</f>
        <v/>
      </c>
      <c r="M81" s="11">
        <f>IF(I81=0,"",I81-L81)</f>
        <v/>
      </c>
      <c r="N81" s="290">
        <f>IF(L81="","",L81*상미75)</f>
        <v/>
      </c>
      <c r="O81" s="11">
        <f>IF(M81="","",M81+N81)</f>
        <v/>
      </c>
    </row>
    <row r="82">
      <c r="A82" s="10">
        <f>ROW()-2</f>
        <v/>
      </c>
      <c r="B82" s="10" t="n">
        <v>5201</v>
      </c>
      <c r="C82" s="22">
        <f>VLOOKUP(B:B,재고차이!A:B,2,0)</f>
        <v/>
      </c>
      <c r="D82" s="22">
        <f>VLOOKUP(C:C,재고차이!B:C,2,0)</f>
        <v/>
      </c>
      <c r="E82" s="10">
        <f>13+46</f>
        <v/>
      </c>
      <c r="F82" s="10" t="n"/>
      <c r="G82" s="185" t="n"/>
      <c r="H82" s="185" t="n"/>
      <c r="I82" s="184" t="n">
        <v>46358</v>
      </c>
      <c r="J82" s="151" t="n"/>
      <c r="K82" s="20">
        <f>IF(O82="","",O82-$I$1)</f>
        <v/>
      </c>
      <c r="L82" s="280">
        <f>IF(I82="","",SUMIF(제품등록!B:B,정리표!C:C,제품등록!F:F))</f>
        <v/>
      </c>
      <c r="M82" s="11">
        <f>IF(I82=0,"",I82-L82)</f>
        <v/>
      </c>
      <c r="N82" s="290">
        <f>IF(L82="","",L82*상미75)</f>
        <v/>
      </c>
      <c r="O82" s="11">
        <f>IF(M82="","",M82+N82)</f>
        <v/>
      </c>
    </row>
    <row r="83">
      <c r="A83" s="10">
        <f>ROW()-2</f>
        <v/>
      </c>
      <c r="B83" s="10" t="n">
        <v>5312</v>
      </c>
      <c r="C83" s="22">
        <f>VLOOKUP(B:B,재고차이!A:B,2,0)</f>
        <v/>
      </c>
      <c r="D83" s="22">
        <f>VLOOKUP(C:C,재고차이!B:C,2,0)</f>
        <v/>
      </c>
      <c r="E83" s="185" t="n">
        <v>4</v>
      </c>
      <c r="F83" s="185" t="n"/>
      <c r="G83" s="185" t="n"/>
      <c r="H83" s="185" t="n"/>
      <c r="I83" s="151" t="n">
        <v>46649</v>
      </c>
      <c r="J83" s="151" t="n"/>
      <c r="K83" s="20">
        <f>IF(O83="","",O83-$I$1)</f>
        <v/>
      </c>
      <c r="L83" s="280">
        <f>IF(I83="","",SUMIF(제품등록!B:B,정리표!C:C,제품등록!F:F))</f>
        <v/>
      </c>
      <c r="M83" s="11">
        <f>IF(I83=0,"",I83-L83)</f>
        <v/>
      </c>
      <c r="N83" s="290">
        <f>IF(L83="","",L83*상미75)</f>
        <v/>
      </c>
      <c r="O83" s="11">
        <f>IF(M83="","",M83+N83)</f>
        <v/>
      </c>
    </row>
    <row r="84">
      <c r="A84" s="10">
        <f>ROW()-2</f>
        <v/>
      </c>
      <c r="B84" s="24" t="n">
        <v>5312</v>
      </c>
      <c r="C84" s="22">
        <f>VLOOKUP(B:B,재고차이!A:B,2,0)</f>
        <v/>
      </c>
      <c r="D84" s="22">
        <f>VLOOKUP(C:C,재고차이!B:C,2,0)</f>
        <v/>
      </c>
      <c r="E84" s="10" t="n"/>
      <c r="F84" s="10" t="n"/>
      <c r="G84" s="10" t="n">
        <v>121</v>
      </c>
      <c r="H84" s="10" t="n"/>
      <c r="I84" s="184" t="n">
        <v>46649</v>
      </c>
      <c r="J84" s="184" t="n"/>
      <c r="K84" s="20">
        <f>IF(O84="","",O84-$I$1)</f>
        <v/>
      </c>
      <c r="L84" s="280">
        <f>IF(I84="","",SUMIF(제품등록!B:B,정리표!C:C,제품등록!F:F))</f>
        <v/>
      </c>
      <c r="M84" s="11">
        <f>IF(I84=0,"",I84-L84)</f>
        <v/>
      </c>
      <c r="N84" s="290">
        <f>IF(L84="","",L84*상미75)</f>
        <v/>
      </c>
      <c r="O84" s="11">
        <f>IF(M84="","",M84+N84)</f>
        <v/>
      </c>
    </row>
    <row r="85">
      <c r="A85" s="10">
        <f>ROW()-2</f>
        <v/>
      </c>
      <c r="B85" s="10" t="n">
        <v>5375</v>
      </c>
      <c r="C85" s="22">
        <f>VLOOKUP(B:B,재고차이!A:B,2,0)</f>
        <v/>
      </c>
      <c r="D85" s="22">
        <f>VLOOKUP(C:C,재고차이!B:C,2,0)</f>
        <v/>
      </c>
      <c r="E85" s="185" t="n">
        <v>40</v>
      </c>
      <c r="F85" s="185" t="n"/>
      <c r="G85" s="185" t="n"/>
      <c r="H85" s="185" t="n"/>
      <c r="I85" s="151" t="n">
        <v>46339</v>
      </c>
      <c r="J85" s="184" t="n"/>
      <c r="K85" s="20">
        <f>IF(O85="","",O85-$I$1)</f>
        <v/>
      </c>
      <c r="L85" s="280">
        <f>IF(I85="","",SUMIF(제품등록!B:B,정리표!C:C,제품등록!F:F))</f>
        <v/>
      </c>
      <c r="M85" s="11">
        <f>IF(I85=0,"",I85-L85)</f>
        <v/>
      </c>
      <c r="N85" s="290">
        <f>IF(L85="","",L85*상미75)</f>
        <v/>
      </c>
      <c r="O85" s="11">
        <f>IF(M85="","",M85+N85)</f>
        <v/>
      </c>
    </row>
    <row r="86">
      <c r="A86" s="10">
        <f>ROW()-2</f>
        <v/>
      </c>
      <c r="B86" s="10" t="n">
        <v>5375</v>
      </c>
      <c r="C86" s="22">
        <f>VLOOKUP(B:B,재고차이!A:B,2,0)</f>
        <v/>
      </c>
      <c r="D86" s="22">
        <f>VLOOKUP(C:C,재고차이!B:C,2,0)</f>
        <v/>
      </c>
      <c r="E86" s="10" t="n"/>
      <c r="F86" s="10" t="n"/>
      <c r="G86" s="10" t="n">
        <v>106</v>
      </c>
      <c r="H86" s="10" t="n"/>
      <c r="I86" s="184" t="n">
        <v>46339</v>
      </c>
      <c r="J86" s="184" t="n"/>
      <c r="K86" s="20">
        <f>IF(O86="","",O86-$I$1)</f>
        <v/>
      </c>
      <c r="L86" s="280">
        <f>IF(I86="","",SUMIF(제품등록!B:B,정리표!C:C,제품등록!F:F))</f>
        <v/>
      </c>
      <c r="M86" s="11">
        <f>IF(I86=0,"",I86-L86)</f>
        <v/>
      </c>
      <c r="N86" s="290">
        <f>IF(L86="","",L86*상미75)</f>
        <v/>
      </c>
      <c r="O86" s="11">
        <f>IF(M86="","",M86+N86)</f>
        <v/>
      </c>
    </row>
    <row r="87">
      <c r="A87" s="10">
        <f>ROW()-2</f>
        <v/>
      </c>
      <c r="B87" s="10" t="n">
        <v>5628</v>
      </c>
      <c r="C87" s="22">
        <f>VLOOKUP(B:B,재고차이!A:B,2,0)</f>
        <v/>
      </c>
      <c r="D87" s="22">
        <f>VLOOKUP(C:C,재고차이!B:C,2,0)</f>
        <v/>
      </c>
      <c r="E87" s="185" t="n">
        <v>26</v>
      </c>
      <c r="F87" s="185" t="n"/>
      <c r="G87" s="185" t="n"/>
      <c r="H87" s="185" t="n"/>
      <c r="I87" s="151" t="n">
        <v>46634</v>
      </c>
      <c r="J87" s="151" t="n"/>
      <c r="K87" s="20">
        <f>IF(O87="","",O87-$I$1)</f>
        <v/>
      </c>
      <c r="L87" s="280">
        <f>IF(I87="","",SUMIF(제품등록!B:B,정리표!C:C,제품등록!F:F))</f>
        <v/>
      </c>
      <c r="M87" s="11">
        <f>IF(I87=0,"",I87-L87)</f>
        <v/>
      </c>
      <c r="N87" s="290">
        <f>IF(L87="","",L87*상미75)</f>
        <v/>
      </c>
      <c r="O87" s="11">
        <f>IF(M87="","",M87+N87)</f>
        <v/>
      </c>
    </row>
    <row r="88">
      <c r="A88" s="10">
        <f>ROW()-2</f>
        <v/>
      </c>
      <c r="B88" s="24" t="n">
        <v>5628</v>
      </c>
      <c r="C88" s="22">
        <f>VLOOKUP(B:B,재고차이!A:B,2,0)</f>
        <v/>
      </c>
      <c r="D88" s="22">
        <f>VLOOKUP(C:C,재고차이!B:C,2,0)</f>
        <v/>
      </c>
      <c r="E88" s="10" t="n"/>
      <c r="F88" s="10" t="n"/>
      <c r="G88" s="10" t="n">
        <v>42</v>
      </c>
      <c r="H88" s="10" t="n"/>
      <c r="I88" s="184" t="n">
        <v>46634</v>
      </c>
      <c r="J88" s="184" t="n"/>
      <c r="K88" s="20">
        <f>IF(O88="","",O88-$I$1)</f>
        <v/>
      </c>
      <c r="L88" s="280">
        <f>IF(I88="","",SUMIF(제품등록!B:B,정리표!C:C,제품등록!F:F))</f>
        <v/>
      </c>
      <c r="M88" s="11">
        <f>IF(I88=0,"",I88-L88)</f>
        <v/>
      </c>
      <c r="N88" s="290">
        <f>IF(L88="","",L88*상미75)</f>
        <v/>
      </c>
      <c r="O88" s="11">
        <f>IF(M88="","",M88+N88)</f>
        <v/>
      </c>
    </row>
    <row r="89">
      <c r="A89" s="10">
        <f>ROW()-2</f>
        <v/>
      </c>
      <c r="B89" s="10" t="n">
        <v>5636</v>
      </c>
      <c r="C89" s="22">
        <f>VLOOKUP(B:B,재고차이!A:B,2,0)</f>
        <v/>
      </c>
      <c r="D89" s="22">
        <f>VLOOKUP(C:C,재고차이!B:C,2,0)</f>
        <v/>
      </c>
      <c r="E89" s="185" t="n">
        <v>41</v>
      </c>
      <c r="F89" s="185" t="n"/>
      <c r="G89" s="185" t="n"/>
      <c r="H89" s="185" t="n"/>
      <c r="I89" s="151" t="n">
        <v>46702</v>
      </c>
      <c r="J89" s="151" t="n"/>
      <c r="K89" s="20">
        <f>IF(O89="","",O89-$I$1)</f>
        <v/>
      </c>
      <c r="L89" s="280">
        <f>IF(I89="","",SUMIF(제품등록!B:B,정리표!C:C,제품등록!F:F))</f>
        <v/>
      </c>
      <c r="M89" s="11">
        <f>IF(I89=0,"",I89-L89)</f>
        <v/>
      </c>
      <c r="N89" s="290">
        <f>IF(L89="","",L89*상미75)</f>
        <v/>
      </c>
      <c r="O89" s="11">
        <f>IF(M89="","",M89+N89)</f>
        <v/>
      </c>
    </row>
    <row r="90">
      <c r="A90" s="10">
        <f>ROW()-2</f>
        <v/>
      </c>
      <c r="B90" s="24" t="n">
        <v>5636</v>
      </c>
      <c r="C90" s="22">
        <f>VLOOKUP(B:B,재고차이!A:B,2,0)</f>
        <v/>
      </c>
      <c r="D90" s="22">
        <f>VLOOKUP(C:C,재고차이!B:C,2,0)</f>
        <v/>
      </c>
      <c r="E90" s="10" t="n"/>
      <c r="F90" s="10" t="n"/>
      <c r="G90" s="10" t="n">
        <v>91</v>
      </c>
      <c r="H90" s="10" t="n"/>
      <c r="I90" s="184" t="n">
        <v>46702</v>
      </c>
      <c r="J90" s="184" t="n"/>
      <c r="K90" s="20">
        <f>IF(O90="","",O90-$I$1)</f>
        <v/>
      </c>
      <c r="L90" s="280">
        <f>IF(I90="","",SUMIF(제품등록!B:B,정리표!C:C,제품등록!F:F))</f>
        <v/>
      </c>
      <c r="M90" s="11">
        <f>IF(I90=0,"",I90-L90)</f>
        <v/>
      </c>
      <c r="N90" s="290">
        <f>IF(L90="","",L90*상미75)</f>
        <v/>
      </c>
      <c r="O90" s="11">
        <f>IF(M90="","",M90+N90)</f>
        <v/>
      </c>
    </row>
    <row r="91">
      <c r="A91" s="10">
        <f>ROW()-2</f>
        <v/>
      </c>
      <c r="B91" s="10" t="n">
        <v>5639</v>
      </c>
      <c r="C91" s="22">
        <f>VLOOKUP(B:B,재고차이!A:B,2,0)</f>
        <v/>
      </c>
      <c r="D91" s="22">
        <f>VLOOKUP(C:C,재고차이!B:C,2,0)</f>
        <v/>
      </c>
      <c r="E91" s="185" t="n">
        <v>18</v>
      </c>
      <c r="F91" s="185" t="n"/>
      <c r="G91" s="185" t="n"/>
      <c r="H91" s="185" t="n"/>
      <c r="I91" s="151" t="n">
        <v>46645</v>
      </c>
      <c r="J91" s="151" t="n"/>
      <c r="K91" s="20">
        <f>IF(O91="","",O91-$I$1)</f>
        <v/>
      </c>
      <c r="L91" s="280">
        <f>IF(I91="","",SUMIF(제품등록!B:B,정리표!C:C,제품등록!F:F))</f>
        <v/>
      </c>
      <c r="M91" s="11">
        <f>IF(I91=0,"",I91-L91)</f>
        <v/>
      </c>
      <c r="N91" s="290">
        <f>IF(L91="","",L91*상미75)</f>
        <v/>
      </c>
      <c r="O91" s="11">
        <f>IF(M91="","",M91+N91)</f>
        <v/>
      </c>
    </row>
    <row r="92">
      <c r="A92" s="10">
        <f>ROW()-2</f>
        <v/>
      </c>
      <c r="B92" s="10" t="n">
        <v>5639</v>
      </c>
      <c r="C92" s="22">
        <f>VLOOKUP(B:B,재고차이!A:B,2,0)</f>
        <v/>
      </c>
      <c r="D92" s="22">
        <f>VLOOKUP(C:C,재고차이!B:C,2,0)</f>
        <v/>
      </c>
      <c r="E92" s="10" t="n"/>
      <c r="F92" s="10" t="n"/>
      <c r="G92" s="10" t="n">
        <v>25</v>
      </c>
      <c r="H92" s="10" t="n"/>
      <c r="I92" s="184" t="n">
        <v>46645</v>
      </c>
      <c r="J92" s="184" t="n"/>
      <c r="K92" s="20">
        <f>IF(O92="","",O92-$I$1)</f>
        <v/>
      </c>
      <c r="L92" s="280">
        <f>IF(I92="","",SUMIF(제품등록!B:B,정리표!C:C,제품등록!F:F))</f>
        <v/>
      </c>
      <c r="M92" s="11">
        <f>IF(I92=0,"",I92-L92)</f>
        <v/>
      </c>
      <c r="N92" s="290">
        <f>IF(L92="","",L92*상미75)</f>
        <v/>
      </c>
      <c r="O92" s="11">
        <f>IF(M92="","",M92+N92)</f>
        <v/>
      </c>
    </row>
    <row r="93">
      <c r="A93" s="10">
        <f>ROW()-2</f>
        <v/>
      </c>
      <c r="B93" s="10" t="n">
        <v>5641</v>
      </c>
      <c r="C93" s="22">
        <f>VLOOKUP(B:B,재고차이!A:B,2,0)</f>
        <v/>
      </c>
      <c r="D93" s="22">
        <f>VLOOKUP(C:C,재고차이!B:C,2,0)</f>
        <v/>
      </c>
      <c r="E93" s="10">
        <f>14+22</f>
        <v/>
      </c>
      <c r="F93" s="10" t="n"/>
      <c r="G93" s="185" t="n"/>
      <c r="H93" s="185" t="n"/>
      <c r="I93" s="184" t="n">
        <v>46681</v>
      </c>
      <c r="J93" s="151" t="n"/>
      <c r="K93" s="20">
        <f>IF(O93="","",O93-$I$1)</f>
        <v/>
      </c>
      <c r="L93" s="280">
        <f>IF(I93="","",SUMIF(제품등록!B:B,정리표!C:C,제품등록!F:F))</f>
        <v/>
      </c>
      <c r="M93" s="11">
        <f>IF(I93=0,"",I93-L93)</f>
        <v/>
      </c>
      <c r="N93" s="290">
        <f>IF(L93="","",L93*상미75)</f>
        <v/>
      </c>
      <c r="O93" s="11">
        <f>IF(M93="","",M93+N93)</f>
        <v/>
      </c>
    </row>
    <row r="94">
      <c r="A94" s="10">
        <f>ROW()-2</f>
        <v/>
      </c>
      <c r="B94" s="10" t="n">
        <v>5641</v>
      </c>
      <c r="C94" s="22">
        <f>VLOOKUP(B:B,재고차이!A:B,2,0)</f>
        <v/>
      </c>
      <c r="D94" s="22">
        <f>VLOOKUP(C:C,재고차이!B:C,2,0)</f>
        <v/>
      </c>
      <c r="E94" s="10" t="n"/>
      <c r="F94" s="10" t="n"/>
      <c r="G94" s="10" t="n">
        <v>6</v>
      </c>
      <c r="H94" s="10" t="n"/>
      <c r="I94" s="184" t="n">
        <v>46681</v>
      </c>
      <c r="J94" s="184" t="n"/>
      <c r="K94" s="20">
        <f>IF(O94="","",O94-$I$1)</f>
        <v/>
      </c>
      <c r="L94" s="291">
        <f>IF(I94="","",SUMIF(제품등록!B:B,정리표!C:C,제품등록!F:F))</f>
        <v/>
      </c>
      <c r="M94" s="228">
        <f>IF(I94=0,"",I94-L94)</f>
        <v/>
      </c>
      <c r="N94" s="292">
        <f>IF(L94="","",L94*상미75)</f>
        <v/>
      </c>
      <c r="O94" s="228">
        <f>IF(M94="","",M94+N94)</f>
        <v/>
      </c>
    </row>
    <row r="95">
      <c r="A95" s="10">
        <f>ROW()-2</f>
        <v/>
      </c>
      <c r="B95" s="10" t="n">
        <v>5641</v>
      </c>
      <c r="C95" s="22">
        <f>VLOOKUP(B:B,재고차이!A:B,2,0)</f>
        <v/>
      </c>
      <c r="D95" s="22">
        <f>VLOOKUP(C:C,재고차이!B:C,2,0)</f>
        <v/>
      </c>
      <c r="E95" s="10" t="n">
        <v>4</v>
      </c>
      <c r="F95" s="10" t="n"/>
      <c r="G95" s="185" t="n"/>
      <c r="H95" s="185" t="n"/>
      <c r="I95" s="184" t="n">
        <v>46694</v>
      </c>
      <c r="J95" s="151" t="n"/>
      <c r="K95" s="20">
        <f>IF(O95="","",O95-$I$1)</f>
        <v/>
      </c>
      <c r="L95" s="280">
        <f>IF(I95="","",SUMIF(제품등록!B:B,정리표!C:C,제품등록!F:F))</f>
        <v/>
      </c>
      <c r="M95" s="11">
        <f>IF(I95=0,"",I95-L95)</f>
        <v/>
      </c>
      <c r="N95" s="290">
        <f>IF(L95="","",L95*상미75)</f>
        <v/>
      </c>
      <c r="O95" s="11">
        <f>IF(M95="","",M95+N95)</f>
        <v/>
      </c>
    </row>
    <row r="96">
      <c r="A96" s="10">
        <f>ROW()-2</f>
        <v/>
      </c>
      <c r="B96" s="10" t="n">
        <v>5643</v>
      </c>
      <c r="C96" s="22">
        <f>VLOOKUP(B:B,재고차이!A:B,2,0)</f>
        <v/>
      </c>
      <c r="D96" s="22">
        <f>VLOOKUP(C:C,재고차이!B:C,2,0)</f>
        <v/>
      </c>
      <c r="E96" s="10" t="n">
        <v>12</v>
      </c>
      <c r="F96" s="10" t="n"/>
      <c r="G96" s="185" t="n"/>
      <c r="H96" s="185" t="n"/>
      <c r="I96" s="184" t="n">
        <v>46697</v>
      </c>
      <c r="J96" s="151" t="n"/>
      <c r="K96" s="20">
        <f>IF(O96="","",O96-$I$1)</f>
        <v/>
      </c>
      <c r="L96" s="280">
        <f>IF(I96="","",SUMIF(제품등록!B:B,정리표!C:C,제품등록!F:F))</f>
        <v/>
      </c>
      <c r="M96" s="11">
        <f>IF(I96=0,"",I96-L96)</f>
        <v/>
      </c>
      <c r="N96" s="290">
        <f>IF(L96="","",L96*상미75)</f>
        <v/>
      </c>
      <c r="O96" s="11">
        <f>IF(M96="","",M96+N96)</f>
        <v/>
      </c>
    </row>
    <row r="97">
      <c r="A97" s="10">
        <f>ROW()-2</f>
        <v/>
      </c>
      <c r="B97" s="10" t="n">
        <v>5643</v>
      </c>
      <c r="C97" s="22">
        <f>VLOOKUP(B:B,재고차이!A:B,2,0)</f>
        <v/>
      </c>
      <c r="D97" s="22">
        <f>VLOOKUP(C:C,재고차이!B:C,2,0)</f>
        <v/>
      </c>
      <c r="E97" s="10" t="n"/>
      <c r="F97" s="10" t="n"/>
      <c r="G97" s="10" t="n">
        <v>89</v>
      </c>
      <c r="H97" s="10" t="n"/>
      <c r="I97" s="184" t="n">
        <v>46697</v>
      </c>
      <c r="J97" s="184" t="n"/>
      <c r="K97" s="20">
        <f>IF(O97="","",O97-$I$1)</f>
        <v/>
      </c>
      <c r="L97" s="280">
        <f>IF(I97="","",SUMIF(제품등록!B:B,정리표!C:C,제품등록!F:F))</f>
        <v/>
      </c>
      <c r="M97" s="11">
        <f>IF(I97=0,"",I97-L97)</f>
        <v/>
      </c>
      <c r="N97" s="290">
        <f>IF(L97="","",L97*상미75)</f>
        <v/>
      </c>
      <c r="O97" s="11">
        <f>IF(M97="","",M97+N97)</f>
        <v/>
      </c>
    </row>
    <row r="98">
      <c r="A98" s="10">
        <f>ROW()-2</f>
        <v/>
      </c>
      <c r="B98" s="10" t="n">
        <v>5643</v>
      </c>
      <c r="C98" s="22">
        <f>VLOOKUP(B:B,재고차이!A:B,2,0)</f>
        <v/>
      </c>
      <c r="D98" s="22">
        <f>VLOOKUP(C:C,재고차이!B:C,2,0)</f>
        <v/>
      </c>
      <c r="E98" s="10">
        <f>24+34</f>
        <v/>
      </c>
      <c r="F98" s="10" t="n"/>
      <c r="G98" s="185" t="n"/>
      <c r="H98" s="185" t="n"/>
      <c r="I98" s="184" t="n">
        <v>46708</v>
      </c>
      <c r="J98" s="151" t="n"/>
      <c r="K98" s="20">
        <f>IF(O98="","",O98-$I$1)</f>
        <v/>
      </c>
      <c r="L98" s="280">
        <f>IF(I98="","",SUMIF(제품등록!B:B,정리표!C:C,제품등록!F:F))</f>
        <v/>
      </c>
      <c r="M98" s="11">
        <f>IF(I98=0,"",I98-L98)</f>
        <v/>
      </c>
      <c r="N98" s="290">
        <f>IF(L98="","",L98*상미75)</f>
        <v/>
      </c>
      <c r="O98" s="11">
        <f>IF(M98="","",M98+N98)</f>
        <v/>
      </c>
    </row>
    <row r="99">
      <c r="A99" s="10">
        <f>ROW()-2</f>
        <v/>
      </c>
      <c r="B99" s="10" t="n">
        <v>5656</v>
      </c>
      <c r="C99" s="22">
        <f>VLOOKUP(B:B,재고차이!A:B,2,0)</f>
        <v/>
      </c>
      <c r="D99" s="22">
        <f>VLOOKUP(C:C,재고차이!B:C,2,0)</f>
        <v/>
      </c>
      <c r="E99" s="185" t="n">
        <v>23</v>
      </c>
      <c r="F99" s="185" t="n"/>
      <c r="G99" s="185" t="n"/>
      <c r="H99" s="185" t="n"/>
      <c r="I99" s="151" t="n">
        <v>46703</v>
      </c>
      <c r="J99" s="151" t="n"/>
      <c r="K99" s="20">
        <f>IF(O99="","",O99-$I$1)</f>
        <v/>
      </c>
      <c r="L99" s="280">
        <f>IF(I99="","",SUMIF(제품등록!B:B,정리표!C:C,제품등록!F:F))</f>
        <v/>
      </c>
      <c r="M99" s="11">
        <f>IF(I99=0,"",I99-L99)</f>
        <v/>
      </c>
      <c r="N99" s="290">
        <f>IF(L99="","",L99*상미75)</f>
        <v/>
      </c>
      <c r="O99" s="11">
        <f>IF(M99="","",M99+N99)</f>
        <v/>
      </c>
    </row>
    <row r="100">
      <c r="A100" s="10">
        <f>ROW()-2</f>
        <v/>
      </c>
      <c r="B100" s="24" t="n">
        <v>5656</v>
      </c>
      <c r="C100" s="22">
        <f>VLOOKUP(B:B,재고차이!A:B,2,0)</f>
        <v/>
      </c>
      <c r="D100" s="22">
        <f>VLOOKUP(C:C,재고차이!B:C,2,0)</f>
        <v/>
      </c>
      <c r="E100" s="10" t="n"/>
      <c r="F100" s="10" t="n"/>
      <c r="G100" s="10" t="n">
        <v>60</v>
      </c>
      <c r="H100" s="10" t="n"/>
      <c r="I100" s="184" t="n">
        <v>46703</v>
      </c>
      <c r="J100" s="184" t="n"/>
      <c r="K100" s="20">
        <f>IF(O100="","",O100-$I$1)</f>
        <v/>
      </c>
      <c r="L100" s="280">
        <f>IF(I100="","",SUMIF(제품등록!B:B,정리표!C:C,제품등록!F:F))</f>
        <v/>
      </c>
      <c r="M100" s="11">
        <f>IF(I100=0,"",I100-L100)</f>
        <v/>
      </c>
      <c r="N100" s="290">
        <f>IF(L100="","",L100*상미75)</f>
        <v/>
      </c>
      <c r="O100" s="11">
        <f>IF(M100="","",M100+N100)</f>
        <v/>
      </c>
    </row>
    <row r="101">
      <c r="A101" s="10">
        <f>ROW()-2</f>
        <v/>
      </c>
      <c r="B101" s="10" t="n">
        <v>5656</v>
      </c>
      <c r="C101" s="22">
        <f>VLOOKUP(B:B,재고차이!A:B,2,0)</f>
        <v/>
      </c>
      <c r="D101" s="22">
        <f>VLOOKUP(C:C,재고차이!B:C,2,0)</f>
        <v/>
      </c>
      <c r="E101" s="185" t="n">
        <v>10</v>
      </c>
      <c r="F101" s="185" t="n"/>
      <c r="G101" s="185" t="n"/>
      <c r="H101" s="185" t="n"/>
      <c r="I101" s="151" t="n">
        <v>46729</v>
      </c>
      <c r="J101" s="151" t="n"/>
      <c r="K101" s="20">
        <f>IF(O101="","",O101-$I$1)</f>
        <v/>
      </c>
      <c r="L101" s="280">
        <f>IF(I101="","",SUMIF(제품등록!B:B,정리표!C:C,제품등록!F:F))</f>
        <v/>
      </c>
      <c r="M101" s="11">
        <f>IF(I101=0,"",I101-L101)</f>
        <v/>
      </c>
      <c r="N101" s="290">
        <f>IF(L101="","",L101*상미75)</f>
        <v/>
      </c>
      <c r="O101" s="11">
        <f>IF(M101="","",M101+N101)</f>
        <v/>
      </c>
    </row>
    <row r="102">
      <c r="A102" s="10">
        <f>ROW()-2</f>
        <v/>
      </c>
      <c r="B102" s="10" t="n">
        <v>5664</v>
      </c>
      <c r="C102" s="22">
        <f>VLOOKUP(B:B,재고차이!A:B,2,0)</f>
        <v/>
      </c>
      <c r="D102" s="22">
        <f>VLOOKUP(C:C,재고차이!B:C,2,0)</f>
        <v/>
      </c>
      <c r="E102" s="185" t="n">
        <v>10</v>
      </c>
      <c r="F102" s="185" t="n"/>
      <c r="G102" s="185" t="n"/>
      <c r="H102" s="185" t="n"/>
      <c r="I102" s="151" t="n">
        <v>46711</v>
      </c>
      <c r="J102" s="151" t="n"/>
      <c r="K102" s="20">
        <f>IF(O102="","",O102-$I$1)</f>
        <v/>
      </c>
      <c r="L102" s="280">
        <f>IF(I102="","",SUMIF(제품등록!B:B,정리표!C:C,제품등록!F:F))</f>
        <v/>
      </c>
      <c r="M102" s="11">
        <f>IF(I102=0,"",I102-L102)</f>
        <v/>
      </c>
      <c r="N102" s="290">
        <f>IF(L102="","",L102*상미75)</f>
        <v/>
      </c>
      <c r="O102" s="11">
        <f>IF(M102="","",M102+N102)</f>
        <v/>
      </c>
    </row>
    <row r="103">
      <c r="A103" s="10">
        <f>ROW()-2</f>
        <v/>
      </c>
      <c r="B103" s="24" t="n">
        <v>5664</v>
      </c>
      <c r="C103" s="22">
        <f>VLOOKUP(B:B,재고차이!A:B,2,0)</f>
        <v/>
      </c>
      <c r="D103" s="22">
        <f>VLOOKUP(C:C,재고차이!B:C,2,0)</f>
        <v/>
      </c>
      <c r="E103" s="10" t="n"/>
      <c r="F103" s="10" t="n"/>
      <c r="G103" s="10" t="n">
        <v>27</v>
      </c>
      <c r="H103" s="10" t="n"/>
      <c r="I103" s="184" t="n">
        <v>46711</v>
      </c>
      <c r="J103" s="184" t="n"/>
      <c r="K103" s="20">
        <f>IF(O103="","",O103-$I$1)</f>
        <v/>
      </c>
      <c r="L103" s="280">
        <f>IF(I103="","",SUMIF(제품등록!B:B,정리표!C:C,제품등록!F:F))</f>
        <v/>
      </c>
      <c r="M103" s="11">
        <f>IF(I103=0,"",I103-L103)</f>
        <v/>
      </c>
      <c r="N103" s="290">
        <f>IF(L103="","",L103*상미75)</f>
        <v/>
      </c>
      <c r="O103" s="11">
        <f>IF(M103="","",M103+N103)</f>
        <v/>
      </c>
    </row>
    <row r="104">
      <c r="A104" s="10">
        <f>ROW()-2</f>
        <v/>
      </c>
      <c r="B104" s="10" t="n">
        <v>5664</v>
      </c>
      <c r="C104" s="22">
        <f>VLOOKUP(B:B,재고차이!A:B,2,0)</f>
        <v/>
      </c>
      <c r="D104" s="22">
        <f>VLOOKUP(C:C,재고차이!B:C,2,0)</f>
        <v/>
      </c>
      <c r="E104" s="185" t="n">
        <v>14</v>
      </c>
      <c r="F104" s="185" t="n"/>
      <c r="G104" s="185" t="n"/>
      <c r="H104" s="185" t="n"/>
      <c r="I104" s="151" t="n">
        <v>46729</v>
      </c>
      <c r="J104" s="151" t="n"/>
      <c r="K104" s="20">
        <f>IF(O104="","",O104-$I$1)</f>
        <v/>
      </c>
      <c r="L104" s="280">
        <f>IF(I104="","",SUMIF(제품등록!B:B,정리표!C:C,제품등록!F:F))</f>
        <v/>
      </c>
      <c r="M104" s="11">
        <f>IF(I104=0,"",I104-L104)</f>
        <v/>
      </c>
      <c r="N104" s="290">
        <f>IF(L104="","",L104*상미75)</f>
        <v/>
      </c>
      <c r="O104" s="11">
        <f>IF(M104="","",M104+N104)</f>
        <v/>
      </c>
    </row>
    <row r="105">
      <c r="A105" s="10">
        <f>ROW()-2</f>
        <v/>
      </c>
      <c r="B105" s="10" t="n">
        <v>5668</v>
      </c>
      <c r="C105" s="22">
        <f>VLOOKUP(B:B,재고차이!A:B,2,0)</f>
        <v/>
      </c>
      <c r="D105" s="22">
        <f>VLOOKUP(C:C,재고차이!B:C,2,0)</f>
        <v/>
      </c>
      <c r="E105" s="185" t="n">
        <v>1</v>
      </c>
      <c r="F105" s="185" t="n"/>
      <c r="G105" s="185" t="n"/>
      <c r="H105" s="185" t="n"/>
      <c r="I105" s="151" t="n">
        <v>46599</v>
      </c>
      <c r="J105" s="151" t="n"/>
      <c r="K105" s="20">
        <f>IF(O105="","",O105-$I$1)</f>
        <v/>
      </c>
      <c r="L105" s="280">
        <f>IF(I105="","",SUMIF(제품등록!B:B,정리표!C:C,제품등록!F:F))</f>
        <v/>
      </c>
      <c r="M105" s="11">
        <f>IF(I105=0,"",I105-L105)</f>
        <v/>
      </c>
      <c r="N105" s="290">
        <f>IF(L105="","",L105*상미75)</f>
        <v/>
      </c>
      <c r="O105" s="11">
        <f>IF(M105="","",M105+N105)</f>
        <v/>
      </c>
    </row>
    <row r="106">
      <c r="A106" s="10">
        <f>ROW()-2</f>
        <v/>
      </c>
      <c r="B106" s="24" t="n">
        <v>5668</v>
      </c>
      <c r="C106" s="22">
        <f>VLOOKUP(B:B,재고차이!A:B,2,0)</f>
        <v/>
      </c>
      <c r="D106" s="22">
        <f>VLOOKUP(C:C,재고차이!B:C,2,0)</f>
        <v/>
      </c>
      <c r="E106" s="10" t="n"/>
      <c r="F106" s="10" t="n"/>
      <c r="G106" s="10" t="n">
        <v>85</v>
      </c>
      <c r="H106" s="10" t="n"/>
      <c r="I106" s="184" t="n">
        <v>46599</v>
      </c>
      <c r="J106" s="184" t="n"/>
      <c r="K106" s="20">
        <f>IF(O106="","",O106-$I$1)</f>
        <v/>
      </c>
      <c r="L106" s="280">
        <f>IF(I106="","",SUMIF(제품등록!B:B,정리표!C:C,제품등록!F:F))</f>
        <v/>
      </c>
      <c r="M106" s="11">
        <f>IF(I106=0,"",I106-L106)</f>
        <v/>
      </c>
      <c r="N106" s="290">
        <f>IF(L106="","",L106*상미75)</f>
        <v/>
      </c>
      <c r="O106" s="11">
        <f>IF(M106="","",M106+N106)</f>
        <v/>
      </c>
    </row>
    <row r="107">
      <c r="A107" s="10">
        <f>ROW()-2</f>
        <v/>
      </c>
      <c r="B107" s="10" t="n">
        <v>5668</v>
      </c>
      <c r="C107" s="22">
        <f>VLOOKUP(B:B,재고차이!A:B,2,0)</f>
        <v/>
      </c>
      <c r="D107" s="22">
        <f>VLOOKUP(C:C,재고차이!B:C,2,0)</f>
        <v/>
      </c>
      <c r="E107" s="185" t="n">
        <v>13</v>
      </c>
      <c r="F107" s="185" t="n"/>
      <c r="G107" s="185" t="n"/>
      <c r="H107" s="185" t="n"/>
      <c r="I107" s="151" t="n">
        <v>46645</v>
      </c>
      <c r="J107" s="151" t="n"/>
      <c r="K107" s="20">
        <f>IF(O107="","",O107-$I$1)</f>
        <v/>
      </c>
      <c r="L107" s="280">
        <f>IF(I107="","",SUMIF(제품등록!B:B,정리표!C:C,제품등록!F:F))</f>
        <v/>
      </c>
      <c r="M107" s="11">
        <f>IF(I107=0,"",I107-L107)</f>
        <v/>
      </c>
      <c r="N107" s="290">
        <f>IF(L107="","",L107*상미75)</f>
        <v/>
      </c>
      <c r="O107" s="11">
        <f>IF(M107="","",M107+N107)</f>
        <v/>
      </c>
    </row>
    <row r="108">
      <c r="A108" s="10">
        <f>ROW()-2</f>
        <v/>
      </c>
      <c r="B108" s="24" t="n">
        <v>5668</v>
      </c>
      <c r="C108" s="22">
        <f>VLOOKUP(B:B,재고차이!A:B,2,0)</f>
        <v/>
      </c>
      <c r="D108" s="22">
        <f>VLOOKUP(C:C,재고차이!B:C,2,0)</f>
        <v/>
      </c>
      <c r="E108" s="10" t="n"/>
      <c r="F108" s="10" t="n"/>
      <c r="G108" s="10" t="n">
        <v>103</v>
      </c>
      <c r="H108" s="10" t="n"/>
      <c r="I108" s="184" t="n">
        <v>46645</v>
      </c>
      <c r="J108" s="184" t="n"/>
      <c r="K108" s="20">
        <f>IF(O108="","",O108-$I$1)</f>
        <v/>
      </c>
      <c r="L108" s="280">
        <f>IF(I108="","",SUMIF(제품등록!B:B,정리표!C:C,제품등록!F:F))</f>
        <v/>
      </c>
      <c r="M108" s="11">
        <f>IF(I108=0,"",I108-L108)</f>
        <v/>
      </c>
      <c r="N108" s="290">
        <f>IF(L108="","",L108*상미75)</f>
        <v/>
      </c>
      <c r="O108" s="11">
        <f>IF(M108="","",M108+N108)</f>
        <v/>
      </c>
    </row>
    <row r="109">
      <c r="A109" s="10">
        <f>ROW()-2</f>
        <v/>
      </c>
      <c r="B109" s="10" t="n">
        <v>5672</v>
      </c>
      <c r="C109" s="22">
        <f>VLOOKUP(B:B,재고차이!A:B,2,0)</f>
        <v/>
      </c>
      <c r="D109" s="22">
        <f>VLOOKUP(C:C,재고차이!B:C,2,0)</f>
        <v/>
      </c>
      <c r="E109" s="185" t="n">
        <v>15</v>
      </c>
      <c r="F109" s="185" t="n"/>
      <c r="G109" s="185" t="n"/>
      <c r="H109" s="185" t="n"/>
      <c r="I109" s="151" t="n">
        <v>46585</v>
      </c>
      <c r="J109" s="151" t="n"/>
      <c r="K109" s="20">
        <f>IF(O109="","",O109-$I$1)</f>
        <v/>
      </c>
      <c r="L109" s="280">
        <f>IF(I109="","",SUMIF(제품등록!B:B,정리표!C:C,제품등록!F:F))</f>
        <v/>
      </c>
      <c r="M109" s="11">
        <f>IF(I109=0,"",I109-L109)</f>
        <v/>
      </c>
      <c r="N109" s="290">
        <f>IF(L109="","",L109*상미75)</f>
        <v/>
      </c>
      <c r="O109" s="11">
        <f>IF(M109="","",M109+N109)</f>
        <v/>
      </c>
    </row>
    <row r="110">
      <c r="A110" s="10">
        <f>ROW()-2</f>
        <v/>
      </c>
      <c r="B110" s="24" t="n">
        <v>5672</v>
      </c>
      <c r="C110" s="22">
        <f>VLOOKUP(B:B,재고차이!A:B,2,0)</f>
        <v/>
      </c>
      <c r="D110" s="22">
        <f>VLOOKUP(C:C,재고차이!B:C,2,0)</f>
        <v/>
      </c>
      <c r="E110" s="10" t="n"/>
      <c r="F110" s="10" t="n"/>
      <c r="G110" s="10" t="n">
        <v>6</v>
      </c>
      <c r="H110" s="10" t="n"/>
      <c r="I110" s="184" t="n">
        <v>46585</v>
      </c>
      <c r="J110" s="184" t="n"/>
      <c r="K110" s="20">
        <f>IF(O110="","",O110-$I$1)</f>
        <v/>
      </c>
      <c r="L110" s="280">
        <f>IF(I110="","",SUMIF(제품등록!B:B,정리표!C:C,제품등록!F:F))</f>
        <v/>
      </c>
      <c r="M110" s="11">
        <f>IF(I110=0,"",I110-L110)</f>
        <v/>
      </c>
      <c r="N110" s="290">
        <f>IF(L110="","",L110*상미75)</f>
        <v/>
      </c>
      <c r="O110" s="11">
        <f>IF(M110="","",M110+N110)</f>
        <v/>
      </c>
    </row>
    <row r="111">
      <c r="A111" s="10">
        <f>ROW()-2</f>
        <v/>
      </c>
      <c r="B111" s="10" t="n">
        <v>5672</v>
      </c>
      <c r="C111" s="22">
        <f>VLOOKUP(B:B,재고차이!A:B,2,0)</f>
        <v/>
      </c>
      <c r="D111" s="22">
        <f>VLOOKUP(C:C,재고차이!B:C,2,0)</f>
        <v/>
      </c>
      <c r="E111" s="185" t="n">
        <v>8</v>
      </c>
      <c r="F111" s="185" t="n"/>
      <c r="G111" s="185" t="n"/>
      <c r="H111" s="185" t="n"/>
      <c r="I111" s="151" t="n">
        <v>46586</v>
      </c>
      <c r="J111" s="151" t="n"/>
      <c r="K111" s="20">
        <f>IF(O111="","",O111-$I$1)</f>
        <v/>
      </c>
      <c r="L111" s="280">
        <f>IF(I111="","",SUMIF(제품등록!B:B,정리표!C:C,제품등록!F:F))</f>
        <v/>
      </c>
      <c r="M111" s="11">
        <f>IF(I111=0,"",I111-L111)</f>
        <v/>
      </c>
      <c r="N111" s="290">
        <f>IF(L111="","",L111*상미75)</f>
        <v/>
      </c>
      <c r="O111" s="11">
        <f>IF(M111="","",M111+N111)</f>
        <v/>
      </c>
    </row>
    <row r="112">
      <c r="A112" s="10">
        <f>ROW()-2</f>
        <v/>
      </c>
      <c r="B112" s="10" t="n">
        <v>5673</v>
      </c>
      <c r="C112" s="22">
        <f>VLOOKUP(B:B,재고차이!A:B,2,0)</f>
        <v/>
      </c>
      <c r="D112" s="22">
        <f>VLOOKUP(C:C,재고차이!B:C,2,0)</f>
        <v/>
      </c>
      <c r="E112" s="185" t="n">
        <v>37</v>
      </c>
      <c r="F112" s="185" t="n"/>
      <c r="G112" s="185" t="n"/>
      <c r="H112" s="185" t="n"/>
      <c r="I112" s="151" t="n">
        <v>46682</v>
      </c>
      <c r="J112" s="184" t="n"/>
      <c r="K112" s="20">
        <f>IF(O112="","",O112-$I$1)</f>
        <v/>
      </c>
      <c r="L112" s="280">
        <f>IF(I112="","",SUMIF(제품등록!B:B,정리표!C:C,제품등록!F:F))</f>
        <v/>
      </c>
      <c r="M112" s="11">
        <f>IF(I112=0,"",I112-L112)</f>
        <v/>
      </c>
      <c r="N112" s="290">
        <f>IF(L112="","",L112*상미75)</f>
        <v/>
      </c>
      <c r="O112" s="11">
        <f>IF(M112="","",M112+N112)</f>
        <v/>
      </c>
    </row>
    <row r="113">
      <c r="A113" s="10">
        <f>ROW()-2</f>
        <v/>
      </c>
      <c r="B113" s="24" t="n">
        <v>5673</v>
      </c>
      <c r="C113" s="22">
        <f>VLOOKUP(B:B,재고차이!A:B,2,0)</f>
        <v/>
      </c>
      <c r="D113" s="22">
        <f>VLOOKUP(C:C,재고차이!B:C,2,0)</f>
        <v/>
      </c>
      <c r="E113" s="10" t="n"/>
      <c r="F113" s="10" t="n"/>
      <c r="G113" s="10">
        <f>39+30</f>
        <v/>
      </c>
      <c r="H113" s="10" t="n"/>
      <c r="I113" s="184" t="n">
        <v>46682</v>
      </c>
      <c r="J113" s="184" t="n"/>
      <c r="K113" s="20">
        <f>IF(O113="","",O113-$I$1)</f>
        <v/>
      </c>
      <c r="L113" s="280">
        <f>IF(I113="","",SUMIF(제품등록!B:B,정리표!C:C,제품등록!F:F))</f>
        <v/>
      </c>
      <c r="M113" s="11">
        <f>IF(I113=0,"",I113-L113)</f>
        <v/>
      </c>
      <c r="N113" s="290">
        <f>IF(L113="","",L113*상미75)</f>
        <v/>
      </c>
      <c r="O113" s="11">
        <f>IF(M113="","",M113+N113)</f>
        <v/>
      </c>
    </row>
    <row r="114">
      <c r="A114" s="10">
        <f>ROW()-2</f>
        <v/>
      </c>
      <c r="B114" s="10" t="n">
        <v>5676</v>
      </c>
      <c r="C114" s="22">
        <f>VLOOKUP(B:B,재고차이!A:B,2,0)</f>
        <v/>
      </c>
      <c r="D114" s="22">
        <f>VLOOKUP(C:C,재고차이!B:C,2,0)</f>
        <v/>
      </c>
      <c r="E114" s="185" t="n">
        <v>1</v>
      </c>
      <c r="F114" s="185" t="n"/>
      <c r="G114" s="185" t="n"/>
      <c r="H114" s="185" t="n"/>
      <c r="I114" s="151" t="n">
        <v>46682</v>
      </c>
      <c r="J114" s="151" t="n"/>
      <c r="K114" s="20">
        <f>IF(O114="","",O114-$I$1)</f>
        <v/>
      </c>
      <c r="L114" s="280">
        <f>IF(I114="","",SUMIF(제품등록!B:B,정리표!C:C,제품등록!F:F))</f>
        <v/>
      </c>
      <c r="M114" s="11">
        <f>IF(I114=0,"",I114-L114)</f>
        <v/>
      </c>
      <c r="N114" s="290">
        <f>IF(L114="","",L114*상미75)</f>
        <v/>
      </c>
      <c r="O114" s="11">
        <f>IF(M114="","",M114+N114)</f>
        <v/>
      </c>
    </row>
    <row r="115">
      <c r="A115" s="10">
        <f>ROW()-2</f>
        <v/>
      </c>
      <c r="B115" s="24" t="n">
        <v>5676</v>
      </c>
      <c r="C115" s="22">
        <f>VLOOKUP(B:B,재고차이!A:B,2,0)</f>
        <v/>
      </c>
      <c r="D115" s="22">
        <f>VLOOKUP(C:C,재고차이!B:C,2,0)</f>
        <v/>
      </c>
      <c r="E115" s="10" t="n"/>
      <c r="F115" s="10" t="n"/>
      <c r="G115" s="10" t="n">
        <v>55</v>
      </c>
      <c r="H115" s="10" t="n"/>
      <c r="I115" s="184" t="n">
        <v>46682</v>
      </c>
      <c r="J115" s="184" t="n"/>
      <c r="K115" s="20">
        <f>IF(O115="","",O115-$I$1)</f>
        <v/>
      </c>
      <c r="L115" s="280">
        <f>IF(I115="","",SUMIF(제품등록!B:B,정리표!C:C,제품등록!F:F))</f>
        <v/>
      </c>
      <c r="M115" s="11">
        <f>IF(I115=0,"",I115-L115)</f>
        <v/>
      </c>
      <c r="N115" s="290">
        <f>IF(L115="","",L115*상미75)</f>
        <v/>
      </c>
      <c r="O115" s="11">
        <f>IF(M115="","",M115+N115)</f>
        <v/>
      </c>
    </row>
    <row r="116">
      <c r="A116" s="10">
        <f>ROW()-2</f>
        <v/>
      </c>
      <c r="B116" s="10" t="n">
        <v>5676</v>
      </c>
      <c r="C116" s="22">
        <f>VLOOKUP(B:B,재고차이!A:B,2,0)</f>
        <v/>
      </c>
      <c r="D116" s="22">
        <f>VLOOKUP(C:C,재고차이!B:C,2,0)</f>
        <v/>
      </c>
      <c r="E116" s="185" t="n">
        <v>14</v>
      </c>
      <c r="F116" s="185" t="n"/>
      <c r="G116" s="185" t="n"/>
      <c r="H116" s="185" t="n"/>
      <c r="I116" s="151" t="n">
        <v>46710</v>
      </c>
      <c r="J116" s="151" t="n"/>
      <c r="K116" s="20">
        <f>IF(O116="","",O116-$I$1)</f>
        <v/>
      </c>
      <c r="L116" s="280">
        <f>IF(I116="","",SUMIF(제품등록!B:B,정리표!C:C,제품등록!F:F))</f>
        <v/>
      </c>
      <c r="M116" s="11">
        <f>IF(I116=0,"",I116-L116)</f>
        <v/>
      </c>
      <c r="N116" s="290">
        <f>IF(L116="","",L116*상미75)</f>
        <v/>
      </c>
      <c r="O116" s="11">
        <f>IF(M116="","",M116+N116)</f>
        <v/>
      </c>
    </row>
    <row r="117">
      <c r="A117" s="10">
        <f>ROW()-2</f>
        <v/>
      </c>
      <c r="B117" s="10" t="n">
        <v>5679</v>
      </c>
      <c r="C117" s="22">
        <f>VLOOKUP(B:B,재고차이!A:B,2,0)</f>
        <v/>
      </c>
      <c r="D117" s="22">
        <f>VLOOKUP(C:C,재고차이!B:C,2,0)</f>
        <v/>
      </c>
      <c r="E117" s="10" t="n">
        <v>16</v>
      </c>
      <c r="F117" s="10" t="n"/>
      <c r="G117" s="185" t="n"/>
      <c r="H117" s="185" t="n"/>
      <c r="I117" s="184" t="n">
        <v>46724</v>
      </c>
      <c r="J117" s="151" t="n"/>
      <c r="K117" s="20">
        <f>IF(O117="","",O117-$I$1)</f>
        <v/>
      </c>
      <c r="L117" s="280">
        <f>IF(I117="","",SUMIF(제품등록!B:B,정리표!C:C,제품등록!F:F))</f>
        <v/>
      </c>
      <c r="M117" s="11">
        <f>IF(I117=0,"",I117-L117)</f>
        <v/>
      </c>
      <c r="N117" s="290">
        <f>IF(L117="","",L117*상미75)</f>
        <v/>
      </c>
      <c r="O117" s="11">
        <f>IF(M117="","",M117+N117)</f>
        <v/>
      </c>
    </row>
    <row r="118">
      <c r="A118" s="10">
        <f>ROW()-2</f>
        <v/>
      </c>
      <c r="B118" s="24" t="n">
        <v>5679</v>
      </c>
      <c r="C118" s="22">
        <f>VLOOKUP(B:B,재고차이!A:B,2,0)</f>
        <v/>
      </c>
      <c r="D118" s="22">
        <f>VLOOKUP(C:C,재고차이!B:C,2,0)</f>
        <v/>
      </c>
      <c r="E118" s="10" t="n"/>
      <c r="F118" s="10" t="n"/>
      <c r="G118" s="10" t="n">
        <v>75</v>
      </c>
      <c r="H118" s="10" t="n"/>
      <c r="I118" s="184" t="n">
        <v>46724</v>
      </c>
      <c r="J118" s="184" t="n"/>
      <c r="K118" s="20">
        <f>IF(O118="","",O118-$I$1)</f>
        <v/>
      </c>
      <c r="L118" s="280">
        <f>IF(I118="","",SUMIF(제품등록!B:B,정리표!C:C,제품등록!F:F))</f>
        <v/>
      </c>
      <c r="M118" s="11">
        <f>IF(I118=0,"",I118-L118)</f>
        <v/>
      </c>
      <c r="N118" s="290">
        <f>IF(L118="","",L118*상미75)</f>
        <v/>
      </c>
      <c r="O118" s="11">
        <f>IF(M118="","",M118+N118)</f>
        <v/>
      </c>
    </row>
    <row r="119">
      <c r="A119" s="10">
        <f>ROW()-2</f>
        <v/>
      </c>
      <c r="B119" s="10" t="n">
        <v>5748</v>
      </c>
      <c r="C119" s="22">
        <f>VLOOKUP(B:B,재고차이!A:B,2,0)</f>
        <v/>
      </c>
      <c r="D119" s="22">
        <f>VLOOKUP(C:C,재고차이!B:C,2,0)</f>
        <v/>
      </c>
      <c r="E119" s="10" t="n">
        <v>1</v>
      </c>
      <c r="F119" s="10" t="n"/>
      <c r="G119" s="185" t="n"/>
      <c r="H119" s="185" t="n"/>
      <c r="I119" s="184" t="n">
        <v>46332</v>
      </c>
      <c r="J119" s="151" t="n"/>
      <c r="K119" s="20">
        <f>IF(O119="","",O119-$I$1)</f>
        <v/>
      </c>
      <c r="L119" s="280">
        <f>IF(I119="","",SUMIF(제품등록!B:B,정리표!C:C,제품등록!F:F))</f>
        <v/>
      </c>
      <c r="M119" s="11">
        <f>IF(I119=0,"",I119-L119)</f>
        <v/>
      </c>
      <c r="N119" s="290">
        <f>IF(L119="","",L119*상미75)</f>
        <v/>
      </c>
      <c r="O119" s="11">
        <f>IF(M119="","",M119+N119)</f>
        <v/>
      </c>
    </row>
    <row r="120">
      <c r="A120" s="10">
        <f>ROW()-2</f>
        <v/>
      </c>
      <c r="B120" s="10" t="n">
        <v>5748</v>
      </c>
      <c r="C120" s="22">
        <f>VLOOKUP(B:B,재고차이!A:B,2,0)</f>
        <v/>
      </c>
      <c r="D120" s="22">
        <f>VLOOKUP(C:C,재고차이!B:C,2,0)</f>
        <v/>
      </c>
      <c r="E120" s="10" t="n">
        <v>58</v>
      </c>
      <c r="F120" s="10" t="n"/>
      <c r="G120" s="185" t="n"/>
      <c r="H120" s="185" t="n"/>
      <c r="I120" s="184" t="n">
        <v>46333</v>
      </c>
      <c r="J120" s="184" t="n"/>
      <c r="K120" s="20">
        <f>IF(O120="","",O120-$I$1)</f>
        <v/>
      </c>
      <c r="L120" s="280">
        <f>IF(I120="","",SUMIF(제품등록!B:B,정리표!C:C,제품등록!F:F))</f>
        <v/>
      </c>
      <c r="M120" s="11">
        <f>IF(I120=0,"",I120-L120)</f>
        <v/>
      </c>
      <c r="N120" s="290">
        <f>IF(L120="","",L120*상미75)</f>
        <v/>
      </c>
      <c r="O120" s="11">
        <f>IF(M120="","",M120+N120)</f>
        <v/>
      </c>
    </row>
    <row r="121">
      <c r="A121" s="10">
        <f>ROW()-2</f>
        <v/>
      </c>
      <c r="B121" s="10" t="n">
        <v>5748</v>
      </c>
      <c r="C121" s="22">
        <f>VLOOKUP(B:B,재고차이!A:B,2,0)</f>
        <v/>
      </c>
      <c r="D121" s="22">
        <f>VLOOKUP(C:C,재고차이!B:C,2,0)</f>
        <v/>
      </c>
      <c r="E121" s="10" t="n">
        <v>14</v>
      </c>
      <c r="F121" s="10" t="n"/>
      <c r="G121" s="185" t="n"/>
      <c r="H121" s="185" t="n"/>
      <c r="I121" s="184" t="n">
        <v>46333</v>
      </c>
      <c r="J121" s="151" t="n"/>
      <c r="K121" s="20">
        <f>IF(O121="","",O121-$I$1)</f>
        <v/>
      </c>
      <c r="L121" s="280">
        <f>IF(I121="","",SUMIF(제품등록!B:B,정리표!C:C,제품등록!F:F))</f>
        <v/>
      </c>
      <c r="M121" s="11">
        <f>IF(I121=0,"",I121-L121)</f>
        <v/>
      </c>
      <c r="N121" s="290">
        <f>IF(L121="","",L121*상미75)</f>
        <v/>
      </c>
      <c r="O121" s="11">
        <f>IF(M121="","",M121+N121)</f>
        <v/>
      </c>
    </row>
    <row r="122">
      <c r="A122" s="10">
        <f>ROW()-2</f>
        <v/>
      </c>
      <c r="B122" s="24" t="n">
        <v>5748</v>
      </c>
      <c r="C122" s="22">
        <f>VLOOKUP(B:B,재고차이!A:B,2,0)</f>
        <v/>
      </c>
      <c r="D122" s="22">
        <f>VLOOKUP(C:C,재고차이!B:C,2,0)</f>
        <v/>
      </c>
      <c r="E122" s="10" t="n"/>
      <c r="F122" s="10" t="n"/>
      <c r="G122" s="10" t="n">
        <v>5</v>
      </c>
      <c r="H122" s="10" t="n"/>
      <c r="I122" s="184" t="n">
        <v>46333</v>
      </c>
      <c r="J122" s="184" t="n"/>
      <c r="K122" s="20">
        <f>IF(O122="","",O122-$I$1)</f>
        <v/>
      </c>
      <c r="L122" s="280">
        <f>IF(I122="","",SUMIF(제품등록!B:B,정리표!C:C,제품등록!F:F))</f>
        <v/>
      </c>
      <c r="M122" s="11">
        <f>IF(I122=0,"",I122-L122)</f>
        <v/>
      </c>
      <c r="N122" s="290">
        <f>IF(L122="","",L122*상미75)</f>
        <v/>
      </c>
      <c r="O122" s="11">
        <f>IF(M122="","",M122+N122)</f>
        <v/>
      </c>
    </row>
    <row r="123">
      <c r="A123" s="10">
        <f>ROW()-2</f>
        <v/>
      </c>
      <c r="B123" s="10" t="n">
        <v>5749</v>
      </c>
      <c r="C123" s="22">
        <f>VLOOKUP(B:B,재고차이!A:B,2,0)</f>
        <v/>
      </c>
      <c r="D123" s="22">
        <f>VLOOKUP(C:C,재고차이!B:C,2,0)</f>
        <v/>
      </c>
      <c r="E123" s="10">
        <f>28+22</f>
        <v/>
      </c>
      <c r="F123" s="10" t="n"/>
      <c r="G123" s="185" t="n"/>
      <c r="H123" s="185" t="n"/>
      <c r="I123" s="184" t="n">
        <v>46350</v>
      </c>
      <c r="J123" s="151" t="n"/>
      <c r="K123" s="20">
        <f>IF(O123="","",O123-$I$1)</f>
        <v/>
      </c>
      <c r="L123" s="280">
        <f>IF(I123="","",SUMIF(제품등록!B:B,정리표!C:C,제품등록!F:F))</f>
        <v/>
      </c>
      <c r="M123" s="11">
        <f>IF(I123=0,"",I123-L123)</f>
        <v/>
      </c>
      <c r="N123" s="290">
        <f>IF(L123="","",L123*상미75)</f>
        <v/>
      </c>
      <c r="O123" s="11">
        <f>IF(M123="","",M123+N123)</f>
        <v/>
      </c>
    </row>
    <row r="124">
      <c r="A124" s="10">
        <f>ROW()-2</f>
        <v/>
      </c>
      <c r="B124" s="24" t="n">
        <v>5749</v>
      </c>
      <c r="C124" s="22">
        <f>VLOOKUP(B:B,재고차이!A:B,2,0)</f>
        <v/>
      </c>
      <c r="D124" s="22">
        <f>VLOOKUP(C:C,재고차이!B:C,2,0)</f>
        <v/>
      </c>
      <c r="E124" s="10" t="n"/>
      <c r="F124" s="10" t="n"/>
      <c r="G124" s="10" t="n">
        <v>13</v>
      </c>
      <c r="H124" s="10" t="n"/>
      <c r="I124" s="184" t="n">
        <v>46350</v>
      </c>
      <c r="J124" s="184" t="n"/>
      <c r="K124" s="20">
        <f>IF(O124="","",O124-$I$1)</f>
        <v/>
      </c>
      <c r="L124" s="280">
        <f>IF(I124="","",SUMIF(제품등록!B:B,정리표!C:C,제품등록!F:F))</f>
        <v/>
      </c>
      <c r="M124" s="11">
        <f>IF(I124=0,"",I124-L124)</f>
        <v/>
      </c>
      <c r="N124" s="290">
        <f>IF(L124="","",L124*상미75)</f>
        <v/>
      </c>
      <c r="O124" s="11">
        <f>IF(M124="","",M124+N124)</f>
        <v/>
      </c>
    </row>
    <row r="125">
      <c r="A125" s="10">
        <f>ROW()-2</f>
        <v/>
      </c>
      <c r="B125" s="10" t="n">
        <v>5769</v>
      </c>
      <c r="C125" s="22">
        <f>VLOOKUP(B:B,재고차이!A:B,2,0)</f>
        <v/>
      </c>
      <c r="D125" s="22">
        <f>VLOOKUP(C:C,재고차이!B:C,2,0)</f>
        <v/>
      </c>
      <c r="E125" s="185" t="n">
        <v>7</v>
      </c>
      <c r="F125" s="185" t="n"/>
      <c r="G125" s="185" t="n"/>
      <c r="H125" s="185" t="n"/>
      <c r="I125" s="151" t="n">
        <v>46506</v>
      </c>
      <c r="J125" s="151" t="n"/>
      <c r="K125" s="20">
        <f>IF(O125="","",O125-$I$1)</f>
        <v/>
      </c>
      <c r="L125" s="291">
        <f>IF(I125="","",SUMIF(제품등록!B:B,정리표!C:C,제품등록!F:F))</f>
        <v/>
      </c>
      <c r="M125" s="228">
        <f>IF(I125=0,"",I125-L125)</f>
        <v/>
      </c>
      <c r="N125" s="292">
        <f>IF(L125="","",L125*상미75)</f>
        <v/>
      </c>
      <c r="O125" s="228">
        <f>IF(M125="","",M125+N125)</f>
        <v/>
      </c>
    </row>
    <row r="126">
      <c r="A126" s="10">
        <f>ROW()-2</f>
        <v/>
      </c>
      <c r="B126" s="10" t="n">
        <v>5769</v>
      </c>
      <c r="C126" s="22">
        <f>VLOOKUP(B:B,재고차이!A:B,2,0)</f>
        <v/>
      </c>
      <c r="D126" s="22">
        <f>VLOOKUP(C:C,재고차이!B:C,2,0)</f>
        <v/>
      </c>
      <c r="E126" s="10" t="n"/>
      <c r="F126" s="10" t="n"/>
      <c r="G126" s="10" t="n">
        <v>41</v>
      </c>
      <c r="H126" s="10" t="n"/>
      <c r="I126" s="151" t="n">
        <v>46506</v>
      </c>
      <c r="J126" s="184" t="n"/>
      <c r="K126" s="20">
        <f>IF(O126="","",O126-$I$1)</f>
        <v/>
      </c>
      <c r="L126" s="280">
        <f>IF(I126="","",SUMIF(제품등록!B:B,정리표!C:C,제품등록!F:F))</f>
        <v/>
      </c>
      <c r="M126" s="11">
        <f>IF(I126=0,"",I126-L126)</f>
        <v/>
      </c>
      <c r="N126" s="290">
        <f>IF(L126="","",L126*상미75)</f>
        <v/>
      </c>
      <c r="O126" s="11">
        <f>IF(M126="","",M126+N126)</f>
        <v/>
      </c>
    </row>
    <row r="127">
      <c r="A127" s="10">
        <f>ROW()-2</f>
        <v/>
      </c>
      <c r="B127" s="10" t="n">
        <v>5771</v>
      </c>
      <c r="C127" s="22">
        <f>VLOOKUP(B:B,재고차이!A:B,2,0)</f>
        <v/>
      </c>
      <c r="D127" s="22">
        <f>VLOOKUP(C:C,재고차이!B:C,2,0)</f>
        <v/>
      </c>
      <c r="E127" s="185" t="n">
        <v>2</v>
      </c>
      <c r="F127" s="185" t="n"/>
      <c r="G127" s="185" t="n"/>
      <c r="H127" s="185" t="n"/>
      <c r="I127" s="151" t="n">
        <v>46524</v>
      </c>
      <c r="J127" s="151" t="n"/>
      <c r="K127" s="20">
        <f>IF(O127="","",O127-$I$1)</f>
        <v/>
      </c>
      <c r="L127" s="280">
        <f>IF(I127="","",SUMIF(제품등록!B:B,정리표!C:C,제품등록!F:F))</f>
        <v/>
      </c>
      <c r="M127" s="11">
        <f>IF(I127=0,"",I127-L127)</f>
        <v/>
      </c>
      <c r="N127" s="290">
        <f>IF(L127="","",L127*상미75)</f>
        <v/>
      </c>
      <c r="O127" s="11">
        <f>IF(M127="","",M127+N127)</f>
        <v/>
      </c>
    </row>
    <row r="128">
      <c r="A128" s="10">
        <f>ROW()-2</f>
        <v/>
      </c>
      <c r="B128" s="10" t="n">
        <v>5771</v>
      </c>
      <c r="C128" s="22">
        <f>VLOOKUP(B:B,재고차이!A:B,2,0)</f>
        <v/>
      </c>
      <c r="D128" s="22">
        <f>VLOOKUP(C:C,재고차이!B:C,2,0)</f>
        <v/>
      </c>
      <c r="E128" s="10" t="n"/>
      <c r="F128" s="10" t="n"/>
      <c r="G128" s="185" t="n">
        <v>25</v>
      </c>
      <c r="H128" s="185" t="n"/>
      <c r="I128" s="184" t="n">
        <v>46524</v>
      </c>
      <c r="J128" s="184" t="n"/>
      <c r="K128" s="20">
        <f>IF(O128="","",O128-$I$1)</f>
        <v/>
      </c>
      <c r="L128" s="280">
        <f>IF(I128="","",SUMIF(제품등록!B:B,정리표!C:C,제품등록!F:F))</f>
        <v/>
      </c>
      <c r="M128" s="11">
        <f>IF(I128=0,"",I128-L128)</f>
        <v/>
      </c>
      <c r="N128" s="290">
        <f>IF(L128="","",L128*상미75)</f>
        <v/>
      </c>
      <c r="O128" s="11">
        <f>IF(M128="","",M128+N128)</f>
        <v/>
      </c>
    </row>
    <row r="129">
      <c r="A129" s="10">
        <f>ROW()-2</f>
        <v/>
      </c>
      <c r="B129" s="10" t="n">
        <v>5777</v>
      </c>
      <c r="C129" s="22">
        <f>VLOOKUP(B:B,재고차이!A:B,2,0)</f>
        <v/>
      </c>
      <c r="D129" s="22">
        <f>VLOOKUP(C:C,재고차이!B:C,2,0)</f>
        <v/>
      </c>
      <c r="E129" s="10" t="n">
        <v>44</v>
      </c>
      <c r="F129" s="10" t="n"/>
      <c r="G129" s="185" t="n"/>
      <c r="H129" s="185" t="n"/>
      <c r="I129" s="151" t="n">
        <v>46344</v>
      </c>
      <c r="J129" s="184" t="n"/>
      <c r="K129" s="20">
        <f>IF(O129="","",O129-$I$1)</f>
        <v/>
      </c>
      <c r="L129" s="280">
        <f>IF(I129="","",SUMIF(제품등록!B:B,정리표!C:C,제품등록!F:F))</f>
        <v/>
      </c>
      <c r="M129" s="11">
        <f>IF(I129=0,"",I129-L129)</f>
        <v/>
      </c>
      <c r="N129" s="290">
        <f>IF(L129="","",L129*상미75)</f>
        <v/>
      </c>
      <c r="O129" s="11">
        <f>IF(M129="","",M129+N129)</f>
        <v/>
      </c>
    </row>
    <row r="130">
      <c r="A130" s="10">
        <f>ROW()-2</f>
        <v/>
      </c>
      <c r="B130" s="24" t="n">
        <v>5777</v>
      </c>
      <c r="C130" s="22">
        <f>VLOOKUP(B:B,재고차이!A:B,2,0)</f>
        <v/>
      </c>
      <c r="D130" s="22">
        <f>VLOOKUP(C:C,재고차이!B:C,2,0)</f>
        <v/>
      </c>
      <c r="E130" s="10" t="n"/>
      <c r="F130" s="10" t="n"/>
      <c r="G130" s="10" t="n">
        <v>66</v>
      </c>
      <c r="H130" s="10" t="n"/>
      <c r="I130" s="151" t="n">
        <v>46344</v>
      </c>
      <c r="J130" s="184" t="n"/>
      <c r="K130" s="20">
        <f>IF(O130="","",O130-$I$1)</f>
        <v/>
      </c>
      <c r="L130" s="280">
        <f>IF(I130="","",SUMIF(제품등록!B:B,정리표!C:C,제품등록!F:F))</f>
        <v/>
      </c>
      <c r="M130" s="11">
        <f>IF(I130=0,"",I130-L130)</f>
        <v/>
      </c>
      <c r="N130" s="290">
        <f>IF(L130="","",L130*상미75)</f>
        <v/>
      </c>
      <c r="O130" s="11">
        <f>IF(M130="","",M130+N130)</f>
        <v/>
      </c>
    </row>
    <row r="131">
      <c r="A131" s="10">
        <f>ROW()-2</f>
        <v/>
      </c>
      <c r="B131" s="10" t="n">
        <v>5777</v>
      </c>
      <c r="C131" s="22">
        <f>VLOOKUP(B:B,재고차이!A:B,2,0)</f>
        <v/>
      </c>
      <c r="D131" s="22">
        <f>VLOOKUP(C:C,재고차이!B:C,2,0)</f>
        <v/>
      </c>
      <c r="E131" s="10" t="n">
        <v>7</v>
      </c>
      <c r="F131" s="10" t="n"/>
      <c r="G131" s="185" t="n"/>
      <c r="H131" s="185" t="n"/>
      <c r="I131" s="151" t="n">
        <v>46358</v>
      </c>
      <c r="J131" s="184" t="n"/>
      <c r="K131" s="20">
        <f>IF(O131="","",O131-$I$1)</f>
        <v/>
      </c>
      <c r="L131" s="291">
        <f>IF(I131="","",SUMIF(제품등록!B:B,정리표!C:C,제품등록!F:F))</f>
        <v/>
      </c>
      <c r="M131" s="228">
        <f>IF(I131=0,"",I131-L131)</f>
        <v/>
      </c>
      <c r="N131" s="292">
        <f>IF(L131="","",L131*상미75)</f>
        <v/>
      </c>
      <c r="O131" s="228">
        <f>IF(M131="","",M131+N131)</f>
        <v/>
      </c>
    </row>
    <row r="132">
      <c r="A132" s="10">
        <f>ROW()-2</f>
        <v/>
      </c>
      <c r="B132" s="10" t="n">
        <v>5777</v>
      </c>
      <c r="C132" s="22">
        <f>VLOOKUP(B:B,재고차이!A:B,2,0)</f>
        <v/>
      </c>
      <c r="D132" s="22">
        <f>VLOOKUP(C:C,재고차이!B:C,2,0)</f>
        <v/>
      </c>
      <c r="E132" s="10" t="n">
        <v>21</v>
      </c>
      <c r="F132" s="10" t="n"/>
      <c r="G132" s="185" t="n"/>
      <c r="H132" s="185" t="n"/>
      <c r="I132" s="151" t="n">
        <v>46359</v>
      </c>
      <c r="J132" s="184" t="n"/>
      <c r="K132" s="20">
        <f>IF(O132="","",O132-$I$1)</f>
        <v/>
      </c>
      <c r="L132" s="280">
        <f>IF(I132="","",SUMIF(제품등록!B:B,정리표!C:C,제품등록!F:F))</f>
        <v/>
      </c>
      <c r="M132" s="11">
        <f>IF(I132=0,"",I132-L132)</f>
        <v/>
      </c>
      <c r="N132" s="290">
        <f>IF(L132="","",L132*상미75)</f>
        <v/>
      </c>
      <c r="O132" s="11">
        <f>IF(M132="","",M132+N132)</f>
        <v/>
      </c>
    </row>
    <row r="133">
      <c r="A133" s="10">
        <f>ROW()-2</f>
        <v/>
      </c>
      <c r="B133" s="10" t="n">
        <v>5782</v>
      </c>
      <c r="C133" s="22">
        <f>VLOOKUP(B:B,재고차이!A:B,2,0)</f>
        <v/>
      </c>
      <c r="D133" s="22">
        <f>VLOOKUP(C:C,재고차이!B:C,2,0)</f>
        <v/>
      </c>
      <c r="E133" s="10" t="n">
        <v>10</v>
      </c>
      <c r="F133" s="10" t="n"/>
      <c r="G133" s="185" t="n"/>
      <c r="H133" s="185" t="n"/>
      <c r="I133" s="184" t="n">
        <v>46343</v>
      </c>
      <c r="J133" s="184" t="n"/>
      <c r="K133" s="20">
        <f>IF(O133="","",O133-$I$1)</f>
        <v/>
      </c>
      <c r="L133" s="280">
        <f>IF(I133="","",SUMIF(제품등록!B:B,정리표!C:C,제품등록!F:F))</f>
        <v/>
      </c>
      <c r="M133" s="11">
        <f>IF(I133=0,"",I133-L133)</f>
        <v/>
      </c>
      <c r="N133" s="290">
        <f>IF(L133="","",L133*상미75)</f>
        <v/>
      </c>
      <c r="O133" s="11">
        <f>IF(M133="","",M133+N133)</f>
        <v/>
      </c>
    </row>
    <row r="134">
      <c r="A134" s="10">
        <f>ROW()-2</f>
        <v/>
      </c>
      <c r="B134" s="24" t="n">
        <v>5782</v>
      </c>
      <c r="C134" s="22">
        <f>VLOOKUP(B:B,재고차이!A:B,2,0)</f>
        <v/>
      </c>
      <c r="D134" s="22">
        <f>VLOOKUP(C:C,재고차이!B:C,2,0)</f>
        <v/>
      </c>
      <c r="E134" s="10" t="n"/>
      <c r="F134" s="10" t="n"/>
      <c r="G134" s="10" t="n">
        <v>49</v>
      </c>
      <c r="H134" s="10" t="n"/>
      <c r="I134" s="184" t="n">
        <v>46343</v>
      </c>
      <c r="J134" s="184" t="n"/>
      <c r="K134" s="20">
        <f>IF(O134="","",O134-$I$1)</f>
        <v/>
      </c>
      <c r="L134" s="280">
        <f>IF(I134="","",SUMIF(제품등록!B:B,정리표!C:C,제품등록!F:F))</f>
        <v/>
      </c>
      <c r="M134" s="11">
        <f>IF(I134=0,"",I134-L134)</f>
        <v/>
      </c>
      <c r="N134" s="290">
        <f>IF(L134="","",L134*상미75)</f>
        <v/>
      </c>
      <c r="O134" s="11">
        <f>IF(M134="","",M134+N134)</f>
        <v/>
      </c>
    </row>
    <row r="135">
      <c r="A135" s="10">
        <f>ROW()-2</f>
        <v/>
      </c>
      <c r="B135" s="10" t="n">
        <v>5782</v>
      </c>
      <c r="C135" s="22">
        <f>VLOOKUP(B:B,재고차이!A:B,2,0)</f>
        <v/>
      </c>
      <c r="D135" s="22">
        <f>VLOOKUP(C:C,재고차이!B:C,2,0)</f>
        <v/>
      </c>
      <c r="E135" s="10" t="n">
        <v>45</v>
      </c>
      <c r="F135" s="10" t="n"/>
      <c r="G135" s="185" t="n"/>
      <c r="H135" s="185" t="n"/>
      <c r="I135" s="184" t="n">
        <v>46352</v>
      </c>
      <c r="J135" s="184" t="n"/>
      <c r="K135" s="20">
        <f>IF(O135="","",O135-$I$1)</f>
        <v/>
      </c>
      <c r="L135" s="280">
        <f>IF(I135="","",SUMIF(제품등록!B:B,정리표!C:C,제품등록!F:F))</f>
        <v/>
      </c>
      <c r="M135" s="11">
        <f>IF(I135=0,"",I135-L135)</f>
        <v/>
      </c>
      <c r="N135" s="290">
        <f>IF(L135="","",L135*상미75)</f>
        <v/>
      </c>
      <c r="O135" s="11">
        <f>IF(M135="","",M135+N135)</f>
        <v/>
      </c>
    </row>
    <row r="136">
      <c r="A136" s="10">
        <f>ROW()-2</f>
        <v/>
      </c>
      <c r="B136" s="24" t="n">
        <v>5782</v>
      </c>
      <c r="C136" s="22">
        <f>VLOOKUP(B:B,재고차이!A:B,2,0)</f>
        <v/>
      </c>
      <c r="D136" s="22">
        <f>VLOOKUP(C:C,재고차이!B:C,2,0)</f>
        <v/>
      </c>
      <c r="E136" s="10" t="n"/>
      <c r="F136" s="10" t="n"/>
      <c r="G136" s="10" t="n">
        <v>41</v>
      </c>
      <c r="H136" s="10" t="n"/>
      <c r="I136" s="184" t="n">
        <v>46352</v>
      </c>
      <c r="J136" s="184" t="n"/>
      <c r="K136" s="20">
        <f>IF(O136="","",O136-$I$1)</f>
        <v/>
      </c>
      <c r="L136" s="280">
        <f>IF(I136="","",SUMIF(제품등록!B:B,정리표!C:C,제품등록!F:F))</f>
        <v/>
      </c>
      <c r="M136" s="11">
        <f>IF(I136=0,"",I136-L136)</f>
        <v/>
      </c>
      <c r="N136" s="290">
        <f>IF(L136="","",L136*상미75)</f>
        <v/>
      </c>
      <c r="O136" s="11">
        <f>IF(M136="","",M136+N136)</f>
        <v/>
      </c>
    </row>
    <row r="137">
      <c r="A137" s="10">
        <f>ROW()-2</f>
        <v/>
      </c>
      <c r="B137" s="10" t="n">
        <v>6103</v>
      </c>
      <c r="C137" s="22">
        <f>VLOOKUP(B:B,재고차이!A:B,2,0)</f>
        <v/>
      </c>
      <c r="D137" s="22">
        <f>VLOOKUP(C:C,재고차이!B:C,2,0)</f>
        <v/>
      </c>
      <c r="E137" s="10" t="n">
        <v>15</v>
      </c>
      <c r="F137" s="10" t="n"/>
      <c r="G137" s="185" t="n"/>
      <c r="H137" s="185" t="n"/>
      <c r="I137" s="184" t="n">
        <v>46252</v>
      </c>
      <c r="J137" s="184" t="n"/>
      <c r="K137" s="20">
        <f>IF(O137="","",O137-$I$1)</f>
        <v/>
      </c>
      <c r="L137" s="280">
        <f>IF(I137="","",SUMIF(제품등록!B:B,정리표!C:C,제품등록!F:F))</f>
        <v/>
      </c>
      <c r="M137" s="11">
        <f>IF(I137=0,"",I137-L137)</f>
        <v/>
      </c>
      <c r="N137" s="290">
        <f>IF(L137="","",L137*상미75)</f>
        <v/>
      </c>
      <c r="O137" s="11">
        <f>IF(M137="","",M137+N137)</f>
        <v/>
      </c>
    </row>
    <row r="138">
      <c r="A138" s="10">
        <f>ROW()-2</f>
        <v/>
      </c>
      <c r="B138" s="10" t="n">
        <v>6103</v>
      </c>
      <c r="C138" s="22">
        <f>VLOOKUP(B:B,재고차이!A:B,2,0)</f>
        <v/>
      </c>
      <c r="D138" s="22">
        <f>VLOOKUP(C:C,재고차이!B:C,2,0)</f>
        <v/>
      </c>
      <c r="E138" s="185" t="n">
        <v>34</v>
      </c>
      <c r="F138" s="185" t="n"/>
      <c r="G138" s="185" t="n"/>
      <c r="H138" s="185" t="n"/>
      <c r="I138" s="151" t="n">
        <v>46252</v>
      </c>
      <c r="J138" s="151" t="n"/>
      <c r="K138" s="20">
        <f>IF(O138="","",O138-$I$1)</f>
        <v/>
      </c>
      <c r="L138" s="280">
        <f>IF(I138="","",SUMIF(제품등록!B:B,정리표!C:C,제품등록!F:F))</f>
        <v/>
      </c>
      <c r="M138" s="11">
        <f>IF(I138=0,"",I138-L138)</f>
        <v/>
      </c>
      <c r="N138" s="290">
        <f>IF(L138="","",L138*상미75)</f>
        <v/>
      </c>
      <c r="O138" s="11">
        <f>IF(M138="","",M138+N138)</f>
        <v/>
      </c>
    </row>
    <row r="139">
      <c r="A139" s="10">
        <f>ROW()-2</f>
        <v/>
      </c>
      <c r="B139" s="24" t="n">
        <v>6103</v>
      </c>
      <c r="C139" s="22">
        <f>VLOOKUP(B:B,재고차이!A:B,2,0)</f>
        <v/>
      </c>
      <c r="D139" s="22">
        <f>VLOOKUP(C:C,재고차이!B:C,2,0)</f>
        <v/>
      </c>
      <c r="E139" s="10" t="n"/>
      <c r="F139" s="10" t="n"/>
      <c r="G139" s="10" t="n">
        <v>48</v>
      </c>
      <c r="H139" s="10" t="n"/>
      <c r="I139" s="184" t="n">
        <v>46252</v>
      </c>
      <c r="J139" s="184" t="n"/>
      <c r="K139" s="20">
        <f>IF(O139="","",O139-$I$1)</f>
        <v/>
      </c>
      <c r="L139" s="280">
        <f>IF(I139="","",SUMIF(제품등록!B:B,정리표!C:C,제품등록!F:F))</f>
        <v/>
      </c>
      <c r="M139" s="11">
        <f>IF(I139=0,"",I139-L139)</f>
        <v/>
      </c>
      <c r="N139" s="290">
        <f>IF(L139="","",L139*상미75)</f>
        <v/>
      </c>
      <c r="O139" s="11">
        <f>IF(M139="","",M139+N139)</f>
        <v/>
      </c>
    </row>
    <row r="140">
      <c r="A140" s="10">
        <f>ROW()-2</f>
        <v/>
      </c>
      <c r="B140" s="10" t="n">
        <v>6111</v>
      </c>
      <c r="C140" s="22">
        <f>VLOOKUP(B:B,재고차이!A:B,2,0)</f>
        <v/>
      </c>
      <c r="D140" s="22">
        <f>VLOOKUP(C:C,재고차이!B:C,2,0)</f>
        <v/>
      </c>
      <c r="E140" s="185" t="n">
        <v>3</v>
      </c>
      <c r="F140" s="185" t="n"/>
      <c r="G140" s="185" t="n"/>
      <c r="H140" s="185" t="n"/>
      <c r="I140" s="151" t="n">
        <v>46583</v>
      </c>
      <c r="J140" s="151" t="n"/>
      <c r="K140" s="20">
        <f>IF(O140="","",O140-$I$1)</f>
        <v/>
      </c>
      <c r="L140" s="280">
        <f>IF(I140="","",SUMIF(제품등록!B:B,정리표!C:C,제품등록!F:F))</f>
        <v/>
      </c>
      <c r="M140" s="11">
        <f>IF(I140=0,"",I140-L140)</f>
        <v/>
      </c>
      <c r="N140" s="290">
        <f>IF(L140="","",L140*상미75)</f>
        <v/>
      </c>
      <c r="O140" s="11">
        <f>IF(M140="","",M140+N140)</f>
        <v/>
      </c>
    </row>
    <row r="141">
      <c r="A141" s="10">
        <f>ROW()-2</f>
        <v/>
      </c>
      <c r="B141" s="24" t="n">
        <v>6111</v>
      </c>
      <c r="C141" s="22">
        <f>VLOOKUP(B:B,재고차이!A:B,2,0)</f>
        <v/>
      </c>
      <c r="D141" s="22">
        <f>VLOOKUP(C:C,재고차이!B:C,2,0)</f>
        <v/>
      </c>
      <c r="E141" s="10" t="n"/>
      <c r="F141" s="10" t="n"/>
      <c r="G141" s="10" t="n">
        <v>119</v>
      </c>
      <c r="H141" s="10" t="n"/>
      <c r="I141" s="184" t="n">
        <v>46583</v>
      </c>
      <c r="J141" s="184" t="n"/>
      <c r="K141" s="20">
        <f>IF(O141="","",O141-$I$1)</f>
        <v/>
      </c>
      <c r="L141" s="280">
        <f>IF(I141="","",SUMIF(제품등록!B:B,정리표!C:C,제품등록!F:F))</f>
        <v/>
      </c>
      <c r="M141" s="11">
        <f>IF(I141=0,"",I141-L141)</f>
        <v/>
      </c>
      <c r="N141" s="290">
        <f>IF(L141="","",L141*상미75)</f>
        <v/>
      </c>
      <c r="O141" s="11">
        <f>IF(M141="","",M141+N141)</f>
        <v/>
      </c>
    </row>
    <row r="142">
      <c r="A142" s="10">
        <f>ROW()-2</f>
        <v/>
      </c>
      <c r="B142" s="10" t="n">
        <v>6117</v>
      </c>
      <c r="C142" s="22">
        <f>VLOOKUP(B:B,재고차이!A:B,2,0)</f>
        <v/>
      </c>
      <c r="D142" s="22">
        <f>VLOOKUP(C:C,재고차이!B:C,2,0)</f>
        <v/>
      </c>
      <c r="E142" s="185">
        <f>1+18</f>
        <v/>
      </c>
      <c r="F142" s="185" t="n"/>
      <c r="G142" s="185" t="n"/>
      <c r="H142" s="185" t="n"/>
      <c r="I142" s="151" t="n">
        <v>46343</v>
      </c>
      <c r="J142" s="184" t="n"/>
      <c r="K142" s="20">
        <f>IF(O142="","",O142-$I$1)</f>
        <v/>
      </c>
      <c r="L142" s="280">
        <f>IF(I142="","",SUMIF(제품등록!B:B,정리표!C:C,제품등록!F:F))</f>
        <v/>
      </c>
      <c r="M142" s="11">
        <f>IF(I142=0,"",I142-L142)</f>
        <v/>
      </c>
      <c r="N142" s="290">
        <f>IF(L142="","",L142*상미75)</f>
        <v/>
      </c>
      <c r="O142" s="11">
        <f>IF(M142="","",M142+N142)</f>
        <v/>
      </c>
    </row>
    <row r="143">
      <c r="A143" s="10">
        <f>ROW()-2</f>
        <v/>
      </c>
      <c r="B143" s="24" t="n">
        <v>6117</v>
      </c>
      <c r="C143" s="22">
        <f>VLOOKUP(B:B,재고차이!A:B,2,0)</f>
        <v/>
      </c>
      <c r="D143" s="22">
        <f>VLOOKUP(C:C,재고차이!B:C,2,0)</f>
        <v/>
      </c>
      <c r="E143" s="10" t="n"/>
      <c r="F143" s="10" t="n"/>
      <c r="G143" s="10" t="n">
        <v>58</v>
      </c>
      <c r="H143" s="10" t="n"/>
      <c r="I143" s="184" t="n">
        <v>46343</v>
      </c>
      <c r="J143" s="184" t="n"/>
      <c r="K143" s="20">
        <f>IF(O143="","",O143-$I$1)</f>
        <v/>
      </c>
      <c r="L143" s="280">
        <f>IF(I143="","",SUMIF(제품등록!B:B,정리표!C:C,제품등록!F:F))</f>
        <v/>
      </c>
      <c r="M143" s="11">
        <f>IF(I143=0,"",I143-L143)</f>
        <v/>
      </c>
      <c r="N143" s="290">
        <f>IF(L143="","",L143*상미75)</f>
        <v/>
      </c>
      <c r="O143" s="11">
        <f>IF(M143="","",M143+N143)</f>
        <v/>
      </c>
    </row>
    <row r="144">
      <c r="A144" s="10">
        <f>ROW()-2</f>
        <v/>
      </c>
      <c r="B144" s="10" t="n">
        <v>6117</v>
      </c>
      <c r="C144" s="22">
        <f>VLOOKUP(B:B,재고차이!A:B,2,0)</f>
        <v/>
      </c>
      <c r="D144" s="22">
        <f>VLOOKUP(C:C,재고차이!B:C,2,0)</f>
        <v/>
      </c>
      <c r="E144" s="185" t="n">
        <v>33</v>
      </c>
      <c r="F144" s="185" t="n"/>
      <c r="G144" s="185" t="n"/>
      <c r="H144" s="185" t="n"/>
      <c r="I144" s="151" t="n">
        <v>46349</v>
      </c>
      <c r="J144" s="184" t="n"/>
      <c r="K144" s="20">
        <f>IF(O144="","",O144-$I$1)</f>
        <v/>
      </c>
      <c r="L144" s="280">
        <f>IF(I144="","",SUMIF(제품등록!B:B,정리표!C:C,제품등록!F:F))</f>
        <v/>
      </c>
      <c r="M144" s="11">
        <f>IF(I144=0,"",I144-L144)</f>
        <v/>
      </c>
      <c r="N144" s="290">
        <f>IF(L144="","",L144*상미75)</f>
        <v/>
      </c>
      <c r="O144" s="11">
        <f>IF(M144="","",M144+N144)</f>
        <v/>
      </c>
    </row>
    <row r="145">
      <c r="A145" s="10">
        <f>ROW()-2</f>
        <v/>
      </c>
      <c r="B145" s="10" t="n">
        <v>6117</v>
      </c>
      <c r="C145" s="22">
        <f>VLOOKUP(B:B,재고차이!A:B,2,0)</f>
        <v/>
      </c>
      <c r="D145" s="22">
        <f>VLOOKUP(C:C,재고차이!B:C,2,0)</f>
        <v/>
      </c>
      <c r="E145" s="185">
        <f>40+10</f>
        <v/>
      </c>
      <c r="F145" s="185" t="n"/>
      <c r="G145" s="185" t="n"/>
      <c r="H145" s="185" t="n"/>
      <c r="I145" s="151" t="n">
        <v>46350</v>
      </c>
      <c r="J145" s="184" t="n"/>
      <c r="K145" s="20">
        <f>IF(O145="","",O145-$I$1)</f>
        <v/>
      </c>
      <c r="L145" s="280">
        <f>IF(I145="","",SUMIF(제품등록!B:B,정리표!C:C,제품등록!F:F))</f>
        <v/>
      </c>
      <c r="M145" s="11">
        <f>IF(I145=0,"",I145-L145)</f>
        <v/>
      </c>
      <c r="N145" s="290">
        <f>IF(L145="","",L145*상미75)</f>
        <v/>
      </c>
      <c r="O145" s="11">
        <f>IF(M145="","",M145+N145)</f>
        <v/>
      </c>
    </row>
    <row r="146">
      <c r="A146" s="10">
        <f>ROW()-2</f>
        <v/>
      </c>
      <c r="B146" s="10" t="n">
        <v>6120</v>
      </c>
      <c r="C146" s="22">
        <f>VLOOKUP(B:B,재고차이!A:B,2,0)</f>
        <v/>
      </c>
      <c r="D146" s="22">
        <f>VLOOKUP(C:C,재고차이!B:C,2,0)</f>
        <v/>
      </c>
      <c r="E146" s="185">
        <f>46+33</f>
        <v/>
      </c>
      <c r="F146" s="185" t="n"/>
      <c r="G146" s="185" t="n"/>
      <c r="H146" s="185" t="n"/>
      <c r="I146" s="151" t="n">
        <v>46349</v>
      </c>
      <c r="J146" s="184" t="n"/>
      <c r="K146" s="20">
        <f>IF(O146="","",O146-$I$1)</f>
        <v/>
      </c>
      <c r="L146" s="280">
        <f>IF(I146="","",SUMIF(제품등록!B:B,정리표!C:C,제품등록!F:F))</f>
        <v/>
      </c>
      <c r="M146" s="11">
        <f>IF(I146=0,"",I146-L146)</f>
        <v/>
      </c>
      <c r="N146" s="290">
        <f>IF(L146="","",L146*상미75)</f>
        <v/>
      </c>
      <c r="O146" s="11">
        <f>IF(M146="","",M146+N146)</f>
        <v/>
      </c>
    </row>
    <row r="147">
      <c r="A147" s="10">
        <f>ROW()-2</f>
        <v/>
      </c>
      <c r="B147" s="24" t="n">
        <v>6120</v>
      </c>
      <c r="C147" s="22">
        <f>VLOOKUP(B:B,재고차이!A:B,2,0)</f>
        <v/>
      </c>
      <c r="D147" s="22">
        <f>VLOOKUP(C:C,재고차이!B:C,2,0)</f>
        <v/>
      </c>
      <c r="E147" s="10" t="n"/>
      <c r="F147" s="10" t="n"/>
      <c r="G147" s="10" t="n">
        <v>10</v>
      </c>
      <c r="H147" s="10" t="n"/>
      <c r="I147" s="184" t="n">
        <v>46350</v>
      </c>
      <c r="J147" s="184" t="n"/>
      <c r="K147" s="20">
        <f>IF(O147="","",O147-$I$1)</f>
        <v/>
      </c>
      <c r="L147" s="280">
        <f>IF(I147="","",SUMIF(제품등록!B:B,정리표!C:C,제품등록!F:F))</f>
        <v/>
      </c>
      <c r="M147" s="11">
        <f>IF(I147=0,"",I147-L147)</f>
        <v/>
      </c>
      <c r="N147" s="290">
        <f>IF(L147="","",L147*상미75)</f>
        <v/>
      </c>
      <c r="O147" s="11">
        <f>IF(M147="","",M147+N147)</f>
        <v/>
      </c>
    </row>
    <row r="148" customFormat="1" s="230">
      <c r="A148" s="10">
        <f>ROW()-2</f>
        <v/>
      </c>
      <c r="B148" s="10" t="n">
        <v>6277</v>
      </c>
      <c r="C148" s="22">
        <f>VLOOKUP(B:B,재고차이!A:B,2,0)</f>
        <v/>
      </c>
      <c r="D148" s="22">
        <f>VLOOKUP(C:C,재고차이!B:C,2,0)</f>
        <v/>
      </c>
      <c r="E148" s="185">
        <f>40+23</f>
        <v/>
      </c>
      <c r="F148" s="185" t="n"/>
      <c r="G148" s="185" t="n"/>
      <c r="H148" s="185" t="n"/>
      <c r="I148" s="151" t="n">
        <v>46347</v>
      </c>
      <c r="J148" s="151" t="n"/>
      <c r="K148" s="20">
        <f>IF(O148="","",O148-$I$1)</f>
        <v/>
      </c>
      <c r="L148" s="280">
        <f>IF(I148="","",SUMIF(제품등록!B:B,정리표!C:C,제품등록!F:F))</f>
        <v/>
      </c>
      <c r="M148" s="11">
        <f>IF(I148=0,"",I148-L148)</f>
        <v/>
      </c>
      <c r="N148" s="290">
        <f>IF(L148="","",L148*상미75)</f>
        <v/>
      </c>
      <c r="O148" s="11">
        <f>IF(M148="","",M148+N148)</f>
        <v/>
      </c>
    </row>
    <row r="149" customFormat="1" s="230">
      <c r="A149" s="10">
        <f>ROW()-2</f>
        <v/>
      </c>
      <c r="B149" s="10" t="n">
        <v>6277</v>
      </c>
      <c r="C149" s="22">
        <f>VLOOKUP(B:B,재고차이!A:B,2,0)</f>
        <v/>
      </c>
      <c r="D149" s="22">
        <f>VLOOKUP(C:C,재고차이!B:C,2,0)</f>
        <v/>
      </c>
      <c r="E149" s="10" t="n"/>
      <c r="F149" s="10" t="n"/>
      <c r="G149" s="10" t="n">
        <v>44</v>
      </c>
      <c r="H149" s="10" t="n"/>
      <c r="I149" s="184" t="n">
        <v>46347</v>
      </c>
      <c r="J149" s="184" t="n"/>
      <c r="K149" s="20">
        <f>IF(O149="","",O149-$I$1)</f>
        <v/>
      </c>
      <c r="L149" s="280">
        <f>IF(I149="","",SUMIF(제품등록!B:B,정리표!C:C,제품등록!F:F))</f>
        <v/>
      </c>
      <c r="M149" s="11">
        <f>IF(I149=0,"",I149-L149)</f>
        <v/>
      </c>
      <c r="N149" s="290">
        <f>IF(L149="","",L149*상미75)</f>
        <v/>
      </c>
      <c r="O149" s="11">
        <f>IF(M149="","",M149+N149)</f>
        <v/>
      </c>
    </row>
    <row r="150" customFormat="1" s="230">
      <c r="A150" s="10">
        <f>ROW()-2</f>
        <v/>
      </c>
      <c r="B150" s="10" t="n">
        <v>6285</v>
      </c>
      <c r="C150" s="22">
        <f>VLOOKUP(B:B,재고차이!A:B,2,0)</f>
        <v/>
      </c>
      <c r="D150" s="22">
        <f>VLOOKUP(C:C,재고차이!B:C,2,0)</f>
        <v/>
      </c>
      <c r="E150" s="10" t="n">
        <v>37</v>
      </c>
      <c r="F150" s="10" t="n"/>
      <c r="G150" s="185" t="n"/>
      <c r="H150" s="185" t="n"/>
      <c r="I150" s="235" t="n">
        <v>46287</v>
      </c>
      <c r="J150" s="235" t="inlineStr">
        <is>
          <t>사용기한 임박</t>
        </is>
      </c>
      <c r="K150" s="20">
        <f>IF(O150="","",O150-$I$1)</f>
        <v/>
      </c>
      <c r="L150" s="280">
        <f>IF(I150="","",SUMIF(제품등록!B:B,정리표!C:C,제품등록!F:F))</f>
        <v/>
      </c>
      <c r="M150" s="11">
        <f>IF(I150=0,"",I150-L150)</f>
        <v/>
      </c>
      <c r="N150" s="290">
        <f>IF(L150="","",L150*상미75)</f>
        <v/>
      </c>
      <c r="O150" s="11">
        <f>IF(M150="","",M150+N150)</f>
        <v/>
      </c>
    </row>
    <row r="151">
      <c r="A151" s="10">
        <f>ROW()-2</f>
        <v/>
      </c>
      <c r="B151" s="10" t="n">
        <v>6285</v>
      </c>
      <c r="C151" s="22">
        <f>VLOOKUP(B:B,재고차이!A:B,2,0)</f>
        <v/>
      </c>
      <c r="D151" s="22">
        <f>VLOOKUP(C:C,재고차이!B:C,2,0)</f>
        <v/>
      </c>
      <c r="E151" s="10" t="n"/>
      <c r="F151" s="10" t="n"/>
      <c r="G151" s="10" t="n">
        <v>32</v>
      </c>
      <c r="H151" s="10" t="n"/>
      <c r="I151" s="235" t="n">
        <v>46287</v>
      </c>
      <c r="J151" s="235" t="inlineStr">
        <is>
          <t>사용기한 임박</t>
        </is>
      </c>
      <c r="K151" s="20">
        <f>IF(O151="","",O151-$I$1)</f>
        <v/>
      </c>
      <c r="L151" s="280">
        <f>IF(I151="","",SUMIF(제품등록!B:B,정리표!C:C,제품등록!F:F))</f>
        <v/>
      </c>
      <c r="M151" s="11">
        <f>IF(I151=0,"",I151-L151)</f>
        <v/>
      </c>
      <c r="N151" s="290">
        <f>IF(L151="","",L151*상미75)</f>
        <v/>
      </c>
      <c r="O151" s="11">
        <f>IF(M151="","",M151+N151)</f>
        <v/>
      </c>
    </row>
    <row r="152">
      <c r="A152" s="10">
        <f>ROW()-2</f>
        <v/>
      </c>
      <c r="B152" s="10" t="n">
        <v>6285</v>
      </c>
      <c r="C152" s="22">
        <f>VLOOKUP(B:B,재고차이!A:B,2,0)</f>
        <v/>
      </c>
      <c r="D152" s="22">
        <f>VLOOKUP(C:C,재고차이!B:C,2,0)</f>
        <v/>
      </c>
      <c r="E152" s="10">
        <f>32+21</f>
        <v/>
      </c>
      <c r="F152" s="10" t="n"/>
      <c r="G152" s="185" t="n"/>
      <c r="H152" s="185" t="n"/>
      <c r="I152" s="184" t="n">
        <v>46322</v>
      </c>
      <c r="J152" s="151" t="n"/>
      <c r="K152" s="20">
        <f>IF(O152="","",O152-$I$1)</f>
        <v/>
      </c>
      <c r="L152" s="280">
        <f>IF(I152="","",SUMIF(제품등록!B:B,정리표!C:C,제품등록!F:F))</f>
        <v/>
      </c>
      <c r="M152" s="11">
        <f>IF(I152=0,"",I152-L152)</f>
        <v/>
      </c>
      <c r="N152" s="290">
        <f>IF(L152="","",L152*상미75)</f>
        <v/>
      </c>
      <c r="O152" s="11">
        <f>IF(M152="","",M152+N152)</f>
        <v/>
      </c>
    </row>
    <row r="153" customFormat="1" s="230">
      <c r="A153" s="10">
        <f>ROW()-2</f>
        <v/>
      </c>
      <c r="B153" s="10" t="n">
        <v>6285</v>
      </c>
      <c r="C153" s="22">
        <f>VLOOKUP(B:B,재고차이!A:B,2,0)</f>
        <v/>
      </c>
      <c r="D153" s="22">
        <f>VLOOKUP(C:C,재고차이!B:C,2,0)</f>
        <v/>
      </c>
      <c r="E153" s="10" t="n"/>
      <c r="F153" s="10" t="n"/>
      <c r="G153" s="10" t="n">
        <v>28</v>
      </c>
      <c r="H153" s="10" t="n"/>
      <c r="I153" s="184" t="n">
        <v>46322</v>
      </c>
      <c r="J153" s="184" t="n"/>
      <c r="K153" s="20">
        <f>IF(O153="","",O153-$I$1)</f>
        <v/>
      </c>
      <c r="L153" s="280">
        <f>IF(I153="","",SUMIF(제품등록!B:B,정리표!C:C,제품등록!F:F))</f>
        <v/>
      </c>
      <c r="M153" s="11">
        <f>IF(I153=0,"",I153-L153)</f>
        <v/>
      </c>
      <c r="N153" s="290">
        <f>IF(L153="","",L153*상미75)</f>
        <v/>
      </c>
      <c r="O153" s="11">
        <f>IF(M153="","",M153+N153)</f>
        <v/>
      </c>
    </row>
    <row r="154" customFormat="1" s="230">
      <c r="A154" s="10">
        <f>ROW()-2</f>
        <v/>
      </c>
      <c r="B154" s="10" t="n">
        <v>6349</v>
      </c>
      <c r="C154" s="22">
        <f>VLOOKUP(B:B,재고차이!A:B,2,0)</f>
        <v/>
      </c>
      <c r="D154" s="22">
        <f>VLOOKUP(C:C,재고차이!B:C,2,0)</f>
        <v/>
      </c>
      <c r="E154" s="185">
        <f>62+5</f>
        <v/>
      </c>
      <c r="F154" s="185" t="n"/>
      <c r="G154" s="185" t="n"/>
      <c r="H154" s="185" t="n"/>
      <c r="I154" s="151" t="n">
        <v>46336</v>
      </c>
      <c r="J154" s="151" t="n"/>
      <c r="K154" s="20">
        <f>IF(O154="","",O154-$I$1)</f>
        <v/>
      </c>
      <c r="L154" s="291">
        <f>IF(I154="","",SUMIF(제품등록!B:B,정리표!C:C,제품등록!F:F))</f>
        <v/>
      </c>
      <c r="M154" s="228">
        <f>IF(I154=0,"",I154-L154)</f>
        <v/>
      </c>
      <c r="N154" s="292">
        <f>IF(L154="","",L154*상미75)</f>
        <v/>
      </c>
      <c r="O154" s="228">
        <f>IF(M154="","",M154+N154)</f>
        <v/>
      </c>
    </row>
    <row r="155" customFormat="1" s="230">
      <c r="A155" s="10">
        <f>ROW()-2</f>
        <v/>
      </c>
      <c r="B155" s="10" t="n">
        <v>6349</v>
      </c>
      <c r="C155" s="22">
        <f>VLOOKUP(B:B,재고차이!A:B,2,0)</f>
        <v/>
      </c>
      <c r="D155" s="22">
        <f>VLOOKUP(C:C,재고차이!B:C,2,0)</f>
        <v/>
      </c>
      <c r="E155" s="10" t="n"/>
      <c r="F155" s="10" t="n"/>
      <c r="G155" s="10" t="n">
        <v>15</v>
      </c>
      <c r="H155" s="10" t="n"/>
      <c r="I155" s="184" t="n">
        <v>46336</v>
      </c>
      <c r="J155" s="184" t="n"/>
      <c r="K155" s="20">
        <f>IF(O155="","",O155-$I$1)</f>
        <v/>
      </c>
      <c r="L155" s="280">
        <f>IF(I155="","",SUMIF(제품등록!B:B,정리표!C:C,제품등록!F:F))</f>
        <v/>
      </c>
      <c r="M155" s="11">
        <f>IF(I155=0,"",I155-L155)</f>
        <v/>
      </c>
      <c r="N155" s="290">
        <f>IF(L155="","",L155*상미75)</f>
        <v/>
      </c>
      <c r="O155" s="11">
        <f>IF(M155="","",M155+N155)</f>
        <v/>
      </c>
    </row>
    <row r="156" customFormat="1" s="230">
      <c r="A156" s="10">
        <f>ROW()-2</f>
        <v/>
      </c>
      <c r="B156" s="10" t="n">
        <v>6509</v>
      </c>
      <c r="C156" s="22">
        <f>VLOOKUP(B:B,재고차이!A:B,2,0)</f>
        <v/>
      </c>
      <c r="D156" s="22">
        <f>VLOOKUP(C:C,재고차이!B:C,2,0)</f>
        <v/>
      </c>
      <c r="E156" s="185">
        <f>6+16</f>
        <v/>
      </c>
      <c r="F156" s="185" t="n"/>
      <c r="G156" s="185" t="n"/>
      <c r="H156" s="185" t="n"/>
      <c r="I156" s="235" t="n">
        <v>46217</v>
      </c>
      <c r="J156" s="235" t="inlineStr">
        <is>
          <t>사용기한 임박</t>
        </is>
      </c>
      <c r="K156" s="20">
        <f>IF(O156="","",O156-$I$1)</f>
        <v/>
      </c>
      <c r="L156" s="280">
        <f>IF(I156="","",SUMIF(제품등록!B:B,정리표!C:C,제품등록!F:F))</f>
        <v/>
      </c>
      <c r="M156" s="11">
        <f>IF(I156=0,"",I156-L156)</f>
        <v/>
      </c>
      <c r="N156" s="290">
        <f>IF(L156="","",L156*상미75)</f>
        <v/>
      </c>
      <c r="O156" s="11">
        <f>IF(M156="","",M156+N156)</f>
        <v/>
      </c>
    </row>
    <row r="157" customFormat="1" s="230">
      <c r="A157" s="10">
        <f>ROW()-2</f>
        <v/>
      </c>
      <c r="B157" s="24" t="n">
        <v>6509</v>
      </c>
      <c r="C157" s="22">
        <f>VLOOKUP(B:B,재고차이!A:B,2,0)</f>
        <v/>
      </c>
      <c r="D157" s="22">
        <f>VLOOKUP(C:C,재고차이!B:C,2,0)</f>
        <v/>
      </c>
      <c r="E157" s="10" t="n"/>
      <c r="F157" s="10" t="n"/>
      <c r="G157" s="10" t="n">
        <v>15</v>
      </c>
      <c r="H157" s="10" t="n"/>
      <c r="I157" s="235" t="n">
        <v>46217</v>
      </c>
      <c r="J157" s="235" t="inlineStr">
        <is>
          <t>사용기한 임박</t>
        </is>
      </c>
      <c r="K157" s="20">
        <f>IF(O157="","",O157-$I$1)</f>
        <v/>
      </c>
      <c r="L157" s="280">
        <f>IF(I157="","",SUMIF(제품등록!B:B,정리표!C:C,제품등록!F:F))</f>
        <v/>
      </c>
      <c r="M157" s="11">
        <f>IF(I157=0,"",I157-L157)</f>
        <v/>
      </c>
      <c r="N157" s="290">
        <f>IF(L157="","",L157*상미75)</f>
        <v/>
      </c>
      <c r="O157" s="11">
        <f>IF(M157="","",M157+N157)</f>
        <v/>
      </c>
    </row>
    <row r="158" customFormat="1" s="230">
      <c r="A158" s="10">
        <f>ROW()-2</f>
        <v/>
      </c>
      <c r="B158" s="10" t="n">
        <v>6509</v>
      </c>
      <c r="C158" s="22">
        <f>VLOOKUP(B:B,재고차이!A:B,2,0)</f>
        <v/>
      </c>
      <c r="D158" s="22">
        <f>VLOOKUP(C:C,재고차이!B:C,2,0)</f>
        <v/>
      </c>
      <c r="E158" s="185" t="n">
        <v>2</v>
      </c>
      <c r="F158" s="185" t="n"/>
      <c r="G158" s="185" t="n"/>
      <c r="H158" s="185" t="n"/>
      <c r="I158" s="151" t="n">
        <v>46258</v>
      </c>
      <c r="J158" s="184" t="n"/>
      <c r="K158" s="20">
        <f>IF(O158="","",O158-$I$1)</f>
        <v/>
      </c>
      <c r="L158" s="280">
        <f>IF(I158="","",SUMIF(제품등록!B:B,정리표!C:C,제품등록!F:F))</f>
        <v/>
      </c>
      <c r="M158" s="11">
        <f>IF(I158=0,"",I158-L158)</f>
        <v/>
      </c>
      <c r="N158" s="290">
        <f>IF(L158="","",L158*상미75)</f>
        <v/>
      </c>
      <c r="O158" s="11">
        <f>IF(M158="","",M158+N158)</f>
        <v/>
      </c>
    </row>
    <row r="159">
      <c r="A159" s="10">
        <f>ROW()-2</f>
        <v/>
      </c>
      <c r="B159" s="10" t="n">
        <v>6676</v>
      </c>
      <c r="C159" s="22">
        <f>VLOOKUP(B:B,재고차이!A:B,2,0)</f>
        <v/>
      </c>
      <c r="D159" s="22">
        <f>VLOOKUP(C:C,재고차이!B:C,2,0)</f>
        <v/>
      </c>
      <c r="E159" s="10">
        <f>38+1</f>
        <v/>
      </c>
      <c r="F159" s="10" t="n"/>
      <c r="G159" s="185" t="n"/>
      <c r="H159" s="185" t="n"/>
      <c r="I159" s="184" t="n">
        <v>46358</v>
      </c>
      <c r="J159" s="184" t="n"/>
      <c r="K159" s="20">
        <f>IF(O159="","",O159-$I$1)</f>
        <v/>
      </c>
      <c r="L159" s="280">
        <f>IF(I159="","",SUMIF(제품등록!B:B,정리표!C:C,제품등록!F:F))</f>
        <v/>
      </c>
      <c r="M159" s="11">
        <f>IF(I159=0,"",I159-L159)</f>
        <v/>
      </c>
      <c r="N159" s="290">
        <f>IF(L159="","",L159*상미75)</f>
        <v/>
      </c>
      <c r="O159" s="11">
        <f>IF(M159="","",M159+N159)</f>
        <v/>
      </c>
    </row>
    <row r="160">
      <c r="A160" s="10">
        <f>ROW()-2</f>
        <v/>
      </c>
      <c r="B160" s="24" t="n">
        <v>6676</v>
      </c>
      <c r="C160" s="22">
        <f>VLOOKUP(B:B,재고차이!A:B,2,0)</f>
        <v/>
      </c>
      <c r="D160" s="22">
        <f>VLOOKUP(C:C,재고차이!B:C,2,0)</f>
        <v/>
      </c>
      <c r="E160" s="10" t="n"/>
      <c r="F160" s="10" t="n"/>
      <c r="G160" s="10" t="n">
        <v>25</v>
      </c>
      <c r="H160" s="10" t="n"/>
      <c r="I160" s="184" t="n">
        <v>46358</v>
      </c>
      <c r="J160" s="184" t="n"/>
      <c r="K160" s="20">
        <f>IF(O160="","",O160-$I$1)</f>
        <v/>
      </c>
      <c r="L160" s="280">
        <f>IF(I160="","",SUMIF(제품등록!B:B,정리표!C:C,제품등록!F:F))</f>
        <v/>
      </c>
      <c r="M160" s="11">
        <f>IF(I160=0,"",I160-L160)</f>
        <v/>
      </c>
      <c r="N160" s="290">
        <f>IF(L160="","",L160*상미75)</f>
        <v/>
      </c>
      <c r="O160" s="11">
        <f>IF(M160="","",M160+N160)</f>
        <v/>
      </c>
    </row>
    <row r="161">
      <c r="A161" s="10">
        <f>ROW()-2</f>
        <v/>
      </c>
      <c r="B161" s="10" t="n">
        <v>6676</v>
      </c>
      <c r="C161" s="22">
        <f>VLOOKUP(B:B,재고차이!A:B,2,0)</f>
        <v/>
      </c>
      <c r="D161" s="22">
        <f>VLOOKUP(C:C,재고차이!B:C,2,0)</f>
        <v/>
      </c>
      <c r="E161" s="10">
        <f>32+31+40</f>
        <v/>
      </c>
      <c r="F161" s="10" t="n"/>
      <c r="G161" s="185" t="n"/>
      <c r="H161" s="185" t="n"/>
      <c r="I161" s="184" t="n">
        <v>46366</v>
      </c>
      <c r="J161" s="184" t="n"/>
      <c r="K161" s="20">
        <f>IF(O161="","",O161-$I$1)</f>
        <v/>
      </c>
      <c r="L161" s="280">
        <f>IF(I161="","",SUMIF(제품등록!B:B,정리표!C:C,제품등록!F:F))</f>
        <v/>
      </c>
      <c r="M161" s="11">
        <f>IF(I161=0,"",I161-L161)</f>
        <v/>
      </c>
      <c r="N161" s="290">
        <f>IF(L161="","",L161*상미75)</f>
        <v/>
      </c>
      <c r="O161" s="11">
        <f>IF(M161="","",M161+N161)</f>
        <v/>
      </c>
    </row>
    <row r="162">
      <c r="A162" s="10">
        <f>ROW()-2</f>
        <v/>
      </c>
      <c r="B162" s="10" t="n">
        <v>6705</v>
      </c>
      <c r="C162" s="22">
        <f>VLOOKUP(B:B,재고차이!A:B,2,0)</f>
        <v/>
      </c>
      <c r="D162" s="22">
        <f>VLOOKUP(C:C,재고차이!B:C,2,0)</f>
        <v/>
      </c>
      <c r="E162" s="185" t="n">
        <v>7</v>
      </c>
      <c r="F162" s="185" t="n"/>
      <c r="G162" s="185" t="n"/>
      <c r="H162" s="185" t="n"/>
      <c r="I162" s="151" t="n">
        <v>46243</v>
      </c>
      <c r="J162" s="184" t="n"/>
      <c r="K162" s="20">
        <f>IF(O162="","",O162-$I$1)</f>
        <v/>
      </c>
      <c r="L162" s="280">
        <f>IF(I162="","",SUMIF(제품등록!B:B,정리표!C:C,제품등록!F:F))</f>
        <v/>
      </c>
      <c r="M162" s="11">
        <f>IF(I162=0,"",I162-L162)</f>
        <v/>
      </c>
      <c r="N162" s="290">
        <f>IF(L162="","",L162*상미75)</f>
        <v/>
      </c>
      <c r="O162" s="11">
        <f>IF(M162="","",M162+N162)</f>
        <v/>
      </c>
    </row>
    <row r="163">
      <c r="A163" s="10">
        <f>ROW()-2</f>
        <v/>
      </c>
      <c r="B163" s="10" t="n">
        <v>6705</v>
      </c>
      <c r="C163" s="22">
        <f>VLOOKUP(B:B,재고차이!A:B,2,0)</f>
        <v/>
      </c>
      <c r="D163" s="22">
        <f>VLOOKUP(C:C,재고차이!B:C,2,0)</f>
        <v/>
      </c>
      <c r="E163" s="10" t="n"/>
      <c r="F163" s="10" t="n"/>
      <c r="G163" s="10" t="n">
        <v>54</v>
      </c>
      <c r="H163" s="10" t="n"/>
      <c r="I163" s="184" t="n">
        <v>46243</v>
      </c>
      <c r="J163" s="184" t="n"/>
      <c r="K163" s="20">
        <f>IF(O163="","",O163-$I$1)</f>
        <v/>
      </c>
      <c r="L163" s="280">
        <f>IF(I163="","",SUMIF(제품등록!B:B,정리표!C:C,제품등록!F:F))</f>
        <v/>
      </c>
      <c r="M163" s="11">
        <f>IF(I163=0,"",I163-L163)</f>
        <v/>
      </c>
      <c r="N163" s="290">
        <f>IF(L163="","",L163*상미75)</f>
        <v/>
      </c>
      <c r="O163" s="11">
        <f>IF(M163="","",M163+N163)</f>
        <v/>
      </c>
    </row>
    <row r="164">
      <c r="A164" s="10">
        <f>ROW()-2</f>
        <v/>
      </c>
      <c r="B164" s="10" t="n">
        <v>6871</v>
      </c>
      <c r="C164" s="22">
        <f>VLOOKUP(B:B,재고차이!A:B,2,0)</f>
        <v/>
      </c>
      <c r="D164" s="22">
        <f>VLOOKUP(C:C,재고차이!B:C,2,0)</f>
        <v/>
      </c>
      <c r="E164" s="10">
        <f>19+34+34</f>
        <v/>
      </c>
      <c r="F164" s="10" t="n"/>
      <c r="G164" s="185" t="n"/>
      <c r="H164" s="185" t="n"/>
      <c r="I164" s="184" t="n">
        <v>46358</v>
      </c>
      <c r="J164" s="151" t="n"/>
      <c r="K164" s="20">
        <f>IF(O164="","",O164-$I$1)</f>
        <v/>
      </c>
      <c r="L164" s="280">
        <f>IF(I164="","",SUMIF(제품등록!B:B,정리표!C:C,제품등록!F:F))</f>
        <v/>
      </c>
      <c r="M164" s="11">
        <f>IF(I164=0,"",I164-L164)</f>
        <v/>
      </c>
      <c r="N164" s="290">
        <f>IF(L164="","",L164*상미75)</f>
        <v/>
      </c>
      <c r="O164" s="11">
        <f>IF(M164="","",M164+N164)</f>
        <v/>
      </c>
    </row>
    <row r="165">
      <c r="A165" s="10">
        <f>ROW()-2</f>
        <v/>
      </c>
      <c r="B165" s="10" t="n">
        <v>6871</v>
      </c>
      <c r="C165" s="22">
        <f>VLOOKUP(B:B,재고차이!A:B,2,0)</f>
        <v/>
      </c>
      <c r="D165" s="22">
        <f>VLOOKUP(C:C,재고차이!B:C,2,0)</f>
        <v/>
      </c>
      <c r="E165" s="10" t="n"/>
      <c r="F165" s="10" t="n"/>
      <c r="G165" s="10" t="n">
        <v>39</v>
      </c>
      <c r="H165" s="10" t="n"/>
      <c r="I165" s="184" t="n">
        <v>46358</v>
      </c>
      <c r="J165" s="184" t="n"/>
      <c r="K165" s="20">
        <f>IF(O165="","",O165-$I$1)</f>
        <v/>
      </c>
      <c r="L165" s="280">
        <f>IF(I165="","",SUMIF(제품등록!B:B,정리표!C:C,제품등록!F:F))</f>
        <v/>
      </c>
      <c r="M165" s="11">
        <f>IF(I165=0,"",I165-L165)</f>
        <v/>
      </c>
      <c r="N165" s="290">
        <f>IF(L165="","",L165*상미75)</f>
        <v/>
      </c>
      <c r="O165" s="11">
        <f>IF(M165="","",M165+N165)</f>
        <v/>
      </c>
    </row>
    <row r="166">
      <c r="A166" s="10">
        <f>ROW()-2</f>
        <v/>
      </c>
      <c r="B166" s="24" t="n">
        <v>7719</v>
      </c>
      <c r="C166" s="22">
        <f>VLOOKUP(B:B,재고차이!A:B,2,0)</f>
        <v/>
      </c>
      <c r="D166" s="22">
        <f>VLOOKUP(C:C,재고차이!B:C,2,0)</f>
        <v/>
      </c>
      <c r="E166" s="10" t="n"/>
      <c r="F166" s="10" t="n"/>
      <c r="G166" s="10" t="n">
        <v>111</v>
      </c>
      <c r="H166" s="10" t="n"/>
      <c r="I166" s="236" t="n">
        <v>46553</v>
      </c>
      <c r="J166" s="236" t="inlineStr">
        <is>
          <t>상미기한 초과</t>
        </is>
      </c>
      <c r="K166" s="20">
        <f>IF(O166="","",O166-$I$1)</f>
        <v/>
      </c>
      <c r="L166" s="280">
        <f>IF(I166="","",SUMIF(제품등록!B:B,정리표!C:C,제품등록!F:F))</f>
        <v/>
      </c>
      <c r="M166" s="11">
        <f>IF(I166=0,"",I166-L166)</f>
        <v/>
      </c>
      <c r="N166" s="290">
        <f>IF(L166="","",L166*상미75)</f>
        <v/>
      </c>
      <c r="O166" s="11">
        <f>IF(M166="","",M166+N166)</f>
        <v/>
      </c>
    </row>
    <row r="167">
      <c r="A167" s="10">
        <f>ROW()-2</f>
        <v/>
      </c>
      <c r="B167" s="10" t="n">
        <v>7719</v>
      </c>
      <c r="C167" s="22">
        <f>VLOOKUP(B:B,재고차이!A:B,2,0)</f>
        <v/>
      </c>
      <c r="D167" s="22">
        <f>VLOOKUP(C:C,재고차이!B:C,2,0)</f>
        <v/>
      </c>
      <c r="E167" s="185" t="n">
        <v>1</v>
      </c>
      <c r="F167" s="185" t="n"/>
      <c r="G167" s="185" t="n"/>
      <c r="H167" s="185" t="n"/>
      <c r="I167" s="151" t="n">
        <v>46620</v>
      </c>
      <c r="J167" s="184" t="n"/>
      <c r="K167" s="20">
        <f>IF(O167="","",O167-$I$1)</f>
        <v/>
      </c>
      <c r="L167" s="280">
        <f>IF(I167="","",SUMIF(제품등록!B:B,정리표!C:C,제품등록!F:F))</f>
        <v/>
      </c>
      <c r="M167" s="11">
        <f>IF(I167=0,"",I167-L167)</f>
        <v/>
      </c>
      <c r="N167" s="290">
        <f>IF(L167="","",L167*상미75)</f>
        <v/>
      </c>
      <c r="O167" s="11">
        <f>IF(M167="","",M167+N167)</f>
        <v/>
      </c>
    </row>
    <row r="168">
      <c r="A168" s="10">
        <f>ROW()-2</f>
        <v/>
      </c>
      <c r="B168" s="24" t="n">
        <v>7721</v>
      </c>
      <c r="C168" s="22">
        <f>VLOOKUP(B:B,재고차이!A:B,2,0)</f>
        <v/>
      </c>
      <c r="D168" s="22">
        <f>VLOOKUP(C:C,재고차이!B:C,2,0)</f>
        <v/>
      </c>
      <c r="E168" s="10" t="n"/>
      <c r="F168" s="10" t="n"/>
      <c r="G168" s="10" t="n">
        <v>39</v>
      </c>
      <c r="H168" s="10" t="n"/>
      <c r="I168" s="184" t="n">
        <v>46335</v>
      </c>
      <c r="J168" s="184" t="n"/>
      <c r="K168" s="20">
        <f>IF(O168="","",O168-$I$1)</f>
        <v/>
      </c>
      <c r="L168" s="280">
        <f>IF(I168="","",SUMIF(제품등록!B:B,정리표!C:C,제품등록!F:F))</f>
        <v/>
      </c>
      <c r="M168" s="11">
        <f>IF(I168=0,"",I168-L168)</f>
        <v/>
      </c>
      <c r="N168" s="290">
        <f>IF(L168="","",L168*상미75)</f>
        <v/>
      </c>
      <c r="O168" s="11">
        <f>IF(M168="","",M168+N168)</f>
        <v/>
      </c>
    </row>
    <row r="169">
      <c r="A169" s="10">
        <f>ROW()-2</f>
        <v/>
      </c>
      <c r="B169" s="10" t="n">
        <v>7923</v>
      </c>
      <c r="C169" s="22">
        <f>VLOOKUP(B:B,재고차이!A:B,2,0)</f>
        <v/>
      </c>
      <c r="D169" s="22">
        <f>VLOOKUP(C:C,재고차이!B:C,2,0)</f>
        <v/>
      </c>
      <c r="E169" s="10">
        <f>40+40+30+1</f>
        <v/>
      </c>
      <c r="F169" s="10" t="n"/>
      <c r="G169" s="185" t="n"/>
      <c r="H169" s="185" t="n"/>
      <c r="I169" s="184" t="n">
        <v>46359</v>
      </c>
      <c r="J169" s="151" t="n"/>
      <c r="K169" s="20">
        <f>IF(O169="","",O169-$I$1)</f>
        <v/>
      </c>
      <c r="L169" s="280">
        <f>IF(I169="","",SUMIF(제품등록!B:B,정리표!C:C,제품등록!F:F))</f>
        <v/>
      </c>
      <c r="M169" s="11">
        <f>IF(I169=0,"",I169-L169)</f>
        <v/>
      </c>
      <c r="N169" s="290">
        <f>IF(L169="","",L169*상미75)</f>
        <v/>
      </c>
      <c r="O169" s="11">
        <f>IF(M169="","",M169+N169)</f>
        <v/>
      </c>
    </row>
    <row r="170">
      <c r="A170" s="10">
        <f>ROW()-2</f>
        <v/>
      </c>
      <c r="B170" s="24" t="n">
        <v>7923</v>
      </c>
      <c r="C170" s="22">
        <f>VLOOKUP(B:B,재고차이!A:B,2,0)</f>
        <v/>
      </c>
      <c r="D170" s="22">
        <f>VLOOKUP(C:C,재고차이!B:C,2,0)</f>
        <v/>
      </c>
      <c r="E170" s="10" t="n"/>
      <c r="F170" s="10" t="n"/>
      <c r="G170" s="10">
        <f>12+12</f>
        <v/>
      </c>
      <c r="H170" s="10" t="n"/>
      <c r="I170" s="184" t="n">
        <v>46359</v>
      </c>
      <c r="J170" s="184" t="n"/>
      <c r="K170" s="20">
        <f>IF(O170="","",O170-$I$1)</f>
        <v/>
      </c>
      <c r="L170" s="280">
        <f>IF(I170="","",SUMIF(제품등록!B:B,정리표!C:C,제품등록!F:F))</f>
        <v/>
      </c>
      <c r="M170" s="11">
        <f>IF(I170=0,"",I170-L170)</f>
        <v/>
      </c>
      <c r="N170" s="290">
        <f>IF(L170="","",L170*상미75)</f>
        <v/>
      </c>
      <c r="O170" s="11">
        <f>IF(M170="","",M170+N170)</f>
        <v/>
      </c>
    </row>
    <row r="171">
      <c r="A171" s="10">
        <f>ROW()-2</f>
        <v/>
      </c>
      <c r="B171" s="10" t="n">
        <v>7923</v>
      </c>
      <c r="C171" s="22">
        <f>VLOOKUP(B:B,재고차이!A:B,2,0)</f>
        <v/>
      </c>
      <c r="D171" s="22">
        <f>VLOOKUP(C:C,재고차이!B:C,2,0)</f>
        <v/>
      </c>
      <c r="E171" s="10">
        <f>46+18</f>
        <v/>
      </c>
      <c r="F171" s="10" t="n"/>
      <c r="G171" s="185" t="n"/>
      <c r="H171" s="185" t="n"/>
      <c r="I171" s="184" t="n">
        <v>46367</v>
      </c>
      <c r="J171" s="151" t="n"/>
      <c r="K171" s="20">
        <f>IF(O171="","",O171-$I$1)</f>
        <v/>
      </c>
      <c r="L171" s="280">
        <f>IF(I171="","",SUMIF(제품등록!B:B,정리표!C:C,제품등록!F:F))</f>
        <v/>
      </c>
      <c r="M171" s="11">
        <f>IF(I171=0,"",I171-L171)</f>
        <v/>
      </c>
      <c r="N171" s="290">
        <f>IF(L171="","",L171*상미75)</f>
        <v/>
      </c>
      <c r="O171" s="11">
        <f>IF(M171="","",M171+N171)</f>
        <v/>
      </c>
    </row>
    <row r="172">
      <c r="A172" s="10">
        <f>ROW()-2</f>
        <v/>
      </c>
      <c r="B172" s="10" t="n">
        <v>7949</v>
      </c>
      <c r="C172" s="22">
        <f>VLOOKUP(B:B,재고차이!A:B,2,0)</f>
        <v/>
      </c>
      <c r="D172" s="22">
        <f>VLOOKUP(C:C,재고차이!B:C,2,0)</f>
        <v/>
      </c>
      <c r="E172" s="185" t="n">
        <v>1</v>
      </c>
      <c r="F172" s="185" t="n"/>
      <c r="G172" s="185" t="n"/>
      <c r="H172" s="185" t="n"/>
      <c r="I172" s="151" t="n">
        <v>46238</v>
      </c>
      <c r="J172" s="184" t="n"/>
      <c r="K172" s="20">
        <f>IF(O172="","",O172-$I$1)</f>
        <v/>
      </c>
      <c r="L172" s="280">
        <f>IF(I172="","",SUMIF(제품등록!B:B,정리표!C:C,제품등록!F:F))</f>
        <v/>
      </c>
      <c r="M172" s="11">
        <f>IF(I172=0,"",I172-L172)</f>
        <v/>
      </c>
      <c r="N172" s="290">
        <f>IF(L172="","",L172*상미75)</f>
        <v/>
      </c>
      <c r="O172" s="11">
        <f>IF(M172="","",M172+N172)</f>
        <v/>
      </c>
    </row>
    <row r="173">
      <c r="A173" s="10">
        <f>ROW()-2</f>
        <v/>
      </c>
      <c r="B173" s="24" t="n">
        <v>7949</v>
      </c>
      <c r="C173" s="22">
        <f>VLOOKUP(B:B,재고차이!A:B,2,0)</f>
        <v/>
      </c>
      <c r="D173" s="22">
        <f>VLOOKUP(C:C,재고차이!B:C,2,0)</f>
        <v/>
      </c>
      <c r="E173" s="10" t="n"/>
      <c r="F173" s="10" t="n"/>
      <c r="G173" s="10" t="n">
        <v>7</v>
      </c>
      <c r="H173" s="10" t="n"/>
      <c r="I173" s="184" t="n">
        <v>46238</v>
      </c>
      <c r="J173" s="184" t="n"/>
      <c r="K173" s="20">
        <f>IF(O173="","",O173-$I$1)</f>
        <v/>
      </c>
      <c r="L173" s="280">
        <f>IF(I173="","",SUMIF(제품등록!B:B,정리표!C:C,제품등록!F:F))</f>
        <v/>
      </c>
      <c r="M173" s="11">
        <f>IF(I173=0,"",I173-L173)</f>
        <v/>
      </c>
      <c r="N173" s="290">
        <f>IF(L173="","",L173*상미75)</f>
        <v/>
      </c>
      <c r="O173" s="11">
        <f>IF(M173="","",M173+N173)</f>
        <v/>
      </c>
    </row>
    <row r="174">
      <c r="A174" s="10">
        <f>ROW()-2</f>
        <v/>
      </c>
      <c r="B174" s="10" t="n">
        <v>7949</v>
      </c>
      <c r="C174" s="22">
        <f>VLOOKUP(B:B,재고차이!A:B,2,0)</f>
        <v/>
      </c>
      <c r="D174" s="22">
        <f>VLOOKUP(C:C,재고차이!B:C,2,0)</f>
        <v/>
      </c>
      <c r="E174" s="185">
        <f>16+8</f>
        <v/>
      </c>
      <c r="F174" s="185" t="n"/>
      <c r="G174" s="185" t="n"/>
      <c r="H174" s="185" t="n"/>
      <c r="I174" s="151" t="n">
        <v>46252</v>
      </c>
      <c r="J174" s="184" t="n"/>
      <c r="K174" s="20">
        <f>IF(O174="","",O174-$I$1)</f>
        <v/>
      </c>
      <c r="L174" s="280">
        <f>IF(I174="","",SUMIF(제품등록!B:B,정리표!C:C,제품등록!F:F))</f>
        <v/>
      </c>
      <c r="M174" s="11">
        <f>IF(I174=0,"",I174-L174)</f>
        <v/>
      </c>
      <c r="N174" s="290">
        <f>IF(L174="","",L174*상미75)</f>
        <v/>
      </c>
      <c r="O174" s="11">
        <f>IF(M174="","",M174+N174)</f>
        <v/>
      </c>
    </row>
    <row r="175">
      <c r="A175" s="10">
        <f>ROW()-2</f>
        <v/>
      </c>
      <c r="B175" s="10" t="n">
        <v>7988</v>
      </c>
      <c r="C175" s="22">
        <f>VLOOKUP(B:B,재고차이!A:B,2,0)</f>
        <v/>
      </c>
      <c r="D175" s="22">
        <f>VLOOKUP(C:C,재고차이!B:C,2,0)</f>
        <v/>
      </c>
      <c r="E175" s="185" t="n">
        <v>25</v>
      </c>
      <c r="F175" s="185" t="n"/>
      <c r="G175" s="185" t="n"/>
      <c r="H175" s="185" t="n"/>
      <c r="I175" s="151" t="n">
        <v>46323</v>
      </c>
      <c r="J175" s="151" t="n"/>
      <c r="K175" s="20">
        <f>IF(O175="","",O175-$I$1)</f>
        <v/>
      </c>
      <c r="L175" s="280">
        <f>IF(I175="","",SUMIF(제품등록!B:B,정리표!C:C,제품등록!F:F))</f>
        <v/>
      </c>
      <c r="M175" s="11">
        <f>IF(I175=0,"",I175-L175)</f>
        <v/>
      </c>
      <c r="N175" s="290">
        <f>IF(L175="","",L175*상미75)</f>
        <v/>
      </c>
      <c r="O175" s="11">
        <f>IF(M175="","",M175+N175)</f>
        <v/>
      </c>
    </row>
    <row r="176">
      <c r="A176" s="10">
        <f>ROW()-2</f>
        <v/>
      </c>
      <c r="B176" s="10" t="n">
        <v>7988</v>
      </c>
      <c r="C176" s="22">
        <f>VLOOKUP(B:B,재고차이!A:B,2,0)</f>
        <v/>
      </c>
      <c r="D176" s="22">
        <f>VLOOKUP(C:C,재고차이!B:C,2,0)</f>
        <v/>
      </c>
      <c r="E176" s="10" t="n"/>
      <c r="F176" s="10" t="n"/>
      <c r="G176" s="10" t="n">
        <v>52</v>
      </c>
      <c r="H176" s="10" t="n"/>
      <c r="I176" s="184" t="n">
        <v>46323</v>
      </c>
      <c r="J176" s="184" t="n"/>
      <c r="K176" s="20">
        <f>IF(O176="","",O176-$I$1)</f>
        <v/>
      </c>
      <c r="L176" s="280">
        <f>IF(I176="","",SUMIF(제품등록!B:B,정리표!C:C,제품등록!F:F))</f>
        <v/>
      </c>
      <c r="M176" s="11">
        <f>IF(I176=0,"",I176-L176)</f>
        <v/>
      </c>
      <c r="N176" s="290">
        <f>IF(L176="","",L176*상미75)</f>
        <v/>
      </c>
      <c r="O176" s="11">
        <f>IF(M176="","",M176+N176)</f>
        <v/>
      </c>
    </row>
    <row r="177">
      <c r="A177" s="10">
        <f>ROW()-2</f>
        <v/>
      </c>
      <c r="B177" s="10" t="n">
        <v>7994</v>
      </c>
      <c r="C177" s="22">
        <f>VLOOKUP(B:B,재고차이!A:B,2,0)</f>
        <v/>
      </c>
      <c r="D177" s="22">
        <f>VLOOKUP(C:C,재고차이!B:C,2,0)</f>
        <v/>
      </c>
      <c r="E177" s="185">
        <f>16+22</f>
        <v/>
      </c>
      <c r="F177" s="185" t="n"/>
      <c r="G177" s="185" t="n"/>
      <c r="H177" s="185" t="n"/>
      <c r="I177" s="151" t="n">
        <v>46343</v>
      </c>
      <c r="J177" s="151" t="n"/>
      <c r="K177" s="20">
        <f>IF(O177="","",O177-$I$1)</f>
        <v/>
      </c>
      <c r="L177" s="280">
        <f>IF(I177="","",SUMIF(제품등록!B:B,정리표!C:C,제품등록!F:F))</f>
        <v/>
      </c>
      <c r="M177" s="11">
        <f>IF(I177=0,"",I177-L177)</f>
        <v/>
      </c>
      <c r="N177" s="290">
        <f>IF(L177="","",L177*상미75)</f>
        <v/>
      </c>
      <c r="O177" s="11">
        <f>IF(M177="","",M177+N177)</f>
        <v/>
      </c>
    </row>
    <row r="178">
      <c r="A178" s="10">
        <f>ROW()-2</f>
        <v/>
      </c>
      <c r="B178" s="24" t="n">
        <v>7994</v>
      </c>
      <c r="C178" s="22">
        <f>VLOOKUP(B:B,재고차이!A:B,2,0)</f>
        <v/>
      </c>
      <c r="D178" s="22">
        <f>VLOOKUP(C:C,재고차이!B:C,2,0)</f>
        <v/>
      </c>
      <c r="E178" s="10" t="n"/>
      <c r="F178" s="10" t="n"/>
      <c r="G178" s="10" t="n">
        <v>52</v>
      </c>
      <c r="H178" s="10" t="n"/>
      <c r="I178" s="184" t="n">
        <v>46343</v>
      </c>
      <c r="J178" s="184" t="n"/>
      <c r="K178" s="20">
        <f>IF(O178="","",O178-$I$1)</f>
        <v/>
      </c>
      <c r="L178" s="280">
        <f>IF(I178="","",SUMIF(제품등록!B:B,정리표!C:C,제품등록!F:F))</f>
        <v/>
      </c>
      <c r="M178" s="11">
        <f>IF(I178=0,"",I178-L178)</f>
        <v/>
      </c>
      <c r="N178" s="290">
        <f>IF(L178="","",L178*상미75)</f>
        <v/>
      </c>
      <c r="O178" s="11">
        <f>IF(M178="","",M178+N178)</f>
        <v/>
      </c>
    </row>
    <row r="179">
      <c r="A179" s="10">
        <f>ROW()-2</f>
        <v/>
      </c>
      <c r="B179" s="10" t="n">
        <v>8058</v>
      </c>
      <c r="C179" s="22">
        <f>VLOOKUP(B:B,재고차이!A:B,2,0)</f>
        <v/>
      </c>
      <c r="D179" s="22">
        <f>VLOOKUP(C:C,재고차이!B:C,2,0)</f>
        <v/>
      </c>
      <c r="E179" s="185" t="n">
        <v>18</v>
      </c>
      <c r="F179" s="185" t="n"/>
      <c r="G179" s="185" t="n"/>
      <c r="H179" s="185" t="n"/>
      <c r="I179" s="151" t="n">
        <v>46309</v>
      </c>
      <c r="J179" s="151" t="n"/>
      <c r="K179" s="20">
        <f>IF(O179="","",O179-$I$1)</f>
        <v/>
      </c>
      <c r="L179" s="291">
        <f>IF(I179="","",SUMIF(제품등록!B:B,정리표!C:C,제품등록!F:F))</f>
        <v/>
      </c>
      <c r="M179" s="228">
        <f>IF(I179=0,"",I179-L179)</f>
        <v/>
      </c>
      <c r="N179" s="292">
        <f>IF(L179="","",L179*상미75)</f>
        <v/>
      </c>
      <c r="O179" s="228">
        <f>IF(M179="","",M179+N179)</f>
        <v/>
      </c>
    </row>
    <row r="180">
      <c r="A180" s="10">
        <f>ROW()-2</f>
        <v/>
      </c>
      <c r="B180" s="24" t="n">
        <v>8058</v>
      </c>
      <c r="C180" s="22">
        <f>VLOOKUP(B:B,재고차이!A:B,2,0)</f>
        <v/>
      </c>
      <c r="D180" s="22">
        <f>VLOOKUP(C:C,재고차이!B:C,2,0)</f>
        <v/>
      </c>
      <c r="E180" s="10" t="n"/>
      <c r="F180" s="10" t="n"/>
      <c r="G180" s="10" t="n">
        <v>21</v>
      </c>
      <c r="H180" s="10" t="n"/>
      <c r="I180" s="184" t="n">
        <v>46309</v>
      </c>
      <c r="J180" s="184" t="n"/>
      <c r="K180" s="20">
        <f>IF(O180="","",O180-$I$1)</f>
        <v/>
      </c>
      <c r="L180" s="280">
        <f>IF(I180="","",SUMIF(제품등록!B:B,정리표!C:C,제품등록!F:F))</f>
        <v/>
      </c>
      <c r="M180" s="11">
        <f>IF(I180=0,"",I180-L180)</f>
        <v/>
      </c>
      <c r="N180" s="290">
        <f>IF(L180="","",L180*상미75)</f>
        <v/>
      </c>
      <c r="O180" s="11">
        <f>IF(M180="","",M180+N180)</f>
        <v/>
      </c>
    </row>
    <row r="181">
      <c r="A181" s="10">
        <f>ROW()-2</f>
        <v/>
      </c>
      <c r="B181" s="10" t="n">
        <v>8058</v>
      </c>
      <c r="C181" s="22">
        <f>VLOOKUP(B:B,재고차이!A:B,2,0)</f>
        <v/>
      </c>
      <c r="D181" s="22">
        <f>VLOOKUP(C:C,재고차이!B:C,2,0)</f>
        <v/>
      </c>
      <c r="E181" s="185" t="n">
        <v>26</v>
      </c>
      <c r="F181" s="185" t="n"/>
      <c r="G181" s="185" t="n"/>
      <c r="H181" s="185" t="n"/>
      <c r="I181" s="151" t="n">
        <v>46324</v>
      </c>
      <c r="J181" s="151" t="n"/>
      <c r="K181" s="20">
        <f>IF(O181="","",O181-$I$1)</f>
        <v/>
      </c>
      <c r="L181" s="280">
        <f>IF(I181="","",SUMIF(제품등록!B:B,정리표!C:C,제품등록!F:F))</f>
        <v/>
      </c>
      <c r="M181" s="11">
        <f>IF(I181=0,"",I181-L181)</f>
        <v/>
      </c>
      <c r="N181" s="290">
        <f>IF(L181="","",L181*상미75)</f>
        <v/>
      </c>
      <c r="O181" s="11">
        <f>IF(M181="","",M181+N181)</f>
        <v/>
      </c>
    </row>
    <row r="182">
      <c r="A182" s="10">
        <f>ROW()-2</f>
        <v/>
      </c>
      <c r="B182" s="24" t="n">
        <v>8058</v>
      </c>
      <c r="C182" s="22">
        <f>VLOOKUP(B:B,재고차이!A:B,2,0)</f>
        <v/>
      </c>
      <c r="D182" s="22">
        <f>VLOOKUP(C:C,재고차이!B:C,2,0)</f>
        <v/>
      </c>
      <c r="E182" s="10" t="n"/>
      <c r="F182" s="10" t="n"/>
      <c r="G182" s="10" t="n">
        <v>40</v>
      </c>
      <c r="H182" s="10" t="n"/>
      <c r="I182" s="184" t="n">
        <v>46324</v>
      </c>
      <c r="J182" s="184" t="n"/>
      <c r="K182" s="20">
        <f>IF(O182="","",O182-$I$1)</f>
        <v/>
      </c>
      <c r="L182" s="280">
        <f>IF(I182="","",SUMIF(제품등록!B:B,정리표!C:C,제품등록!F:F))</f>
        <v/>
      </c>
      <c r="M182" s="11">
        <f>IF(I182=0,"",I182-L182)</f>
        <v/>
      </c>
      <c r="N182" s="290">
        <f>IF(L182="","",L182*상미75)</f>
        <v/>
      </c>
      <c r="O182" s="11">
        <f>IF(M182="","",M182+N182)</f>
        <v/>
      </c>
    </row>
    <row r="183">
      <c r="A183" s="10">
        <f>ROW()-2</f>
        <v/>
      </c>
      <c r="B183" s="10" t="n">
        <v>8058</v>
      </c>
      <c r="C183" s="22">
        <f>VLOOKUP(B:B,재고차이!A:B,2,0)</f>
        <v/>
      </c>
      <c r="D183" s="22">
        <f>VLOOKUP(C:C,재고차이!B:C,2,0)</f>
        <v/>
      </c>
      <c r="E183" s="185" t="n">
        <v>6</v>
      </c>
      <c r="F183" s="185" t="n"/>
      <c r="G183" s="185" t="n"/>
      <c r="H183" s="185" t="n"/>
      <c r="I183" s="151" t="n">
        <v>46350</v>
      </c>
      <c r="J183" s="151" t="n"/>
      <c r="K183" s="20">
        <f>IF(O183="","",O183-$I$1)</f>
        <v/>
      </c>
      <c r="L183" s="280">
        <f>IF(I183="","",SUMIF(제품등록!B:B,정리표!C:C,제품등록!F:F))</f>
        <v/>
      </c>
      <c r="M183" s="11">
        <f>IF(I183=0,"",I183-L183)</f>
        <v/>
      </c>
      <c r="N183" s="290">
        <f>IF(L183="","",L183*상미75)</f>
        <v/>
      </c>
      <c r="O183" s="11">
        <f>IF(M183="","",M183+N183)</f>
        <v/>
      </c>
    </row>
    <row r="184">
      <c r="A184" s="10">
        <f>ROW()-2</f>
        <v/>
      </c>
      <c r="B184" s="10" t="n">
        <v>8065</v>
      </c>
      <c r="C184" s="22">
        <f>VLOOKUP(B:B,재고차이!A:B,2,0)</f>
        <v/>
      </c>
      <c r="D184" s="22">
        <f>VLOOKUP(C:C,재고차이!B:C,2,0)</f>
        <v/>
      </c>
      <c r="E184" s="185" t="n">
        <v>19</v>
      </c>
      <c r="F184" s="185" t="n"/>
      <c r="G184" s="185" t="n"/>
      <c r="H184" s="185" t="n"/>
      <c r="I184" s="151" t="n">
        <v>46328</v>
      </c>
      <c r="J184" s="151" t="n"/>
      <c r="K184" s="20">
        <f>IF(O184="","",O184-$I$1)</f>
        <v/>
      </c>
      <c r="L184" s="280">
        <f>IF(I184="","",SUMIF(제품등록!B:B,정리표!C:C,제품등록!F:F))</f>
        <v/>
      </c>
      <c r="M184" s="11">
        <f>IF(I184=0,"",I184-L184)</f>
        <v/>
      </c>
      <c r="N184" s="290">
        <f>IF(L184="","",L184*상미75)</f>
        <v/>
      </c>
      <c r="O184" s="11">
        <f>IF(M184="","",M184+N184)</f>
        <v/>
      </c>
    </row>
    <row r="185">
      <c r="A185" s="10">
        <f>ROW()-2</f>
        <v/>
      </c>
      <c r="B185" s="10" t="n">
        <v>8065</v>
      </c>
      <c r="C185" s="22">
        <f>VLOOKUP(B:B,재고차이!A:B,2,0)</f>
        <v/>
      </c>
      <c r="D185" s="22">
        <f>VLOOKUP(C:C,재고차이!B:C,2,0)</f>
        <v/>
      </c>
      <c r="E185" s="10" t="n"/>
      <c r="F185" s="10" t="n"/>
      <c r="G185" s="10" t="n">
        <v>7</v>
      </c>
      <c r="H185" s="10" t="n"/>
      <c r="I185" s="184" t="n">
        <v>46328</v>
      </c>
      <c r="J185" s="184" t="n"/>
      <c r="K185" s="20">
        <f>IF(O185="","",O185-$I$1)</f>
        <v/>
      </c>
      <c r="L185" s="280">
        <f>IF(I185="","",SUMIF(제품등록!B:B,정리표!C:C,제품등록!F:F))</f>
        <v/>
      </c>
      <c r="M185" s="11">
        <f>IF(I185=0,"",I185-L185)</f>
        <v/>
      </c>
      <c r="N185" s="290">
        <f>IF(L185="","",L185*상미75)</f>
        <v/>
      </c>
      <c r="O185" s="11">
        <f>IF(M185="","",M185+N185)</f>
        <v/>
      </c>
    </row>
    <row r="186">
      <c r="A186" s="10">
        <f>ROW()-2</f>
        <v/>
      </c>
      <c r="B186" s="10" t="n">
        <v>8065</v>
      </c>
      <c r="C186" s="22">
        <f>VLOOKUP(B:B,재고차이!A:B,2,0)</f>
        <v/>
      </c>
      <c r="D186" s="22">
        <f>VLOOKUP(C:C,재고차이!B:C,2,0)</f>
        <v/>
      </c>
      <c r="E186" s="185">
        <f>58+53</f>
        <v/>
      </c>
      <c r="F186" s="185" t="n"/>
      <c r="G186" s="185" t="n"/>
      <c r="H186" s="185" t="n"/>
      <c r="I186" s="151" t="n">
        <v>46329</v>
      </c>
      <c r="J186" s="151" t="n"/>
      <c r="K186" s="20">
        <f>IF(O186="","",O186-$I$1)</f>
        <v/>
      </c>
      <c r="L186" s="280">
        <f>IF(I186="","",SUMIF(제품등록!B:B,정리표!C:C,제품등록!F:F))</f>
        <v/>
      </c>
      <c r="M186" s="11">
        <f>IF(I186=0,"",I186-L186)</f>
        <v/>
      </c>
      <c r="N186" s="290">
        <f>IF(L186="","",L186*상미75)</f>
        <v/>
      </c>
      <c r="O186" s="11">
        <f>IF(M186="","",M186+N186)</f>
        <v/>
      </c>
    </row>
    <row r="187">
      <c r="A187" s="10">
        <f>ROW()-2</f>
        <v/>
      </c>
      <c r="B187" s="10" t="n">
        <v>8066</v>
      </c>
      <c r="C187" s="22">
        <f>VLOOKUP(B:B,재고차이!A:B,2,0)</f>
        <v/>
      </c>
      <c r="D187" s="22">
        <f>VLOOKUP(C:C,재고차이!B:C,2,0)</f>
        <v/>
      </c>
      <c r="E187" s="185">
        <f>16+52</f>
        <v/>
      </c>
      <c r="F187" s="185" t="n"/>
      <c r="G187" s="185" t="n"/>
      <c r="H187" s="185" t="n"/>
      <c r="I187" s="151" t="n">
        <v>46289</v>
      </c>
      <c r="J187" s="151" t="n"/>
      <c r="K187" s="20">
        <f>IF(O187="","",O187-$I$1)</f>
        <v/>
      </c>
      <c r="L187" s="280">
        <f>IF(I187="","",SUMIF(제품등록!B:B,정리표!C:C,제품등록!F:F))</f>
        <v/>
      </c>
      <c r="M187" s="11">
        <f>IF(I187=0,"",I187-L187)</f>
        <v/>
      </c>
      <c r="N187" s="290">
        <f>IF(L187="","",L187*상미75)</f>
        <v/>
      </c>
      <c r="O187" s="11">
        <f>IF(M187="","",M187+N187)</f>
        <v/>
      </c>
    </row>
    <row r="188">
      <c r="A188" s="10">
        <f>ROW()-2</f>
        <v/>
      </c>
      <c r="B188" s="10" t="n">
        <v>8066</v>
      </c>
      <c r="C188" s="22">
        <f>VLOOKUP(B:B,재고차이!A:B,2,0)</f>
        <v/>
      </c>
      <c r="D188" s="22">
        <f>VLOOKUP(C:C,재고차이!B:C,2,0)</f>
        <v/>
      </c>
      <c r="E188" s="10" t="n"/>
      <c r="F188" s="10" t="n"/>
      <c r="G188" s="10" t="n">
        <v>21</v>
      </c>
      <c r="H188" s="10" t="n"/>
      <c r="I188" s="184" t="n">
        <v>46289</v>
      </c>
      <c r="J188" s="184" t="n"/>
      <c r="K188" s="20">
        <f>IF(O188="","",O188-$I$1)</f>
        <v/>
      </c>
      <c r="L188" s="280">
        <f>IF(I188="","",SUMIF(제품등록!B:B,정리표!C:C,제품등록!F:F))</f>
        <v/>
      </c>
      <c r="M188" s="11">
        <f>IF(I188=0,"",I188-L188)</f>
        <v/>
      </c>
      <c r="N188" s="290">
        <f>IF(L188="","",L188*상미75)</f>
        <v/>
      </c>
      <c r="O188" s="11">
        <f>IF(M188="","",M188+N188)</f>
        <v/>
      </c>
    </row>
    <row r="189">
      <c r="A189" s="10">
        <f>ROW()-2</f>
        <v/>
      </c>
      <c r="B189" s="10" t="n">
        <v>8273</v>
      </c>
      <c r="C189" s="22">
        <f>VLOOKUP(B:B,재고차이!A:B,2,0)</f>
        <v/>
      </c>
      <c r="D189" s="22">
        <f>VLOOKUP(C:C,재고차이!B:C,2,0)</f>
        <v/>
      </c>
      <c r="E189" s="185" t="n">
        <v>9</v>
      </c>
      <c r="F189" s="185" t="n"/>
      <c r="G189" s="185" t="n"/>
      <c r="H189" s="185" t="n"/>
      <c r="I189" s="151" t="n">
        <v>46330</v>
      </c>
      <c r="J189" s="151" t="n"/>
      <c r="K189" s="20">
        <f>IF(O189="","",O189-$I$1)</f>
        <v/>
      </c>
      <c r="L189" s="280">
        <f>IF(I189="","",SUMIF(제품등록!B:B,정리표!C:C,제품등록!F:F))</f>
        <v/>
      </c>
      <c r="M189" s="11">
        <f>IF(I189=0,"",I189-L189)</f>
        <v/>
      </c>
      <c r="N189" s="290">
        <f>IF(L189="","",L189*상미75)</f>
        <v/>
      </c>
      <c r="O189" s="11">
        <f>IF(M189="","",M189+N189)</f>
        <v/>
      </c>
    </row>
    <row r="190">
      <c r="A190" s="10">
        <f>ROW()-2</f>
        <v/>
      </c>
      <c r="B190" s="10" t="n">
        <v>8273</v>
      </c>
      <c r="C190" s="22">
        <f>VLOOKUP(B:B,재고차이!A:B,2,0)</f>
        <v/>
      </c>
      <c r="D190" s="22">
        <f>VLOOKUP(C:C,재고차이!B:C,2,0)</f>
        <v/>
      </c>
      <c r="E190" s="10" t="n"/>
      <c r="F190" s="10" t="n"/>
      <c r="G190" s="10" t="n">
        <v>63</v>
      </c>
      <c r="H190" s="10" t="n"/>
      <c r="I190" s="151" t="n">
        <v>46330</v>
      </c>
      <c r="J190" s="184" t="n"/>
      <c r="K190" s="20">
        <f>IF(O190="","",O190-$I$1)</f>
        <v/>
      </c>
      <c r="L190" s="280">
        <f>IF(I190="","",SUMIF(제품등록!B:B,정리표!C:C,제품등록!F:F))</f>
        <v/>
      </c>
      <c r="M190" s="11">
        <f>IF(I190=0,"",I190-L190)</f>
        <v/>
      </c>
      <c r="N190" s="290">
        <f>IF(L190="","",L190*상미75)</f>
        <v/>
      </c>
      <c r="O190" s="11">
        <f>IF(M190="","",M190+N190)</f>
        <v/>
      </c>
    </row>
    <row r="191">
      <c r="A191" s="10">
        <f>ROW()-2</f>
        <v/>
      </c>
      <c r="B191" s="10" t="n">
        <v>8273</v>
      </c>
      <c r="C191" s="22">
        <f>VLOOKUP(B:B,재고차이!A:B,2,0)</f>
        <v/>
      </c>
      <c r="D191" s="22">
        <f>VLOOKUP(C:C,재고차이!B:C,2,0)</f>
        <v/>
      </c>
      <c r="E191" s="185" t="n">
        <v>5</v>
      </c>
      <c r="F191" s="185" t="n"/>
      <c r="G191" s="185" t="n"/>
      <c r="H191" s="185" t="n"/>
      <c r="I191" s="151" t="n">
        <v>46331</v>
      </c>
      <c r="J191" s="151" t="n"/>
      <c r="K191" s="20">
        <f>IF(O191="","",O191-$I$1)</f>
        <v/>
      </c>
      <c r="L191" s="280">
        <f>IF(I191="","",SUMIF(제품등록!B:B,정리표!C:C,제품등록!F:F))</f>
        <v/>
      </c>
      <c r="M191" s="11">
        <f>IF(I191=0,"",I191-L191)</f>
        <v/>
      </c>
      <c r="N191" s="290">
        <f>IF(L191="","",L191*상미75)</f>
        <v/>
      </c>
      <c r="O191" s="11">
        <f>IF(M191="","",M191+N191)</f>
        <v/>
      </c>
    </row>
    <row r="192">
      <c r="A192" s="10">
        <f>ROW()-2</f>
        <v/>
      </c>
      <c r="B192" s="10" t="n">
        <v>8273</v>
      </c>
      <c r="C192" s="22">
        <f>VLOOKUP(B:B,재고차이!A:B,2,0)</f>
        <v/>
      </c>
      <c r="D192" s="22">
        <f>VLOOKUP(C:C,재고차이!B:C,2,0)</f>
        <v/>
      </c>
      <c r="E192" s="10" t="n"/>
      <c r="F192" s="10" t="n"/>
      <c r="G192" s="10" t="n">
        <v>131</v>
      </c>
      <c r="H192" s="10" t="n"/>
      <c r="I192" s="151" t="n">
        <v>46331</v>
      </c>
      <c r="J192" s="184" t="n"/>
      <c r="K192" s="20">
        <f>IF(O192="","",O192-$I$1)</f>
        <v/>
      </c>
      <c r="L192" s="280">
        <f>IF(I192="","",SUMIF(제품등록!B:B,정리표!C:C,제품등록!F:F))</f>
        <v/>
      </c>
      <c r="M192" s="11">
        <f>IF(I192=0,"",I192-L192)</f>
        <v/>
      </c>
      <c r="N192" s="290">
        <f>IF(L192="","",L192*상미75)</f>
        <v/>
      </c>
      <c r="O192" s="11">
        <f>IF(M192="","",M192+N192)</f>
        <v/>
      </c>
    </row>
    <row r="193">
      <c r="A193" s="10">
        <f>ROW()-2</f>
        <v/>
      </c>
      <c r="B193" s="10" t="n">
        <v>8275</v>
      </c>
      <c r="C193" s="22">
        <f>VLOOKUP(B:B,재고차이!A:B,2,0)</f>
        <v/>
      </c>
      <c r="D193" s="22">
        <f>VLOOKUP(C:C,재고차이!B:C,2,0)</f>
        <v/>
      </c>
      <c r="E193" s="185" t="n">
        <v>31</v>
      </c>
      <c r="F193" s="185" t="n"/>
      <c r="G193" s="185" t="n"/>
      <c r="H193" s="185" t="n"/>
      <c r="I193" s="151" t="n">
        <v>46289</v>
      </c>
      <c r="J193" s="151" t="n"/>
      <c r="K193" s="20">
        <f>IF(O193="","",O193-$I$1)</f>
        <v/>
      </c>
      <c r="L193" s="280">
        <f>IF(I193="","",SUMIF(제품등록!B:B,정리표!C:C,제품등록!F:F))</f>
        <v/>
      </c>
      <c r="M193" s="11">
        <f>IF(I193=0,"",I193-L193)</f>
        <v/>
      </c>
      <c r="N193" s="290">
        <f>IF(L193="","",L193*상미75)</f>
        <v/>
      </c>
      <c r="O193" s="11">
        <f>IF(M193="","",M193+N193)</f>
        <v/>
      </c>
    </row>
    <row r="194">
      <c r="A194" s="10">
        <f>ROW()-2</f>
        <v/>
      </c>
      <c r="B194" s="10" t="n">
        <v>8275</v>
      </c>
      <c r="C194" s="22">
        <f>VLOOKUP(B:B,재고차이!A:B,2,0)</f>
        <v/>
      </c>
      <c r="D194" s="22">
        <f>VLOOKUP(C:C,재고차이!B:C,2,0)</f>
        <v/>
      </c>
      <c r="E194" s="10" t="n"/>
      <c r="F194" s="10" t="n"/>
      <c r="G194" s="10" t="n">
        <v>39</v>
      </c>
      <c r="H194" s="10" t="n"/>
      <c r="I194" s="151" t="n">
        <v>46289</v>
      </c>
      <c r="J194" s="184" t="n"/>
      <c r="K194" s="20">
        <f>IF(O194="","",O194-$I$1)</f>
        <v/>
      </c>
      <c r="L194" s="280">
        <f>IF(I194="","",SUMIF(제품등록!B:B,정리표!C:C,제품등록!F:F))</f>
        <v/>
      </c>
      <c r="M194" s="11">
        <f>IF(I194=0,"",I194-L194)</f>
        <v/>
      </c>
      <c r="N194" s="290">
        <f>IF(L194="","",L194*상미75)</f>
        <v/>
      </c>
      <c r="O194" s="11">
        <f>IF(M194="","",M194+N194)</f>
        <v/>
      </c>
    </row>
    <row r="195">
      <c r="A195" s="10">
        <f>ROW()-2</f>
        <v/>
      </c>
      <c r="B195" s="10" t="n">
        <v>8278</v>
      </c>
      <c r="C195" s="22">
        <f>VLOOKUP(B:B,재고차이!A:B,2,0)</f>
        <v/>
      </c>
      <c r="D195" s="22">
        <f>VLOOKUP(C:C,재고차이!B:C,2,0)</f>
        <v/>
      </c>
      <c r="E195" s="185" t="n">
        <v>22</v>
      </c>
      <c r="F195" s="185" t="n"/>
      <c r="G195" s="185" t="n"/>
      <c r="H195" s="185" t="n"/>
      <c r="I195" s="151" t="n">
        <v>46284</v>
      </c>
      <c r="J195" s="151" t="n"/>
      <c r="K195" s="20">
        <f>IF(O195="","",O195-$I$1)</f>
        <v/>
      </c>
      <c r="L195" s="280">
        <f>IF(I195="","",SUMIF(제품등록!B:B,정리표!C:C,제품등록!F:F))</f>
        <v/>
      </c>
      <c r="M195" s="11">
        <f>IF(I195=0,"",I195-L195)</f>
        <v/>
      </c>
      <c r="N195" s="290">
        <f>IF(L195="","",L195*상미75)</f>
        <v/>
      </c>
      <c r="O195" s="11">
        <f>IF(M195="","",M195+N195)</f>
        <v/>
      </c>
    </row>
    <row r="196">
      <c r="A196" s="10">
        <f>ROW()-2</f>
        <v/>
      </c>
      <c r="B196" s="10" t="n">
        <v>8278</v>
      </c>
      <c r="C196" s="22">
        <f>VLOOKUP(B:B,재고차이!A:B,2,0)</f>
        <v/>
      </c>
      <c r="D196" s="22">
        <f>VLOOKUP(C:C,재고차이!B:C,2,0)</f>
        <v/>
      </c>
      <c r="E196" s="185" t="n">
        <v>39</v>
      </c>
      <c r="F196" s="185" t="n"/>
      <c r="G196" s="185" t="n"/>
      <c r="H196" s="185" t="n"/>
      <c r="I196" s="151" t="n">
        <v>46284</v>
      </c>
      <c r="J196" s="151" t="n"/>
      <c r="K196" s="20">
        <f>IF(O196="","",O196-$I$1)</f>
        <v/>
      </c>
      <c r="L196" s="280">
        <f>IF(I196="","",SUMIF(제품등록!B:B,정리표!C:C,제품등록!F:F))</f>
        <v/>
      </c>
      <c r="M196" s="11">
        <f>IF(I196=0,"",I196-L196)</f>
        <v/>
      </c>
      <c r="N196" s="290">
        <f>IF(L196="","",L196*상미75)</f>
        <v/>
      </c>
      <c r="O196" s="11">
        <f>IF(M196="","",M196+N196)</f>
        <v/>
      </c>
    </row>
    <row r="197">
      <c r="A197" s="10">
        <f>ROW()-2</f>
        <v/>
      </c>
      <c r="B197" s="10" t="n">
        <v>8278</v>
      </c>
      <c r="C197" s="22">
        <f>VLOOKUP(B:B,재고차이!A:B,2,0)</f>
        <v/>
      </c>
      <c r="D197" s="22">
        <f>VLOOKUP(C:C,재고차이!B:C,2,0)</f>
        <v/>
      </c>
      <c r="E197" s="10" t="n"/>
      <c r="F197" s="10" t="n"/>
      <c r="G197" s="10" t="n">
        <v>44</v>
      </c>
      <c r="H197" s="10" t="n"/>
      <c r="I197" s="151" t="n">
        <v>46284</v>
      </c>
      <c r="J197" s="184" t="n"/>
      <c r="K197" s="20">
        <f>IF(O197="","",O197-$I$1)</f>
        <v/>
      </c>
      <c r="L197" s="280">
        <f>IF(I197="","",SUMIF(제품등록!B:B,정리표!C:C,제품등록!F:F))</f>
        <v/>
      </c>
      <c r="M197" s="11">
        <f>IF(I197=0,"",I197-L197)</f>
        <v/>
      </c>
      <c r="N197" s="290">
        <f>IF(L197="","",L197*상미75)</f>
        <v/>
      </c>
      <c r="O197" s="11">
        <f>IF(M197="","",M197+N197)</f>
        <v/>
      </c>
    </row>
    <row r="198">
      <c r="A198" s="10">
        <f>ROW()-2</f>
        <v/>
      </c>
      <c r="B198" s="10" t="n">
        <v>8429</v>
      </c>
      <c r="C198" s="22">
        <f>VLOOKUP(B:B,재고차이!A:B,2,0)</f>
        <v/>
      </c>
      <c r="D198" s="22">
        <f>VLOOKUP(C:C,재고차이!B:C,2,0)</f>
        <v/>
      </c>
      <c r="E198" s="185">
        <f>17+64</f>
        <v/>
      </c>
      <c r="F198" s="185" t="n"/>
      <c r="G198" s="185" t="n"/>
      <c r="H198" s="185" t="n"/>
      <c r="I198" s="151" t="n">
        <v>46258</v>
      </c>
      <c r="J198" s="151" t="n"/>
      <c r="K198" s="20">
        <f>IF(O198="","",O198-$I$1)</f>
        <v/>
      </c>
      <c r="L198" s="280">
        <f>IF(I198="","",SUMIF(제품등록!B:B,정리표!C:C,제품등록!F:F))</f>
        <v/>
      </c>
      <c r="M198" s="11">
        <f>IF(I198=0,"",I198-L198)</f>
        <v/>
      </c>
      <c r="N198" s="290">
        <f>IF(L198="","",L198*상미75)</f>
        <v/>
      </c>
      <c r="O198" s="11">
        <f>IF(M198="","",M198+N198)</f>
        <v/>
      </c>
    </row>
    <row r="199">
      <c r="A199" s="10">
        <f>ROW()-2</f>
        <v/>
      </c>
      <c r="B199" s="10" t="n">
        <v>8429</v>
      </c>
      <c r="C199" s="22">
        <f>VLOOKUP(B:B,재고차이!A:B,2,0)</f>
        <v/>
      </c>
      <c r="D199" s="22">
        <f>VLOOKUP(C:C,재고차이!B:C,2,0)</f>
        <v/>
      </c>
      <c r="E199" s="10" t="n"/>
      <c r="F199" s="10" t="n"/>
      <c r="G199" s="10" t="n">
        <v>24</v>
      </c>
      <c r="H199" s="10" t="n"/>
      <c r="I199" s="151" t="n">
        <v>46258</v>
      </c>
      <c r="J199" s="184" t="n"/>
      <c r="K199" s="20">
        <f>IF(O199="","",O199-$I$1)</f>
        <v/>
      </c>
      <c r="L199" s="280">
        <f>IF(I199="","",SUMIF(제품등록!B:B,정리표!C:C,제품등록!F:F))</f>
        <v/>
      </c>
      <c r="M199" s="11">
        <f>IF(I199=0,"",I199-L199)</f>
        <v/>
      </c>
      <c r="N199" s="290">
        <f>IF(L199="","",L199*상미75)</f>
        <v/>
      </c>
      <c r="O199" s="11">
        <f>IF(M199="","",M199+N199)</f>
        <v/>
      </c>
    </row>
    <row r="200">
      <c r="A200" s="10">
        <f>ROW()-2</f>
        <v/>
      </c>
      <c r="B200" s="10" t="n">
        <v>8429</v>
      </c>
      <c r="C200" s="22">
        <f>VLOOKUP(B:B,재고차이!A:B,2,0)</f>
        <v/>
      </c>
      <c r="D200" s="22">
        <f>VLOOKUP(C:C,재고차이!B:C,2,0)</f>
        <v/>
      </c>
      <c r="E200" s="185" t="n">
        <v>36</v>
      </c>
      <c r="F200" s="185" t="n"/>
      <c r="G200" s="185" t="n"/>
      <c r="H200" s="185" t="n"/>
      <c r="I200" s="151" t="n">
        <v>46259</v>
      </c>
      <c r="J200" s="151" t="n"/>
      <c r="K200" s="20">
        <f>IF(O200="","",O200-$I$1)</f>
        <v/>
      </c>
      <c r="L200" s="280">
        <f>IF(I200="","",SUMIF(제품등록!B:B,정리표!C:C,제품등록!F:F))</f>
        <v/>
      </c>
      <c r="M200" s="11">
        <f>IF(I200=0,"",I200-L200)</f>
        <v/>
      </c>
      <c r="N200" s="290">
        <f>IF(L200="","",L200*상미75)</f>
        <v/>
      </c>
      <c r="O200" s="11">
        <f>IF(M200="","",M200+N200)</f>
        <v/>
      </c>
    </row>
    <row r="201">
      <c r="A201" s="10">
        <f>ROW()-2</f>
        <v/>
      </c>
      <c r="B201" s="10" t="n">
        <v>8429</v>
      </c>
      <c r="C201" s="22">
        <f>VLOOKUP(B:B,재고차이!A:B,2,0)</f>
        <v/>
      </c>
      <c r="D201" s="22">
        <f>VLOOKUP(C:C,재고차이!B:C,2,0)</f>
        <v/>
      </c>
      <c r="E201" s="185">
        <f>64+4</f>
        <v/>
      </c>
      <c r="F201" s="185" t="n"/>
      <c r="G201" s="185" t="n"/>
      <c r="H201" s="185" t="n"/>
      <c r="I201" s="151" t="n">
        <v>46268</v>
      </c>
      <c r="J201" s="151" t="n"/>
      <c r="K201" s="20">
        <f>IF(O201="","",O201-$I$1)</f>
        <v/>
      </c>
      <c r="L201" s="280">
        <f>IF(I201="","",SUMIF(제품등록!B:B,정리표!C:C,제품등록!F:F))</f>
        <v/>
      </c>
      <c r="M201" s="11">
        <f>IF(I201=0,"",I201-L201)</f>
        <v/>
      </c>
      <c r="N201" s="290">
        <f>IF(L201="","",L201*상미75)</f>
        <v/>
      </c>
      <c r="O201" s="11">
        <f>IF(M201="","",M201+N201)</f>
        <v/>
      </c>
    </row>
    <row r="202">
      <c r="A202" s="10">
        <f>ROW()-2</f>
        <v/>
      </c>
      <c r="B202" s="10" t="n">
        <v>8521</v>
      </c>
      <c r="C202" s="22">
        <f>VLOOKUP(B:B,재고차이!A:B,2,0)</f>
        <v/>
      </c>
      <c r="D202" s="22">
        <f>VLOOKUP(C:C,재고차이!B:C,2,0)</f>
        <v/>
      </c>
      <c r="E202" s="185">
        <f>34+14</f>
        <v/>
      </c>
      <c r="F202" s="185" t="n"/>
      <c r="G202" s="185" t="n"/>
      <c r="H202" s="185" t="n"/>
      <c r="I202" s="151" t="n">
        <v>46625</v>
      </c>
      <c r="J202" s="151" t="n"/>
      <c r="K202" s="20">
        <f>IF(O202="","",O202-$I$1)</f>
        <v/>
      </c>
      <c r="L202" s="280">
        <f>IF(I202="","",SUMIF(제품등록!B:B,정리표!C:C,제품등록!F:F))</f>
        <v/>
      </c>
      <c r="M202" s="11">
        <f>IF(I202=0,"",I202-L202)</f>
        <v/>
      </c>
      <c r="N202" s="290">
        <f>IF(L202="","",L202*상미75)</f>
        <v/>
      </c>
      <c r="O202" s="11">
        <f>IF(M202="","",M202+N202)</f>
        <v/>
      </c>
    </row>
    <row r="203">
      <c r="A203" s="10">
        <f>ROW()-2</f>
        <v/>
      </c>
      <c r="B203" s="10" t="n">
        <v>8521</v>
      </c>
      <c r="C203" s="22">
        <f>VLOOKUP(B:B,재고차이!A:B,2,0)</f>
        <v/>
      </c>
      <c r="D203" s="22">
        <f>VLOOKUP(C:C,재고차이!B:C,2,0)</f>
        <v/>
      </c>
      <c r="E203" s="10" t="n"/>
      <c r="F203" s="10" t="n"/>
      <c r="G203" s="10" t="n">
        <v>99</v>
      </c>
      <c r="H203" s="10" t="n"/>
      <c r="I203" s="184" t="n">
        <v>46625</v>
      </c>
      <c r="J203" s="184" t="n"/>
      <c r="K203" s="20">
        <f>IF(O203="","",O203-$I$1)</f>
        <v/>
      </c>
      <c r="L203" s="280">
        <f>IF(I203="","",SUMIF(제품등록!B:B,정리표!C:C,제품등록!F:F))</f>
        <v/>
      </c>
      <c r="M203" s="11">
        <f>IF(I203=0,"",I203-L203)</f>
        <v/>
      </c>
      <c r="N203" s="290">
        <f>IF(L203="","",L203*상미75)</f>
        <v/>
      </c>
      <c r="O203" s="11">
        <f>IF(M203="","",M203+N203)</f>
        <v/>
      </c>
    </row>
    <row r="204">
      <c r="A204" s="10">
        <f>ROW()-2</f>
        <v/>
      </c>
      <c r="B204" s="10" t="n">
        <v>8541</v>
      </c>
      <c r="C204" s="22">
        <f>VLOOKUP(B:B,재고차이!A:B,2,0)</f>
        <v/>
      </c>
      <c r="D204" s="22">
        <f>VLOOKUP(C:C,재고차이!B:C,2,0)</f>
        <v/>
      </c>
      <c r="E204" s="10">
        <f>18+46</f>
        <v/>
      </c>
      <c r="F204" s="10" t="n"/>
      <c r="G204" s="185" t="n"/>
      <c r="H204" s="185" t="n"/>
      <c r="I204" s="184" t="n">
        <v>46351</v>
      </c>
      <c r="J204" s="151" t="n"/>
      <c r="K204" s="20">
        <f>IF(O204="","",O204-$I$1)</f>
        <v/>
      </c>
      <c r="L204" s="280">
        <f>IF(I204="","",SUMIF(제품등록!B:B,정리표!C:C,제품등록!F:F))</f>
        <v/>
      </c>
      <c r="M204" s="11">
        <f>IF(I204=0,"",I204-L204)</f>
        <v/>
      </c>
      <c r="N204" s="290">
        <f>IF(L204="","",L204*상미75)</f>
        <v/>
      </c>
      <c r="O204" s="11">
        <f>IF(M204="","",M204+N204)</f>
        <v/>
      </c>
    </row>
    <row r="205">
      <c r="A205" s="10">
        <f>ROW()-2</f>
        <v/>
      </c>
      <c r="B205" s="10" t="n">
        <v>8541</v>
      </c>
      <c r="C205" s="22">
        <f>VLOOKUP(B:B,재고차이!A:B,2,0)</f>
        <v/>
      </c>
      <c r="D205" s="22">
        <f>VLOOKUP(C:C,재고차이!B:C,2,0)</f>
        <v/>
      </c>
      <c r="E205" s="10" t="n"/>
      <c r="F205" s="10" t="n"/>
      <c r="G205" s="10" t="n">
        <v>41</v>
      </c>
      <c r="H205" s="10" t="n"/>
      <c r="I205" s="184" t="n">
        <v>46351</v>
      </c>
      <c r="J205" s="184" t="n"/>
      <c r="K205" s="20">
        <f>IF(O205="","",O205-$I$1)</f>
        <v/>
      </c>
      <c r="L205" s="280">
        <f>IF(I205="","",SUMIF(제품등록!B:B,정리표!C:C,제품등록!F:F))</f>
        <v/>
      </c>
      <c r="M205" s="11">
        <f>IF(I205=0,"",I205-L205)</f>
        <v/>
      </c>
      <c r="N205" s="290">
        <f>IF(L205="","",L205*상미75)</f>
        <v/>
      </c>
      <c r="O205" s="11">
        <f>IF(M205="","",M205+N205)</f>
        <v/>
      </c>
    </row>
    <row r="206">
      <c r="A206" s="10">
        <f>ROW()-2</f>
        <v/>
      </c>
      <c r="B206" s="10" t="n">
        <v>8560</v>
      </c>
      <c r="C206" s="22">
        <f>VLOOKUP(B:B,재고차이!A:B,2,0)</f>
        <v/>
      </c>
      <c r="D206" s="22">
        <f>VLOOKUP(C:C,재고차이!B:C,2,0)</f>
        <v/>
      </c>
      <c r="E206" s="185" t="n">
        <v>4</v>
      </c>
      <c r="F206" s="185" t="n"/>
      <c r="G206" s="185" t="n"/>
      <c r="H206" s="185" t="n"/>
      <c r="I206" s="235" t="n">
        <v>46287</v>
      </c>
      <c r="J206" s="235" t="inlineStr">
        <is>
          <t>사용기한 임박</t>
        </is>
      </c>
      <c r="K206" s="20">
        <f>IF(O206="","",O206-$I$1)</f>
        <v/>
      </c>
      <c r="L206" s="280">
        <f>IF(I206="","",SUMIF(제품등록!B:B,정리표!C:C,제품등록!F:F))</f>
        <v/>
      </c>
      <c r="M206" s="11">
        <f>IF(I206=0,"",I206-L206)</f>
        <v/>
      </c>
      <c r="N206" s="290">
        <f>IF(L206="","",L206*상미75)</f>
        <v/>
      </c>
      <c r="O206" s="11">
        <f>IF(M206="","",M206+N206)</f>
        <v/>
      </c>
    </row>
    <row r="207">
      <c r="A207" s="10">
        <f>ROW()-2</f>
        <v/>
      </c>
      <c r="B207" s="10" t="n">
        <v>8560</v>
      </c>
      <c r="C207" s="22">
        <f>VLOOKUP(B:B,재고차이!A:B,2,0)</f>
        <v/>
      </c>
      <c r="D207" s="22">
        <f>VLOOKUP(C:C,재고차이!B:C,2,0)</f>
        <v/>
      </c>
      <c r="E207" s="10" t="n"/>
      <c r="F207" s="10" t="n"/>
      <c r="G207" s="10" t="n">
        <v>1</v>
      </c>
      <c r="H207" s="10" t="n"/>
      <c r="I207" s="235" t="n">
        <v>46287</v>
      </c>
      <c r="J207" s="235" t="inlineStr">
        <is>
          <t>사용기한 임박</t>
        </is>
      </c>
      <c r="K207" s="20">
        <f>IF(O207="","",O207-$I$1)</f>
        <v/>
      </c>
      <c r="L207" s="280">
        <f>IF(I207="","",SUMIF(제품등록!B:B,정리표!C:C,제품등록!F:F))</f>
        <v/>
      </c>
      <c r="M207" s="11">
        <f>IF(I207=0,"",I207-L207)</f>
        <v/>
      </c>
      <c r="N207" s="290">
        <f>IF(L207="","",L207*상미75)</f>
        <v/>
      </c>
      <c r="O207" s="11">
        <f>IF(M207="","",M207+N207)</f>
        <v/>
      </c>
    </row>
    <row r="208">
      <c r="A208" s="10">
        <f>ROW()-2</f>
        <v/>
      </c>
      <c r="B208" s="10" t="n">
        <v>8561</v>
      </c>
      <c r="C208" s="22">
        <f>VLOOKUP(B:B,재고차이!A:B,2,0)</f>
        <v/>
      </c>
      <c r="D208" s="22">
        <f>VLOOKUP(C:C,재고차이!B:C,2,0)</f>
        <v/>
      </c>
      <c r="E208" s="10">
        <f>26+52</f>
        <v/>
      </c>
      <c r="F208" s="10" t="n"/>
      <c r="G208" s="185" t="n"/>
      <c r="H208" s="185" t="n"/>
      <c r="I208" s="184" t="n">
        <v>46344</v>
      </c>
      <c r="J208" s="184" t="n"/>
      <c r="K208" s="20">
        <f>IF(O208="","",O208-$I$1)</f>
        <v/>
      </c>
      <c r="L208" s="280">
        <f>IF(I208="","",SUMIF(제품등록!B:B,정리표!C:C,제품등록!F:F))</f>
        <v/>
      </c>
      <c r="M208" s="11">
        <f>IF(I208=0,"",I208-L208)</f>
        <v/>
      </c>
      <c r="N208" s="290">
        <f>IF(L208="","",L208*상미75)</f>
        <v/>
      </c>
      <c r="O208" s="11">
        <f>IF(M208="","",M208+N208)</f>
        <v/>
      </c>
    </row>
    <row r="209">
      <c r="A209" s="10">
        <f>ROW()-2</f>
        <v/>
      </c>
      <c r="B209" s="10" t="n">
        <v>8561</v>
      </c>
      <c r="C209" s="22">
        <f>VLOOKUP(B:B,재고차이!A:B,2,0)</f>
        <v/>
      </c>
      <c r="D209" s="22">
        <f>VLOOKUP(C:C,재고차이!B:C,2,0)</f>
        <v/>
      </c>
      <c r="E209" s="10" t="n"/>
      <c r="F209" s="10" t="n"/>
      <c r="G209" s="10" t="n">
        <v>17</v>
      </c>
      <c r="H209" s="10" t="n"/>
      <c r="I209" s="184" t="n">
        <v>46344</v>
      </c>
      <c r="J209" s="184" t="n"/>
      <c r="K209" s="20">
        <f>IF(O209="","",O209-$I$1)</f>
        <v/>
      </c>
      <c r="L209" s="280">
        <f>IF(I209="","",SUMIF(제품등록!B:B,정리표!C:C,제품등록!F:F))</f>
        <v/>
      </c>
      <c r="M209" s="11">
        <f>IF(I209=0,"",I209-L209)</f>
        <v/>
      </c>
      <c r="N209" s="290">
        <f>IF(L209="","",L209*상미75)</f>
        <v/>
      </c>
      <c r="O209" s="11">
        <f>IF(M209="","",M209+N209)</f>
        <v/>
      </c>
    </row>
    <row r="210">
      <c r="A210" s="10">
        <f>ROW()-2</f>
        <v/>
      </c>
      <c r="B210" s="10" t="n">
        <v>8571</v>
      </c>
      <c r="C210" s="22">
        <f>VLOOKUP(B:B,재고차이!A:B,2,0)</f>
        <v/>
      </c>
      <c r="D210" s="22">
        <f>VLOOKUP(C:C,재고차이!B:C,2,0)</f>
        <v/>
      </c>
      <c r="E210" s="185">
        <f>12+10</f>
        <v/>
      </c>
      <c r="F210" s="185" t="n"/>
      <c r="G210" s="185" t="n"/>
      <c r="H210" s="185" t="n"/>
      <c r="I210" s="151" t="n">
        <v>46321</v>
      </c>
      <c r="J210" s="184" t="n"/>
      <c r="K210" s="20">
        <f>IF(O210="","",O210-$I$1)</f>
        <v/>
      </c>
      <c r="L210" s="280">
        <f>IF(I210="","",SUMIF(제품등록!B:B,정리표!C:C,제품등록!F:F))</f>
        <v/>
      </c>
      <c r="M210" s="11">
        <f>IF(I210=0,"",I210-L210)</f>
        <v/>
      </c>
      <c r="N210" s="290">
        <f>IF(L210="","",L210*상미75)</f>
        <v/>
      </c>
      <c r="O210" s="11">
        <f>IF(M210="","",M210+N210)</f>
        <v/>
      </c>
    </row>
    <row r="211">
      <c r="A211" s="10">
        <f>ROW()-2</f>
        <v/>
      </c>
      <c r="B211" s="10" t="n">
        <v>8571</v>
      </c>
      <c r="C211" s="22">
        <f>VLOOKUP(B:B,재고차이!A:B,2,0)</f>
        <v/>
      </c>
      <c r="D211" s="22">
        <f>VLOOKUP(C:C,재고차이!B:C,2,0)</f>
        <v/>
      </c>
      <c r="E211" s="10" t="n"/>
      <c r="F211" s="10" t="n"/>
      <c r="G211" s="10" t="n">
        <v>28</v>
      </c>
      <c r="H211" s="10" t="n"/>
      <c r="I211" s="184" t="n">
        <v>46321</v>
      </c>
      <c r="J211" s="184" t="n"/>
      <c r="K211" s="20">
        <f>IF(O211="","",O211-$I$1)</f>
        <v/>
      </c>
      <c r="L211" s="280">
        <f>IF(I211="","",SUMIF(제품등록!B:B,정리표!C:C,제품등록!F:F))</f>
        <v/>
      </c>
      <c r="M211" s="11">
        <f>IF(I211=0,"",I211-L211)</f>
        <v/>
      </c>
      <c r="N211" s="290">
        <f>IF(L211="","",L211*상미75)</f>
        <v/>
      </c>
      <c r="O211" s="11">
        <f>IF(M211="","",M211+N211)</f>
        <v/>
      </c>
    </row>
    <row r="212">
      <c r="A212" s="10">
        <f>ROW()-2</f>
        <v/>
      </c>
      <c r="B212" s="10" t="n">
        <v>8590</v>
      </c>
      <c r="C212" s="22">
        <f>VLOOKUP(B:B,재고차이!A:B,2,0)</f>
        <v/>
      </c>
      <c r="D212" s="22">
        <f>VLOOKUP(C:C,재고차이!B:C,2,0)</f>
        <v/>
      </c>
      <c r="E212" s="10">
        <f>58+9</f>
        <v/>
      </c>
      <c r="F212" s="10" t="n"/>
      <c r="G212" s="185" t="n"/>
      <c r="H212" s="185" t="n"/>
      <c r="I212" s="184" t="n">
        <v>46342</v>
      </c>
      <c r="J212" s="184" t="n"/>
      <c r="K212" s="20">
        <f>IF(O212="","",O212-$I$1)</f>
        <v/>
      </c>
      <c r="L212" s="280">
        <f>IF(I212="","",SUMIF(제품등록!B:B,정리표!C:C,제품등록!F:F))</f>
        <v/>
      </c>
      <c r="M212" s="11">
        <f>IF(I212=0,"",I212-L212)</f>
        <v/>
      </c>
      <c r="N212" s="290">
        <f>IF(L212="","",L212*상미75)</f>
        <v/>
      </c>
      <c r="O212" s="11">
        <f>IF(M212="","",M212+N212)</f>
        <v/>
      </c>
    </row>
    <row r="213">
      <c r="A213" s="10">
        <f>ROW()-2</f>
        <v/>
      </c>
      <c r="B213" s="24" t="n">
        <v>8590</v>
      </c>
      <c r="C213" s="22">
        <f>VLOOKUP(B:B,재고차이!A:B,2,0)</f>
        <v/>
      </c>
      <c r="D213" s="22">
        <f>VLOOKUP(C:C,재고차이!B:C,2,0)</f>
        <v/>
      </c>
      <c r="E213" s="10" t="n"/>
      <c r="F213" s="10" t="n"/>
      <c r="G213" s="10" t="n">
        <v>4</v>
      </c>
      <c r="H213" s="10" t="n"/>
      <c r="I213" s="184" t="n">
        <v>46342</v>
      </c>
      <c r="J213" s="184" t="n"/>
      <c r="K213" s="20">
        <f>IF(O213="","",O213-$I$1)</f>
        <v/>
      </c>
      <c r="L213" s="280">
        <f>IF(I213="","",SUMIF(제품등록!B:B,정리표!C:C,제품등록!F:F))</f>
        <v/>
      </c>
      <c r="M213" s="11">
        <f>IF(I213=0,"",I213-L213)</f>
        <v/>
      </c>
      <c r="N213" s="290">
        <f>IF(L213="","",L213*상미75)</f>
        <v/>
      </c>
      <c r="O213" s="11">
        <f>IF(M213="","",M213+N213)</f>
        <v/>
      </c>
    </row>
    <row r="214">
      <c r="A214" s="10">
        <f>ROW()-2</f>
        <v/>
      </c>
      <c r="B214" s="10" t="n">
        <v>9120</v>
      </c>
      <c r="C214" s="22">
        <f>VLOOKUP(B:B,재고차이!A:B,2,0)</f>
        <v/>
      </c>
      <c r="D214" s="22">
        <f>VLOOKUP(C:C,재고차이!B:C,2,0)</f>
        <v/>
      </c>
      <c r="E214" s="185" t="n">
        <v>4</v>
      </c>
      <c r="F214" s="185" t="n"/>
      <c r="G214" s="185" t="n"/>
      <c r="H214" s="185" t="n"/>
      <c r="I214" s="151" t="n">
        <v>46310</v>
      </c>
      <c r="J214" s="184" t="n"/>
      <c r="K214" s="20">
        <f>IF(O214="","",O214-$I$1)</f>
        <v/>
      </c>
      <c r="L214" s="280">
        <f>IF(I214="","",SUMIF(제품등록!B:B,정리표!C:C,제품등록!F:F))</f>
        <v/>
      </c>
      <c r="M214" s="11">
        <f>IF(I214=0,"",I214-L214)</f>
        <v/>
      </c>
      <c r="N214" s="290">
        <f>IF(L214="","",L214*상미75)</f>
        <v/>
      </c>
      <c r="O214" s="11">
        <f>IF(M214="","",M214+N214)</f>
        <v/>
      </c>
    </row>
    <row r="215">
      <c r="A215" s="10">
        <f>ROW()-2</f>
        <v/>
      </c>
      <c r="B215" s="24" t="n">
        <v>9120</v>
      </c>
      <c r="C215" s="22">
        <f>VLOOKUP(B:B,재고차이!A:B,2,0)</f>
        <v/>
      </c>
      <c r="D215" s="22">
        <f>VLOOKUP(C:C,재고차이!B:C,2,0)</f>
        <v/>
      </c>
      <c r="E215" s="10" t="n"/>
      <c r="F215" s="10" t="n"/>
      <c r="G215" s="10" t="n">
        <v>66</v>
      </c>
      <c r="H215" s="10" t="n"/>
      <c r="I215" s="184" t="n">
        <v>46310</v>
      </c>
      <c r="J215" s="184" t="n"/>
      <c r="K215" s="20">
        <f>IF(O215="","",O215-$I$1)</f>
        <v/>
      </c>
      <c r="L215" s="280">
        <f>IF(I215="","",SUMIF(제품등록!B:B,정리표!C:C,제품등록!F:F))</f>
        <v/>
      </c>
      <c r="M215" s="11">
        <f>IF(I215=0,"",I215-L215)</f>
        <v/>
      </c>
      <c r="N215" s="290">
        <f>IF(L215="","",L215*상미75)</f>
        <v/>
      </c>
      <c r="O215" s="11">
        <f>IF(M215="","",M215+N215)</f>
        <v/>
      </c>
    </row>
    <row r="216">
      <c r="A216" s="10">
        <f>ROW()-2</f>
        <v/>
      </c>
      <c r="B216" s="10" t="inlineStr">
        <is>
          <t>dp0439</t>
        </is>
      </c>
      <c r="C216" s="22">
        <f>VLOOKUP(B:B,재고차이!A:B,2,0)</f>
        <v/>
      </c>
      <c r="D216" s="22">
        <f>VLOOKUP(C:C,재고차이!B:C,2,0)</f>
        <v/>
      </c>
      <c r="E216" s="185" t="n">
        <v>25</v>
      </c>
      <c r="F216" s="185" t="n"/>
      <c r="G216" s="185" t="n"/>
      <c r="H216" s="185" t="n"/>
      <c r="I216" s="151" t="n">
        <v>46349</v>
      </c>
      <c r="J216" s="151" t="n"/>
      <c r="K216" s="20">
        <f>IF(O216="","",O216-$I$1)</f>
        <v/>
      </c>
      <c r="L216" s="280">
        <f>IF(I216="","",SUMIF(제품등록!B:B,정리표!C:C,제품등록!F:F))</f>
        <v/>
      </c>
      <c r="M216" s="11">
        <f>IF(I216=0,"",I216-L216)</f>
        <v/>
      </c>
      <c r="N216" s="290">
        <f>IF(L216="","",L216*상미75)</f>
        <v/>
      </c>
      <c r="O216" s="11">
        <f>IF(M216="","",M216+N216)</f>
        <v/>
      </c>
    </row>
    <row r="217">
      <c r="A217" s="10">
        <f>ROW()-2</f>
        <v/>
      </c>
      <c r="B217" s="10" t="inlineStr">
        <is>
          <t>DP0439</t>
        </is>
      </c>
      <c r="C217" s="22">
        <f>VLOOKUP(B:B,재고차이!A:B,2,0)</f>
        <v/>
      </c>
      <c r="D217" s="22">
        <f>VLOOKUP(C:C,재고차이!B:C,2,0)</f>
        <v/>
      </c>
      <c r="E217" s="10" t="n"/>
      <c r="F217" s="10" t="n"/>
      <c r="G217" s="10" t="n">
        <v>80</v>
      </c>
      <c r="H217" s="10" t="n"/>
      <c r="I217" s="184" t="n">
        <v>46349</v>
      </c>
      <c r="J217" s="184" t="n"/>
      <c r="K217" s="20">
        <f>IF(O217="","",O217-$I$1)</f>
        <v/>
      </c>
      <c r="L217" s="280">
        <f>IF(I217="","",SUMIF(제품등록!B:B,정리표!C:C,제품등록!F:F))</f>
        <v/>
      </c>
      <c r="M217" s="11">
        <f>IF(I217=0,"",I217-L217)</f>
        <v/>
      </c>
      <c r="N217" s="290">
        <f>IF(L217="","",L217*상미75)</f>
        <v/>
      </c>
      <c r="O217" s="11">
        <f>IF(M217="","",M217+N217)</f>
        <v/>
      </c>
    </row>
    <row r="218">
      <c r="A218" s="10">
        <f>ROW()-2</f>
        <v/>
      </c>
      <c r="B218" s="10" t="inlineStr">
        <is>
          <t>FT4181</t>
        </is>
      </c>
      <c r="C218" s="22">
        <f>VLOOKUP(B:B,재고차이!A:B,2,0)</f>
        <v/>
      </c>
      <c r="D218" s="22">
        <f>VLOOKUP(C:C,재고차이!B:C,2,0)</f>
        <v/>
      </c>
      <c r="E218" s="185" t="n">
        <v>1</v>
      </c>
      <c r="F218" s="185" t="n"/>
      <c r="G218" s="185" t="n"/>
      <c r="H218" s="185" t="n"/>
      <c r="I218" s="151" t="n">
        <v>46344</v>
      </c>
      <c r="J218" s="151" t="n"/>
      <c r="K218" s="20">
        <f>IF(O218="","",O218-$I$1)</f>
        <v/>
      </c>
      <c r="L218" s="280">
        <f>IF(I218="","",SUMIF(제품등록!B:B,정리표!C:C,제품등록!F:F))</f>
        <v/>
      </c>
      <c r="M218" s="11">
        <f>IF(I218=0,"",I218-L218)</f>
        <v/>
      </c>
      <c r="N218" s="290">
        <f>IF(L218="","",L218*상미75)</f>
        <v/>
      </c>
      <c r="O218" s="11">
        <f>IF(M218="","",M218+N218)</f>
        <v/>
      </c>
    </row>
    <row r="219">
      <c r="A219" s="10">
        <f>ROW()-2</f>
        <v/>
      </c>
      <c r="B219" s="10" t="inlineStr">
        <is>
          <t>FT4181</t>
        </is>
      </c>
      <c r="C219" s="22">
        <f>VLOOKUP(B:B,재고차이!A:B,2,0)</f>
        <v/>
      </c>
      <c r="D219" s="22">
        <f>VLOOKUP(C:C,재고차이!B:C,2,0)</f>
        <v/>
      </c>
      <c r="E219" s="10" t="n"/>
      <c r="F219" s="10" t="n"/>
      <c r="G219" s="10" t="n">
        <v>58</v>
      </c>
      <c r="H219" s="10" t="n"/>
      <c r="I219" s="184" t="n">
        <v>46344</v>
      </c>
      <c r="J219" s="184" t="n"/>
      <c r="K219" s="20">
        <f>IF(O219="","",O219-$I$1)</f>
        <v/>
      </c>
      <c r="L219" s="280">
        <f>IF(I219="","",SUMIF(제품등록!B:B,정리표!C:C,제품등록!F:F))</f>
        <v/>
      </c>
      <c r="M219" s="11">
        <f>IF(I219=0,"",I219-L219)</f>
        <v/>
      </c>
      <c r="N219" s="290">
        <f>IF(L219="","",L219*상미75)</f>
        <v/>
      </c>
      <c r="O219" s="11">
        <f>IF(M219="","",M219+N219)</f>
        <v/>
      </c>
    </row>
    <row r="220">
      <c r="A220" s="10">
        <f>ROW()-2</f>
        <v/>
      </c>
      <c r="B220" s="10" t="inlineStr">
        <is>
          <t>FT4181</t>
        </is>
      </c>
      <c r="C220" s="22">
        <f>VLOOKUP(B:B,재고차이!A:B,2,0)</f>
        <v/>
      </c>
      <c r="D220" s="22">
        <f>VLOOKUP(C:C,재고차이!B:C,2,0)</f>
        <v/>
      </c>
      <c r="E220" s="185" t="n">
        <v>18</v>
      </c>
      <c r="F220" s="185" t="n"/>
      <c r="G220" s="185" t="n"/>
      <c r="H220" s="185" t="n"/>
      <c r="I220" s="151" t="n">
        <v>46360</v>
      </c>
      <c r="J220" s="151" t="n"/>
      <c r="K220" s="20">
        <f>IF(O220="","",O220-$I$1)</f>
        <v/>
      </c>
      <c r="L220" s="280">
        <f>IF(I220="","",SUMIF(제품등록!B:B,정리표!C:C,제품등록!F:F))</f>
        <v/>
      </c>
      <c r="M220" s="11">
        <f>IF(I220=0,"",I220-L220)</f>
        <v/>
      </c>
      <c r="N220" s="290">
        <f>IF(L220="","",L220*상미75)</f>
        <v/>
      </c>
      <c r="O220" s="11">
        <f>IF(M220="","",M220+N220)</f>
        <v/>
      </c>
    </row>
    <row r="221">
      <c r="A221" s="10">
        <f>ROW()-2</f>
        <v/>
      </c>
      <c r="B221" s="10" t="inlineStr">
        <is>
          <t>gs0012</t>
        </is>
      </c>
      <c r="C221" s="22">
        <f>VLOOKUP(B:B,재고차이!A:B,2,0)</f>
        <v/>
      </c>
      <c r="D221" s="22">
        <f>VLOOKUP(C:C,재고차이!B:C,2,0)</f>
        <v/>
      </c>
      <c r="E221" s="185" t="n">
        <v>9</v>
      </c>
      <c r="F221" s="185" t="n"/>
      <c r="G221" s="185" t="n"/>
      <c r="H221" s="185" t="n"/>
      <c r="I221" s="151" t="n">
        <v>46321</v>
      </c>
      <c r="J221" s="184" t="n"/>
      <c r="K221" s="20">
        <f>IF(O221="","",O221-$I$1)</f>
        <v/>
      </c>
      <c r="L221" s="280">
        <f>IF(I221="","",SUMIF(제품등록!B:B,정리표!C:C,제품등록!F:F))</f>
        <v/>
      </c>
      <c r="M221" s="11">
        <f>IF(I221=0,"",I221-L221)</f>
        <v/>
      </c>
      <c r="N221" s="290">
        <f>IF(L221="","",L221*상미75)</f>
        <v/>
      </c>
      <c r="O221" s="11">
        <f>IF(M221="","",M221+N221)</f>
        <v/>
      </c>
    </row>
    <row r="222">
      <c r="A222" s="10">
        <f>ROW()-2</f>
        <v/>
      </c>
      <c r="B222" s="24" t="inlineStr">
        <is>
          <t>GS0012</t>
        </is>
      </c>
      <c r="C222" s="22">
        <f>VLOOKUP(B:B,재고차이!A:B,2,0)</f>
        <v/>
      </c>
      <c r="D222" s="22">
        <f>VLOOKUP(C:C,재고차이!B:C,2,0)</f>
        <v/>
      </c>
      <c r="E222" s="10" t="n"/>
      <c r="F222" s="10" t="n"/>
      <c r="G222" s="10" t="n">
        <v>82</v>
      </c>
      <c r="H222" s="10" t="n"/>
      <c r="I222" s="184" t="n">
        <v>46321</v>
      </c>
      <c r="J222" s="184" t="n"/>
      <c r="K222" s="20">
        <f>IF(O222="","",O222-$I$1)</f>
        <v/>
      </c>
      <c r="L222" s="280">
        <f>IF(I222="","",SUMIF(제품등록!B:B,정리표!C:C,제품등록!F:F))</f>
        <v/>
      </c>
      <c r="M222" s="11">
        <f>IF(I222=0,"",I222-L222)</f>
        <v/>
      </c>
      <c r="N222" s="290">
        <f>IF(L222="","",L222*상미75)</f>
        <v/>
      </c>
      <c r="O222" s="11">
        <f>IF(M222="","",M222+N222)</f>
        <v/>
      </c>
    </row>
    <row r="223">
      <c r="A223" s="10">
        <f>ROW()-2</f>
        <v/>
      </c>
      <c r="B223" s="10" t="inlineStr">
        <is>
          <t>gs0012</t>
        </is>
      </c>
      <c r="C223" s="22">
        <f>VLOOKUP(B:B,재고차이!A:B,2,0)</f>
        <v/>
      </c>
      <c r="D223" s="22">
        <f>VLOOKUP(C:C,재고차이!B:C,2,0)</f>
        <v/>
      </c>
      <c r="E223" s="185">
        <f>26+13</f>
        <v/>
      </c>
      <c r="F223" s="185" t="n"/>
      <c r="G223" s="185" t="n"/>
      <c r="H223" s="185" t="n"/>
      <c r="I223" s="151" t="n">
        <v>46322</v>
      </c>
      <c r="J223" s="184" t="n"/>
      <c r="K223" s="20">
        <f>IF(O223="","",O223-$I$1)</f>
        <v/>
      </c>
      <c r="L223" s="280">
        <f>IF(I223="","",SUMIF(제품등록!B:B,정리표!C:C,제품등록!F:F))</f>
        <v/>
      </c>
      <c r="M223" s="11">
        <f>IF(I223=0,"",I223-L223)</f>
        <v/>
      </c>
      <c r="N223" s="290">
        <f>IF(L223="","",L223*상미75)</f>
        <v/>
      </c>
      <c r="O223" s="11">
        <f>IF(M223="","",M223+N223)</f>
        <v/>
      </c>
    </row>
    <row r="224">
      <c r="A224" s="10">
        <f>ROW()-2</f>
        <v/>
      </c>
      <c r="B224" s="10" t="inlineStr">
        <is>
          <t>IH0001</t>
        </is>
      </c>
      <c r="C224" s="22">
        <f>VLOOKUP(B:B,재고차이!A:B,2,0)</f>
        <v/>
      </c>
      <c r="D224" s="22">
        <f>VLOOKUP(C:C,재고차이!B:C,2,0)</f>
        <v/>
      </c>
      <c r="E224" s="185" t="n">
        <v>5</v>
      </c>
      <c r="F224" s="185" t="n"/>
      <c r="G224" s="185" t="n"/>
      <c r="H224" s="185" t="n"/>
      <c r="I224" s="151" t="n">
        <v>46306</v>
      </c>
      <c r="J224" s="184" t="n"/>
      <c r="K224" s="20">
        <f>IF(O224="","",O224-$I$1)</f>
        <v/>
      </c>
      <c r="L224" s="280">
        <f>IF(I224="","",SUMIF(제품등록!B:B,정리표!C:C,제품등록!F:F))</f>
        <v/>
      </c>
      <c r="M224" s="11">
        <f>IF(I224=0,"",I224-L224)</f>
        <v/>
      </c>
      <c r="N224" s="290">
        <f>IF(L224="","",L224*상미75)</f>
        <v/>
      </c>
      <c r="O224" s="11">
        <f>IF(M224="","",M224+N224)</f>
        <v/>
      </c>
    </row>
    <row r="225">
      <c r="A225" s="10">
        <f>ROW()-2</f>
        <v/>
      </c>
      <c r="B225" s="10" t="inlineStr">
        <is>
          <t>IH0001</t>
        </is>
      </c>
      <c r="C225" s="22">
        <f>VLOOKUP(B:B,재고차이!A:B,2,0)</f>
        <v/>
      </c>
      <c r="D225" s="22">
        <f>VLOOKUP(C:C,재고차이!B:C,2,0)</f>
        <v/>
      </c>
      <c r="E225" s="10" t="n"/>
      <c r="F225" s="10" t="n"/>
      <c r="G225" s="10" t="n">
        <v>18</v>
      </c>
      <c r="H225" s="10" t="n"/>
      <c r="I225" s="184" t="n">
        <v>46306</v>
      </c>
      <c r="J225" s="151" t="n"/>
      <c r="K225" s="20">
        <f>IF(O225="","",O225-$I$1)</f>
        <v/>
      </c>
      <c r="L225" s="280">
        <f>IF(I225="","",SUMIF(제품등록!B:B,정리표!C:C,제품등록!F:F))</f>
        <v/>
      </c>
      <c r="M225" s="11">
        <f>IF(I225=0,"",I225-L225)</f>
        <v/>
      </c>
      <c r="N225" s="290">
        <f>IF(L225="","",L225*상미75)</f>
        <v/>
      </c>
      <c r="O225" s="11">
        <f>IF(M225="","",M225+N225)</f>
        <v/>
      </c>
    </row>
    <row r="226">
      <c r="A226" s="10">
        <f>ROW()-2</f>
        <v/>
      </c>
      <c r="B226" s="10" t="inlineStr">
        <is>
          <t>kc1005</t>
        </is>
      </c>
      <c r="C226" s="22">
        <f>VLOOKUP(B:B,재고차이!A:B,2,0)</f>
        <v/>
      </c>
      <c r="D226" s="22">
        <f>VLOOKUP(C:C,재고차이!B:C,2,0)</f>
        <v/>
      </c>
      <c r="E226" s="185" t="n">
        <v>10</v>
      </c>
      <c r="F226" s="185" t="n"/>
      <c r="G226" s="185" t="n"/>
      <c r="H226" s="185" t="n"/>
      <c r="I226" s="151" t="n">
        <v>46223</v>
      </c>
      <c r="J226" s="184" t="n"/>
      <c r="K226" s="20">
        <f>IF(O226="","",O226-$I$1)</f>
        <v/>
      </c>
      <c r="L226" s="280">
        <f>IF(I226="","",SUMIF(제품등록!B:B,정리표!C:C,제품등록!F:F))</f>
        <v/>
      </c>
      <c r="M226" s="11">
        <f>IF(I226=0,"",I226-L226)</f>
        <v/>
      </c>
      <c r="N226" s="290">
        <f>IF(L226="","",L226*상미75)</f>
        <v/>
      </c>
      <c r="O226" s="11">
        <f>IF(M226="","",M226+N226)</f>
        <v/>
      </c>
    </row>
    <row r="227">
      <c r="A227" s="10">
        <f>ROW()-2</f>
        <v/>
      </c>
      <c r="B227" s="10" t="inlineStr">
        <is>
          <t>KC1005</t>
        </is>
      </c>
      <c r="C227" s="22">
        <f>VLOOKUP(B:B,재고차이!A:B,2,0)</f>
        <v/>
      </c>
      <c r="D227" s="22">
        <f>VLOOKUP(C:C,재고차이!B:C,2,0)</f>
        <v/>
      </c>
      <c r="E227" s="10" t="n"/>
      <c r="F227" s="10" t="n"/>
      <c r="G227" s="10" t="n">
        <v>67</v>
      </c>
      <c r="H227" s="10" t="n"/>
      <c r="I227" s="184" t="n">
        <v>46223</v>
      </c>
      <c r="J227" s="151" t="n"/>
      <c r="K227" s="20">
        <f>IF(O227="","",O227-$I$1)</f>
        <v/>
      </c>
      <c r="L227" s="280">
        <f>IF(I227="","",SUMIF(제품등록!B:B,정리표!C:C,제품등록!F:F))</f>
        <v/>
      </c>
      <c r="M227" s="11">
        <f>IF(I227=0,"",I227-L227)</f>
        <v/>
      </c>
      <c r="N227" s="290">
        <f>IF(L227="","",L227*상미75)</f>
        <v/>
      </c>
      <c r="O227" s="11">
        <f>IF(M227="","",M227+N227)</f>
        <v/>
      </c>
    </row>
    <row r="228">
      <c r="A228" s="10">
        <f>ROW()-2</f>
        <v/>
      </c>
      <c r="B228" s="10" t="inlineStr">
        <is>
          <t>MM8428</t>
        </is>
      </c>
      <c r="C228" s="22">
        <f>VLOOKUP(B:B,재고차이!A:B,2,0)</f>
        <v/>
      </c>
      <c r="D228" s="22">
        <f>VLOOKUP(C:C,재고차이!B:C,2,0)</f>
        <v/>
      </c>
      <c r="E228" s="10" t="n"/>
      <c r="F228" s="10" t="n"/>
      <c r="G228" s="10" t="n">
        <v>82</v>
      </c>
      <c r="H228" s="10" t="n"/>
      <c r="I228" s="184" t="n">
        <v>46265</v>
      </c>
      <c r="J228" s="151" t="n"/>
      <c r="K228" s="20">
        <f>IF(O228="","",O228-$I$1)</f>
        <v/>
      </c>
      <c r="L228" s="280">
        <f>IF(I228="","",SUMIF(제품등록!B:B,정리표!C:C,제품등록!F:F))</f>
        <v/>
      </c>
      <c r="M228" s="11">
        <f>IF(I228=0,"",I228-L228)</f>
        <v/>
      </c>
      <c r="N228" s="290">
        <f>IF(L228="","",L228*상미75)</f>
        <v/>
      </c>
      <c r="O228" s="11">
        <f>IF(M228="","",M228+N228)</f>
        <v/>
      </c>
    </row>
    <row r="229">
      <c r="A229" s="10">
        <f>ROW()-2</f>
        <v/>
      </c>
      <c r="B229" s="10" t="inlineStr">
        <is>
          <t>PA0002</t>
        </is>
      </c>
      <c r="C229" s="22">
        <f>VLOOKUP(B:B,재고차이!A:B,2,0)</f>
        <v/>
      </c>
      <c r="D229" s="22">
        <f>VLOOKUP(C:C,재고차이!B:C,2,0)</f>
        <v/>
      </c>
      <c r="E229" s="10" t="n">
        <v>16</v>
      </c>
      <c r="F229" s="10" t="n"/>
      <c r="G229" s="185" t="n"/>
      <c r="H229" s="185" t="n"/>
      <c r="I229" s="184" t="n">
        <v>46348</v>
      </c>
      <c r="J229" s="151" t="n"/>
      <c r="K229" s="20">
        <f>IF(O229="","",O229-$I$1)</f>
        <v/>
      </c>
      <c r="L229" s="291">
        <f>IF(I229="","",SUMIF(제품등록!B:B,정리표!C:C,제품등록!F:F))</f>
        <v/>
      </c>
      <c r="M229" s="228">
        <f>IF(I229=0,"",I229-L229)</f>
        <v/>
      </c>
      <c r="N229" s="292">
        <f>IF(L229="","",L229*상미75)</f>
        <v/>
      </c>
      <c r="O229" s="228">
        <f>IF(M229="","",M229+N229)</f>
        <v/>
      </c>
    </row>
    <row r="230">
      <c r="A230" s="10">
        <f>ROW()-2</f>
        <v/>
      </c>
      <c r="B230" s="24" t="inlineStr">
        <is>
          <t>pa0002</t>
        </is>
      </c>
      <c r="C230" s="22">
        <f>VLOOKUP(B:B,재고차이!A:B,2,0)</f>
        <v/>
      </c>
      <c r="D230" s="22">
        <f>VLOOKUP(C:C,재고차이!B:C,2,0)</f>
        <v/>
      </c>
      <c r="E230" s="10" t="n"/>
      <c r="F230" s="10" t="n"/>
      <c r="G230" s="10" t="n">
        <v>25</v>
      </c>
      <c r="H230" s="10" t="n"/>
      <c r="I230" s="184" t="n">
        <v>46348</v>
      </c>
      <c r="J230" s="184" t="n"/>
      <c r="K230" s="20">
        <f>IF(O230="","",O230-$I$1)</f>
        <v/>
      </c>
      <c r="L230" s="280">
        <f>IF(I230="","",SUMIF(제품등록!B:B,정리표!C:C,제품등록!F:F))</f>
        <v/>
      </c>
      <c r="M230" s="11">
        <f>IF(I230=0,"",I230-L230)</f>
        <v/>
      </c>
      <c r="N230" s="290">
        <f>IF(L230="","",L230*상미75)</f>
        <v/>
      </c>
      <c r="O230" s="11">
        <f>IF(M230="","",M230+N230)</f>
        <v/>
      </c>
    </row>
    <row r="231">
      <c r="A231" s="10">
        <f>ROW()-2</f>
        <v/>
      </c>
      <c r="B231" s="10" t="inlineStr">
        <is>
          <t>sp4181</t>
        </is>
      </c>
      <c r="C231" s="22">
        <f>VLOOKUP(B:B,재고차이!A:B,2,0)</f>
        <v/>
      </c>
      <c r="D231" s="22">
        <f>VLOOKUP(C:C,재고차이!B:C,2,0)</f>
        <v/>
      </c>
      <c r="E231" s="185" t="n">
        <v>5</v>
      </c>
      <c r="F231" s="185" t="n"/>
      <c r="G231" s="185" t="n"/>
      <c r="H231" s="185" t="n"/>
      <c r="I231" s="151" t="n">
        <v>46314</v>
      </c>
      <c r="J231" s="151" t="n"/>
      <c r="K231" s="20">
        <f>IF(O231="","",O231-$I$1)</f>
        <v/>
      </c>
      <c r="L231" s="280">
        <f>IF(I231="","",SUMIF(제품등록!B:B,정리표!C:C,제품등록!F:F))</f>
        <v/>
      </c>
      <c r="M231" s="11">
        <f>IF(I231=0,"",I231-L231)</f>
        <v/>
      </c>
      <c r="N231" s="290">
        <f>IF(L231="","",L231*상미75)</f>
        <v/>
      </c>
      <c r="O231" s="11">
        <f>IF(M231="","",M231+N231)</f>
        <v/>
      </c>
    </row>
    <row r="232">
      <c r="A232" s="10">
        <f>ROW()-2</f>
        <v/>
      </c>
      <c r="B232" s="24" t="inlineStr">
        <is>
          <t>SP4181</t>
        </is>
      </c>
      <c r="C232" s="22">
        <f>VLOOKUP(B:B,재고차이!A:B,2,0)</f>
        <v/>
      </c>
      <c r="D232" s="22">
        <f>VLOOKUP(C:C,재고차이!B:C,2,0)</f>
        <v/>
      </c>
      <c r="E232" s="10" t="n"/>
      <c r="F232" s="10" t="n"/>
      <c r="G232" s="10" t="n">
        <v>17</v>
      </c>
      <c r="H232" s="10" t="n"/>
      <c r="I232" s="184" t="n">
        <v>46314</v>
      </c>
      <c r="J232" s="184" t="n"/>
      <c r="K232" s="20">
        <f>IF(O232="","",O232-$I$1)</f>
        <v/>
      </c>
      <c r="L232" s="280">
        <f>IF(I232="","",SUMIF(제품등록!B:B,정리표!C:C,제품등록!F:F))</f>
        <v/>
      </c>
      <c r="M232" s="11">
        <f>IF(I232=0,"",I232-L232)</f>
        <v/>
      </c>
      <c r="N232" s="290">
        <f>IF(L232="","",L232*상미75)</f>
        <v/>
      </c>
      <c r="O232" s="11">
        <f>IF(M232="","",M232+N232)</f>
        <v/>
      </c>
    </row>
  </sheetData>
  <autoFilter ref="A2:O201">
    <sortState ref="A3:O232">
      <sortCondition ref="B2:B201"/>
    </sortState>
  </autoFilter>
  <conditionalFormatting sqref="K1:K1048576 P3:P64">
    <cfRule type="cellIs" priority="603" operator="lessThan" dxfId="0">
      <formula>0</formula>
    </cfRule>
  </conditionalFormatting>
  <printOptions horizontalCentered="1" verticalCentered="1"/>
  <pageMargins left="0.3149606299212598" right="0.3149606299212598" top="0.3543307086614174" bottom="0.3543307086614174" header="0.3149606299212598" footer="0.3149606299212598"/>
  <pageSetup orientation="landscape" paperSize="9" scale="74"/>
  <colBreaks count="1" manualBreakCount="1">
    <brk id="11" min="0" max="1048575" man="1"/>
  </colBreaks>
</worksheet>
</file>

<file path=xl/worksheets/sheet11.xml><?xml version="1.0" encoding="utf-8"?>
<worksheet xmlns="http://schemas.openxmlformats.org/spreadsheetml/2006/main">
  <sheetPr codeName="Sheet9">
    <tabColor rgb="FF00B0F0"/>
    <outlinePr summaryBelow="1" summaryRight="1"/>
    <pageSetUpPr/>
  </sheetPr>
  <dimension ref="A1:V90"/>
  <sheetViews>
    <sheetView zoomScaleNormal="100" workbookViewId="0">
      <selection activeCell="A1" sqref="A1:XFD1048576"/>
    </sheetView>
  </sheetViews>
  <sheetFormatPr baseColWidth="8" defaultRowHeight="16.5"/>
  <cols>
    <col width="7.125" bestFit="1" customWidth="1" style="237" min="1" max="1"/>
    <col width="43.5" bestFit="1" customWidth="1" style="237" min="3" max="3"/>
    <col width="5.5" bestFit="1" customWidth="1" style="237" min="4" max="4"/>
    <col width="11.75" bestFit="1" customWidth="1" style="237" min="5" max="5"/>
    <col width="8.75" bestFit="1" customWidth="1" style="237" min="6" max="6"/>
    <col width="11.625" bestFit="1" customWidth="1" style="237" min="8" max="8"/>
    <col width="11" bestFit="1" customWidth="1" style="237" min="9" max="9"/>
    <col width="7.125" bestFit="1" customWidth="1" style="237" min="11" max="11"/>
    <col width="11.75" bestFit="1" customWidth="1" style="237" min="13" max="13"/>
    <col width="7.125" bestFit="1" customWidth="1" style="237" min="14" max="15"/>
    <col width="5.25" bestFit="1" customWidth="1" style="237" min="16" max="16"/>
    <col width="9.25" bestFit="1" customWidth="1" style="237" min="17" max="17"/>
    <col width="8.25" bestFit="1" customWidth="1" style="237" min="19" max="19"/>
    <col width="11" bestFit="1" customWidth="1" style="237" min="20" max="20"/>
    <col width="7.875" bestFit="1" customWidth="1" style="237" min="21" max="21"/>
    <col width="5.25" bestFit="1" customWidth="1" style="237" min="22" max="22"/>
  </cols>
  <sheetData>
    <row r="1">
      <c r="A1" s="218" t="inlineStr">
        <is>
          <t>플랜트</t>
        </is>
      </c>
      <c r="B1" s="218" t="inlineStr">
        <is>
          <t>제품코드</t>
        </is>
      </c>
      <c r="C1" s="218" t="inlineStr">
        <is>
          <t>제품명</t>
        </is>
      </c>
      <c r="D1" s="218" t="inlineStr">
        <is>
          <t>SLoc</t>
        </is>
      </c>
      <c r="E1" s="218" t="inlineStr">
        <is>
          <t>내역</t>
        </is>
      </c>
      <c r="F1" s="218" t="inlineStr">
        <is>
          <t>세트 No.</t>
        </is>
      </c>
      <c r="G1" s="218" t="inlineStr">
        <is>
          <t>조회단위</t>
        </is>
      </c>
      <c r="H1" s="218" t="inlineStr">
        <is>
          <t>제품유형</t>
        </is>
      </c>
      <c r="I1" s="218" t="inlineStr">
        <is>
          <t>평가클래스</t>
        </is>
      </c>
      <c r="J1" s="218" t="inlineStr">
        <is>
          <t>특별재고</t>
        </is>
      </c>
      <c r="K1" s="218" t="inlineStr">
        <is>
          <t>클래스</t>
        </is>
      </c>
      <c r="L1" s="218" t="inlineStr">
        <is>
          <t>뱃치관리</t>
        </is>
      </c>
      <c r="M1" s="218" t="inlineStr">
        <is>
          <t>탄산/비탄산</t>
        </is>
      </c>
      <c r="N1" s="218" t="inlineStr">
        <is>
          <t>패키지</t>
        </is>
      </c>
      <c r="O1" s="219" t="inlineStr">
        <is>
          <t>제조일</t>
        </is>
      </c>
      <c r="P1" s="219" t="inlineStr">
        <is>
          <t>BUn</t>
        </is>
      </c>
      <c r="Q1" s="219" t="inlineStr">
        <is>
          <t>가용</t>
        </is>
      </c>
      <c r="R1" s="219" t="inlineStr">
        <is>
          <t>품질검사</t>
        </is>
      </c>
      <c r="S1" s="219" t="inlineStr">
        <is>
          <t>Blocked</t>
        </is>
      </c>
      <c r="T1" s="219" t="inlineStr">
        <is>
          <t>사용가재고</t>
        </is>
      </c>
      <c r="U1" s="219" t="inlineStr">
        <is>
          <t>사이즈</t>
        </is>
      </c>
      <c r="V1" s="219" t="inlineStr">
        <is>
          <t>단위</t>
        </is>
      </c>
    </row>
    <row r="2">
      <c r="A2" s="220" t="inlineStr">
        <is>
          <t>B117</t>
        </is>
      </c>
      <c r="B2" s="220" t="inlineStr">
        <is>
          <t>BB4259</t>
        </is>
      </c>
      <c r="C2" s="220" t="inlineStr">
        <is>
          <t>S)봉봉 포도 340CAN 4X6</t>
        </is>
      </c>
      <c r="D2" s="220" t="inlineStr">
        <is>
          <t>3000</t>
        </is>
      </c>
      <c r="E2" s="220" t="inlineStr">
        <is>
          <t>제/상품창고</t>
        </is>
      </c>
      <c r="F2" s="220" t="inlineStr"/>
      <c r="G2" s="220" t="inlineStr">
        <is>
          <t>BOX</t>
        </is>
      </c>
      <c r="H2" s="220" t="inlineStr">
        <is>
          <t>음료 완제품</t>
        </is>
      </c>
      <c r="I2" s="220" t="inlineStr">
        <is>
          <t>음료상품</t>
        </is>
      </c>
      <c r="J2" s="220" t="inlineStr"/>
      <c r="K2" s="220" t="inlineStr"/>
      <c r="L2" s="220" t="inlineStr"/>
      <c r="M2" s="220" t="inlineStr">
        <is>
          <t>비탄산</t>
        </is>
      </c>
      <c r="N2" s="220" t="inlineStr">
        <is>
          <t>Can</t>
        </is>
      </c>
      <c r="O2" s="221" t="n"/>
      <c r="P2" s="222" t="inlineStr">
        <is>
          <t>BOX</t>
        </is>
      </c>
      <c r="Q2" s="293" t="n">
        <v>912</v>
      </c>
      <c r="R2" s="293" t="n">
        <v>0</v>
      </c>
      <c r="S2" s="293" t="n">
        <v>0</v>
      </c>
      <c r="T2" s="293" t="n">
        <v>912</v>
      </c>
      <c r="U2" s="293" t="n">
        <v>340</v>
      </c>
      <c r="V2" s="222" t="inlineStr">
        <is>
          <t>ML</t>
        </is>
      </c>
    </row>
    <row r="3">
      <c r="A3" s="220" t="inlineStr">
        <is>
          <t>B117</t>
        </is>
      </c>
      <c r="B3" s="220" t="inlineStr">
        <is>
          <t>BB7719</t>
        </is>
      </c>
      <c r="C3" s="220" t="inlineStr">
        <is>
          <t>S)봉봉 복숭아 340CAN 4X6</t>
        </is>
      </c>
      <c r="D3" s="220" t="inlineStr">
        <is>
          <t>3000</t>
        </is>
      </c>
      <c r="E3" s="220" t="inlineStr">
        <is>
          <t>제/상품창고</t>
        </is>
      </c>
      <c r="F3" s="220" t="inlineStr"/>
      <c r="G3" s="220" t="inlineStr">
        <is>
          <t>BOX</t>
        </is>
      </c>
      <c r="H3" s="220" t="inlineStr">
        <is>
          <t>음료 완제품</t>
        </is>
      </c>
      <c r="I3" s="220" t="inlineStr">
        <is>
          <t>음료상품</t>
        </is>
      </c>
      <c r="J3" s="220" t="inlineStr"/>
      <c r="K3" s="220" t="inlineStr"/>
      <c r="L3" s="220" t="inlineStr"/>
      <c r="M3" s="220" t="inlineStr">
        <is>
          <t>비탄산</t>
        </is>
      </c>
      <c r="N3" s="220" t="inlineStr">
        <is>
          <t>Can</t>
        </is>
      </c>
      <c r="O3" s="221" t="n"/>
      <c r="P3" s="222" t="inlineStr">
        <is>
          <t>BOX</t>
        </is>
      </c>
      <c r="Q3" s="293" t="n">
        <v>211</v>
      </c>
      <c r="R3" s="293" t="n">
        <v>0</v>
      </c>
      <c r="S3" s="293" t="n">
        <v>0</v>
      </c>
      <c r="T3" s="293" t="n">
        <v>211</v>
      </c>
      <c r="U3" s="293" t="n">
        <v>340</v>
      </c>
      <c r="V3" s="222" t="inlineStr">
        <is>
          <t>ML</t>
        </is>
      </c>
    </row>
    <row r="4">
      <c r="A4" s="220" t="inlineStr">
        <is>
          <t>B117</t>
        </is>
      </c>
      <c r="B4" s="220" t="inlineStr">
        <is>
          <t>BB7721</t>
        </is>
      </c>
      <c r="C4" s="220" t="inlineStr">
        <is>
          <t>S)봉봉 알로에큐브 복숭아 500PET 4X6</t>
        </is>
      </c>
      <c r="D4" s="220" t="inlineStr">
        <is>
          <t>3000</t>
        </is>
      </c>
      <c r="E4" s="220" t="inlineStr">
        <is>
          <t>제/상품창고</t>
        </is>
      </c>
      <c r="F4" s="220" t="inlineStr"/>
      <c r="G4" s="220" t="inlineStr">
        <is>
          <t>BOX</t>
        </is>
      </c>
      <c r="H4" s="220" t="inlineStr">
        <is>
          <t>음료 완제품</t>
        </is>
      </c>
      <c r="I4" s="220" t="inlineStr">
        <is>
          <t>음료상품</t>
        </is>
      </c>
      <c r="J4" s="220" t="inlineStr"/>
      <c r="K4" s="220" t="inlineStr"/>
      <c r="L4" s="220" t="inlineStr"/>
      <c r="M4" s="220" t="inlineStr">
        <is>
          <t>비탄산</t>
        </is>
      </c>
      <c r="N4" s="220" t="inlineStr">
        <is>
          <t>Pet</t>
        </is>
      </c>
      <c r="O4" s="221" t="n"/>
      <c r="P4" s="222" t="inlineStr">
        <is>
          <t>BOX</t>
        </is>
      </c>
      <c r="Q4" s="293" t="n">
        <v>39</v>
      </c>
      <c r="R4" s="293" t="n">
        <v>0</v>
      </c>
      <c r="S4" s="293" t="n">
        <v>0</v>
      </c>
      <c r="T4" s="293" t="n">
        <v>39</v>
      </c>
      <c r="U4" s="293" t="n">
        <v>500</v>
      </c>
      <c r="V4" s="222" t="inlineStr">
        <is>
          <t>ML</t>
        </is>
      </c>
    </row>
    <row r="5">
      <c r="A5" s="220" t="inlineStr">
        <is>
          <t>B117</t>
        </is>
      </c>
      <c r="B5" s="220" t="inlineStr">
        <is>
          <t>CC0455</t>
        </is>
      </c>
      <c r="C5" s="220" t="inlineStr">
        <is>
          <t>S)코크제로 레몬 500PET 4X6</t>
        </is>
      </c>
      <c r="D5" s="220" t="inlineStr">
        <is>
          <t>3000</t>
        </is>
      </c>
      <c r="E5" s="220" t="inlineStr">
        <is>
          <t>제/상품창고</t>
        </is>
      </c>
      <c r="F5" s="220" t="inlineStr"/>
      <c r="G5" s="220" t="inlineStr">
        <is>
          <t>BOX</t>
        </is>
      </c>
      <c r="H5" s="220" t="inlineStr">
        <is>
          <t>음료 완제품</t>
        </is>
      </c>
      <c r="I5" s="220" t="inlineStr">
        <is>
          <t>음료제품</t>
        </is>
      </c>
      <c r="J5" s="220" t="inlineStr"/>
      <c r="K5" s="220" t="inlineStr"/>
      <c r="L5" s="220" t="inlineStr"/>
      <c r="M5" s="220" t="inlineStr">
        <is>
          <t>탄산</t>
        </is>
      </c>
      <c r="N5" s="220" t="inlineStr">
        <is>
          <t>Pet</t>
        </is>
      </c>
      <c r="O5" s="221" t="n"/>
      <c r="P5" s="222" t="inlineStr">
        <is>
          <t>BOX</t>
        </is>
      </c>
      <c r="Q5" s="293" t="n">
        <v>2911</v>
      </c>
      <c r="R5" s="293" t="n">
        <v>0</v>
      </c>
      <c r="S5" s="293" t="n">
        <v>0</v>
      </c>
      <c r="T5" s="293" t="n">
        <v>2911</v>
      </c>
      <c r="U5" s="293" t="n">
        <v>500</v>
      </c>
      <c r="V5" s="222" t="inlineStr">
        <is>
          <t>ML</t>
        </is>
      </c>
    </row>
    <row r="6">
      <c r="A6" s="220" t="inlineStr">
        <is>
          <t>B117</t>
        </is>
      </c>
      <c r="B6" s="220" t="inlineStr">
        <is>
          <t>CC1300</t>
        </is>
      </c>
      <c r="C6" s="220" t="inlineStr">
        <is>
          <t>S)코카콜라 250CAN 5X6</t>
        </is>
      </c>
      <c r="D6" s="220" t="inlineStr">
        <is>
          <t>3000</t>
        </is>
      </c>
      <c r="E6" s="220" t="inlineStr">
        <is>
          <t>제/상품창고</t>
        </is>
      </c>
      <c r="F6" s="220" t="inlineStr"/>
      <c r="G6" s="220" t="inlineStr">
        <is>
          <t>BOX</t>
        </is>
      </c>
      <c r="H6" s="220" t="inlineStr">
        <is>
          <t>음료 완제품</t>
        </is>
      </c>
      <c r="I6" s="220" t="inlineStr">
        <is>
          <t>음료제품</t>
        </is>
      </c>
      <c r="J6" s="220" t="inlineStr"/>
      <c r="K6" s="220" t="inlineStr"/>
      <c r="L6" s="220" t="inlineStr"/>
      <c r="M6" s="220" t="inlineStr">
        <is>
          <t>탄산</t>
        </is>
      </c>
      <c r="N6" s="220" t="inlineStr">
        <is>
          <t>Can</t>
        </is>
      </c>
      <c r="O6" s="221" t="n"/>
      <c r="P6" s="222" t="inlineStr">
        <is>
          <t>BOX</t>
        </is>
      </c>
      <c r="Q6" s="293" t="n">
        <v>4760</v>
      </c>
      <c r="R6" s="293" t="n">
        <v>0</v>
      </c>
      <c r="S6" s="293" t="n">
        <v>0</v>
      </c>
      <c r="T6" s="293" t="n">
        <v>4760</v>
      </c>
      <c r="U6" s="293" t="n">
        <v>250</v>
      </c>
      <c r="V6" s="222" t="inlineStr">
        <is>
          <t>ML</t>
        </is>
      </c>
    </row>
    <row r="7">
      <c r="A7" s="220" t="inlineStr">
        <is>
          <t>B117</t>
        </is>
      </c>
      <c r="B7" s="220" t="inlineStr">
        <is>
          <t>CC2531</t>
        </is>
      </c>
      <c r="C7" s="220" t="inlineStr">
        <is>
          <t>S)코카콜라 350CAN 4X6</t>
        </is>
      </c>
      <c r="D7" s="220" t="inlineStr">
        <is>
          <t>3000</t>
        </is>
      </c>
      <c r="E7" s="220" t="inlineStr">
        <is>
          <t>제/상품창고</t>
        </is>
      </c>
      <c r="F7" s="220" t="inlineStr"/>
      <c r="G7" s="220" t="inlineStr">
        <is>
          <t>BOX</t>
        </is>
      </c>
      <c r="H7" s="220" t="inlineStr">
        <is>
          <t>음료 완제품</t>
        </is>
      </c>
      <c r="I7" s="220" t="inlineStr">
        <is>
          <t>음료제품</t>
        </is>
      </c>
      <c r="J7" s="220" t="inlineStr"/>
      <c r="K7" s="220" t="inlineStr"/>
      <c r="L7" s="220" t="inlineStr"/>
      <c r="M7" s="220" t="inlineStr">
        <is>
          <t>탄산</t>
        </is>
      </c>
      <c r="N7" s="220" t="inlineStr">
        <is>
          <t>Can</t>
        </is>
      </c>
      <c r="O7" s="221" t="n"/>
      <c r="P7" s="222" t="inlineStr">
        <is>
          <t>BOX</t>
        </is>
      </c>
      <c r="Q7" s="293" t="n">
        <v>3409</v>
      </c>
      <c r="R7" s="293" t="n">
        <v>0</v>
      </c>
      <c r="S7" s="293" t="n">
        <v>0</v>
      </c>
      <c r="T7" s="293" t="n">
        <v>3409</v>
      </c>
      <c r="U7" s="293" t="n">
        <v>350</v>
      </c>
      <c r="V7" s="222" t="inlineStr">
        <is>
          <t>ML</t>
        </is>
      </c>
    </row>
    <row r="8">
      <c r="A8" s="220" t="inlineStr">
        <is>
          <t>B117</t>
        </is>
      </c>
      <c r="B8" s="220" t="inlineStr">
        <is>
          <t>CC4432</t>
        </is>
      </c>
      <c r="C8" s="220" t="inlineStr">
        <is>
          <t>S)코크제로 500PET 4X6</t>
        </is>
      </c>
      <c r="D8" s="220" t="inlineStr">
        <is>
          <t>3000</t>
        </is>
      </c>
      <c r="E8" s="220" t="inlineStr">
        <is>
          <t>제/상품창고</t>
        </is>
      </c>
      <c r="F8" s="220" t="inlineStr"/>
      <c r="G8" s="220" t="inlineStr">
        <is>
          <t>BOX</t>
        </is>
      </c>
      <c r="H8" s="220" t="inlineStr">
        <is>
          <t>음료 완제품</t>
        </is>
      </c>
      <c r="I8" s="220" t="inlineStr">
        <is>
          <t>음료제품</t>
        </is>
      </c>
      <c r="J8" s="220" t="inlineStr"/>
      <c r="K8" s="220" t="inlineStr"/>
      <c r="L8" s="220" t="inlineStr"/>
      <c r="M8" s="220" t="inlineStr">
        <is>
          <t>탄산</t>
        </is>
      </c>
      <c r="N8" s="220" t="inlineStr">
        <is>
          <t>Pet</t>
        </is>
      </c>
      <c r="O8" s="221" t="n"/>
      <c r="P8" s="222" t="inlineStr">
        <is>
          <t>BOX</t>
        </is>
      </c>
      <c r="Q8" s="293" t="n">
        <v>7975</v>
      </c>
      <c r="R8" s="293" t="n">
        <v>0</v>
      </c>
      <c r="S8" s="293" t="n">
        <v>0</v>
      </c>
      <c r="T8" s="293" t="n">
        <v>7975</v>
      </c>
      <c r="U8" s="293" t="n">
        <v>500</v>
      </c>
      <c r="V8" s="222" t="inlineStr">
        <is>
          <t>ML</t>
        </is>
      </c>
    </row>
    <row r="9">
      <c r="A9" s="220" t="inlineStr">
        <is>
          <t>B117</t>
        </is>
      </c>
      <c r="B9" s="220" t="inlineStr">
        <is>
          <t>CC5191</t>
        </is>
      </c>
      <c r="C9" s="220" t="inlineStr">
        <is>
          <t>S)코카콜라 490CAN 4X6</t>
        </is>
      </c>
      <c r="D9" s="220" t="inlineStr">
        <is>
          <t>3000</t>
        </is>
      </c>
      <c r="E9" s="220" t="inlineStr">
        <is>
          <t>제/상품창고</t>
        </is>
      </c>
      <c r="F9" s="220" t="inlineStr"/>
      <c r="G9" s="220" t="inlineStr">
        <is>
          <t>BOX</t>
        </is>
      </c>
      <c r="H9" s="220" t="inlineStr">
        <is>
          <t>음료 완제품</t>
        </is>
      </c>
      <c r="I9" s="220" t="inlineStr">
        <is>
          <t>음료제품</t>
        </is>
      </c>
      <c r="J9" s="220" t="inlineStr"/>
      <c r="K9" s="220" t="inlineStr"/>
      <c r="L9" s="220" t="inlineStr"/>
      <c r="M9" s="220" t="inlineStr">
        <is>
          <t>탄산</t>
        </is>
      </c>
      <c r="N9" s="220" t="inlineStr">
        <is>
          <t>Can</t>
        </is>
      </c>
      <c r="O9" s="221" t="n"/>
      <c r="P9" s="222" t="inlineStr">
        <is>
          <t>BOX</t>
        </is>
      </c>
      <c r="Q9" s="293" t="n">
        <v>2934</v>
      </c>
      <c r="R9" s="293" t="n">
        <v>0</v>
      </c>
      <c r="S9" s="293" t="n">
        <v>0</v>
      </c>
      <c r="T9" s="293" t="n">
        <v>2934</v>
      </c>
      <c r="U9" s="293" t="n">
        <v>490</v>
      </c>
      <c r="V9" s="222" t="inlineStr">
        <is>
          <t>ML</t>
        </is>
      </c>
    </row>
    <row r="10">
      <c r="A10" s="220" t="inlineStr">
        <is>
          <t>B117</t>
        </is>
      </c>
      <c r="B10" s="220" t="inlineStr">
        <is>
          <t>CC5192</t>
        </is>
      </c>
      <c r="C10" s="220" t="inlineStr">
        <is>
          <t>S)코크제로 490CAN 4X6</t>
        </is>
      </c>
      <c r="D10" s="220" t="inlineStr">
        <is>
          <t>3000</t>
        </is>
      </c>
      <c r="E10" s="220" t="inlineStr">
        <is>
          <t>제/상품창고</t>
        </is>
      </c>
      <c r="F10" s="220" t="inlineStr"/>
      <c r="G10" s="220" t="inlineStr">
        <is>
          <t>BOX</t>
        </is>
      </c>
      <c r="H10" s="220" t="inlineStr">
        <is>
          <t>음료 완제품</t>
        </is>
      </c>
      <c r="I10" s="220" t="inlineStr">
        <is>
          <t>음료제품</t>
        </is>
      </c>
      <c r="J10" s="220" t="inlineStr"/>
      <c r="K10" s="220" t="inlineStr"/>
      <c r="L10" s="220" t="inlineStr"/>
      <c r="M10" s="220" t="inlineStr">
        <is>
          <t>탄산</t>
        </is>
      </c>
      <c r="N10" s="220" t="inlineStr">
        <is>
          <t>Can</t>
        </is>
      </c>
      <c r="O10" s="221" t="n"/>
      <c r="P10" s="222" t="inlineStr">
        <is>
          <t>BOX</t>
        </is>
      </c>
      <c r="Q10" s="293" t="n">
        <v>1486</v>
      </c>
      <c r="R10" s="293" t="n">
        <v>0</v>
      </c>
      <c r="S10" s="293" t="n">
        <v>0</v>
      </c>
      <c r="T10" s="293" t="n">
        <v>1486</v>
      </c>
      <c r="U10" s="293" t="n">
        <v>490</v>
      </c>
      <c r="V10" s="222" t="inlineStr">
        <is>
          <t>ML</t>
        </is>
      </c>
    </row>
    <row r="11">
      <c r="A11" s="220" t="inlineStr">
        <is>
          <t>B117</t>
        </is>
      </c>
      <c r="B11" s="220" t="inlineStr">
        <is>
          <t>CC5194</t>
        </is>
      </c>
      <c r="C11" s="220" t="inlineStr">
        <is>
          <t>S)코크제로 레몬 350CAN 4X6</t>
        </is>
      </c>
      <c r="D11" s="220" t="inlineStr">
        <is>
          <t>3000</t>
        </is>
      </c>
      <c r="E11" s="220" t="inlineStr">
        <is>
          <t>제/상품창고</t>
        </is>
      </c>
      <c r="F11" s="220" t="inlineStr"/>
      <c r="G11" s="220" t="inlineStr">
        <is>
          <t>BOX</t>
        </is>
      </c>
      <c r="H11" s="220" t="inlineStr">
        <is>
          <t>음료 완제품</t>
        </is>
      </c>
      <c r="I11" s="220" t="inlineStr">
        <is>
          <t>음료제품</t>
        </is>
      </c>
      <c r="J11" s="220" t="inlineStr"/>
      <c r="K11" s="220" t="inlineStr"/>
      <c r="L11" s="220" t="inlineStr"/>
      <c r="M11" s="220" t="inlineStr">
        <is>
          <t>탄산</t>
        </is>
      </c>
      <c r="N11" s="220" t="inlineStr">
        <is>
          <t>Can</t>
        </is>
      </c>
      <c r="O11" s="221" t="n"/>
      <c r="P11" s="222" t="inlineStr">
        <is>
          <t>BOX</t>
        </is>
      </c>
      <c r="Q11" s="293" t="n">
        <v>1808</v>
      </c>
      <c r="R11" s="293" t="n">
        <v>0</v>
      </c>
      <c r="S11" s="293" t="n">
        <v>0</v>
      </c>
      <c r="T11" s="293" t="n">
        <v>1808</v>
      </c>
      <c r="U11" s="293" t="n">
        <v>350</v>
      </c>
      <c r="V11" s="222" t="inlineStr">
        <is>
          <t>ML</t>
        </is>
      </c>
    </row>
    <row r="12">
      <c r="A12" s="220" t="inlineStr">
        <is>
          <t>B117</t>
        </is>
      </c>
      <c r="B12" s="220" t="inlineStr">
        <is>
          <t>CC5201</t>
        </is>
      </c>
      <c r="C12" s="220" t="inlineStr">
        <is>
          <t>S)코크제로 제로 500PET 4X6</t>
        </is>
      </c>
      <c r="D12" s="220" t="inlineStr">
        <is>
          <t>3000</t>
        </is>
      </c>
      <c r="E12" s="220" t="inlineStr">
        <is>
          <t>제/상품창고</t>
        </is>
      </c>
      <c r="F12" s="220" t="inlineStr"/>
      <c r="G12" s="220" t="inlineStr">
        <is>
          <t>BOX</t>
        </is>
      </c>
      <c r="H12" s="220" t="inlineStr">
        <is>
          <t>음료 완제품</t>
        </is>
      </c>
      <c r="I12" s="220" t="inlineStr">
        <is>
          <t>음료제품</t>
        </is>
      </c>
      <c r="J12" s="220" t="inlineStr"/>
      <c r="K12" s="220" t="inlineStr"/>
      <c r="L12" s="220" t="inlineStr"/>
      <c r="M12" s="220" t="inlineStr">
        <is>
          <t>탄산</t>
        </is>
      </c>
      <c r="N12" s="220" t="inlineStr">
        <is>
          <t>Pet</t>
        </is>
      </c>
      <c r="O12" s="221" t="n"/>
      <c r="P12" s="222" t="inlineStr">
        <is>
          <t>BOX</t>
        </is>
      </c>
      <c r="Q12" s="293" t="n">
        <v>3602</v>
      </c>
      <c r="R12" s="293" t="n">
        <v>0</v>
      </c>
      <c r="S12" s="293" t="n">
        <v>0</v>
      </c>
      <c r="T12" s="293" t="n">
        <v>3602</v>
      </c>
      <c r="U12" s="293" t="n">
        <v>500</v>
      </c>
      <c r="V12" s="222" t="inlineStr">
        <is>
          <t>ML</t>
        </is>
      </c>
    </row>
    <row r="13">
      <c r="A13" s="220" t="inlineStr">
        <is>
          <t>B117</t>
        </is>
      </c>
      <c r="B13" s="220" t="inlineStr">
        <is>
          <t>CC5769</t>
        </is>
      </c>
      <c r="C13" s="220" t="inlineStr">
        <is>
          <t>S)코크제로 제로 350CAN 4X6</t>
        </is>
      </c>
      <c r="D13" s="220" t="inlineStr">
        <is>
          <t>3000</t>
        </is>
      </c>
      <c r="E13" s="220" t="inlineStr">
        <is>
          <t>제/상품창고</t>
        </is>
      </c>
      <c r="F13" s="220" t="inlineStr"/>
      <c r="G13" s="220" t="inlineStr">
        <is>
          <t>BOX</t>
        </is>
      </c>
      <c r="H13" s="220" t="inlineStr">
        <is>
          <t>음료 완제품</t>
        </is>
      </c>
      <c r="I13" s="220" t="inlineStr">
        <is>
          <t>음료제품</t>
        </is>
      </c>
      <c r="J13" s="220" t="inlineStr"/>
      <c r="K13" s="220" t="inlineStr"/>
      <c r="L13" s="220" t="inlineStr"/>
      <c r="M13" s="220" t="inlineStr">
        <is>
          <t>탄산</t>
        </is>
      </c>
      <c r="N13" s="220" t="inlineStr">
        <is>
          <t>Can</t>
        </is>
      </c>
      <c r="O13" s="221" t="n"/>
      <c r="P13" s="222" t="inlineStr">
        <is>
          <t>BOX</t>
        </is>
      </c>
      <c r="Q13" s="293" t="n">
        <v>741</v>
      </c>
      <c r="R13" s="293" t="n">
        <v>0</v>
      </c>
      <c r="S13" s="293" t="n">
        <v>0</v>
      </c>
      <c r="T13" s="293" t="n">
        <v>741</v>
      </c>
      <c r="U13" s="293" t="n">
        <v>350</v>
      </c>
      <c r="V13" s="222" t="inlineStr">
        <is>
          <t>ML</t>
        </is>
      </c>
    </row>
    <row r="14">
      <c r="A14" s="220" t="inlineStr">
        <is>
          <t>B117</t>
        </is>
      </c>
      <c r="B14" s="220" t="inlineStr">
        <is>
          <t>CC5771</t>
        </is>
      </c>
      <c r="C14" s="220" t="inlineStr">
        <is>
          <t>S)코크제로 제로 250CAN 5X6</t>
        </is>
      </c>
      <c r="D14" s="220" t="inlineStr">
        <is>
          <t>3000</t>
        </is>
      </c>
      <c r="E14" s="220" t="inlineStr">
        <is>
          <t>제/상품창고</t>
        </is>
      </c>
      <c r="F14" s="220" t="inlineStr"/>
      <c r="G14" s="220" t="inlineStr">
        <is>
          <t>BOX</t>
        </is>
      </c>
      <c r="H14" s="220" t="inlineStr">
        <is>
          <t>음료 완제품</t>
        </is>
      </c>
      <c r="I14" s="220" t="inlineStr">
        <is>
          <t>음료제품</t>
        </is>
      </c>
      <c r="J14" s="220" t="inlineStr"/>
      <c r="K14" s="220" t="inlineStr"/>
      <c r="L14" s="220" t="inlineStr"/>
      <c r="M14" s="220" t="inlineStr">
        <is>
          <t>탄산</t>
        </is>
      </c>
      <c r="N14" s="220" t="inlineStr">
        <is>
          <t>Can</t>
        </is>
      </c>
      <c r="O14" s="221" t="n"/>
      <c r="P14" s="222" t="inlineStr">
        <is>
          <t>BOX</t>
        </is>
      </c>
      <c r="Q14" s="293" t="n">
        <v>289</v>
      </c>
      <c r="R14" s="293" t="n">
        <v>0</v>
      </c>
      <c r="S14" s="293" t="n">
        <v>0</v>
      </c>
      <c r="T14" s="293" t="n">
        <v>289</v>
      </c>
      <c r="U14" s="293" t="n">
        <v>250</v>
      </c>
      <c r="V14" s="222" t="inlineStr">
        <is>
          <t>ML</t>
        </is>
      </c>
    </row>
    <row r="15">
      <c r="A15" s="220" t="inlineStr">
        <is>
          <t>B117</t>
        </is>
      </c>
      <c r="B15" s="220" t="inlineStr">
        <is>
          <t>CC5777</t>
        </is>
      </c>
      <c r="C15" s="220" t="inlineStr">
        <is>
          <t>S)코크제로 350CAN 4X6</t>
        </is>
      </c>
      <c r="D15" s="220" t="inlineStr">
        <is>
          <t>3000</t>
        </is>
      </c>
      <c r="E15" s="220" t="inlineStr">
        <is>
          <t>제/상품창고</t>
        </is>
      </c>
      <c r="F15" s="220" t="inlineStr"/>
      <c r="G15" s="220" t="inlineStr">
        <is>
          <t>BOX</t>
        </is>
      </c>
      <c r="H15" s="220" t="inlineStr">
        <is>
          <t>음료 완제품</t>
        </is>
      </c>
      <c r="I15" s="220" t="inlineStr">
        <is>
          <t>음료제품</t>
        </is>
      </c>
      <c r="J15" s="220" t="inlineStr"/>
      <c r="K15" s="220" t="inlineStr"/>
      <c r="L15" s="220" t="inlineStr"/>
      <c r="M15" s="220" t="inlineStr">
        <is>
          <t>탄산</t>
        </is>
      </c>
      <c r="N15" s="220" t="inlineStr">
        <is>
          <t>Can</t>
        </is>
      </c>
      <c r="O15" s="221" t="n"/>
      <c r="P15" s="222" t="inlineStr">
        <is>
          <t>BOX</t>
        </is>
      </c>
      <c r="Q15" s="293" t="n">
        <v>7266</v>
      </c>
      <c r="R15" s="293" t="n">
        <v>0</v>
      </c>
      <c r="S15" s="293" t="n">
        <v>0</v>
      </c>
      <c r="T15" s="293" t="n">
        <v>7266</v>
      </c>
      <c r="U15" s="293" t="n">
        <v>350</v>
      </c>
      <c r="V15" s="222" t="inlineStr">
        <is>
          <t>ML</t>
        </is>
      </c>
    </row>
    <row r="16">
      <c r="A16" s="220" t="inlineStr">
        <is>
          <t>B117</t>
        </is>
      </c>
      <c r="B16" s="220" t="inlineStr">
        <is>
          <t>CC5782</t>
        </is>
      </c>
      <c r="C16" s="220" t="inlineStr">
        <is>
          <t>S)코크제로 체리 500PET 4X6</t>
        </is>
      </c>
      <c r="D16" s="220" t="inlineStr">
        <is>
          <t>3000</t>
        </is>
      </c>
      <c r="E16" s="220" t="inlineStr">
        <is>
          <t>제/상품창고</t>
        </is>
      </c>
      <c r="F16" s="220" t="inlineStr"/>
      <c r="G16" s="220" t="inlineStr">
        <is>
          <t>BOX</t>
        </is>
      </c>
      <c r="H16" s="220" t="inlineStr">
        <is>
          <t>음료 완제품</t>
        </is>
      </c>
      <c r="I16" s="220" t="inlineStr">
        <is>
          <t>음료제품</t>
        </is>
      </c>
      <c r="J16" s="220" t="inlineStr"/>
      <c r="K16" s="220" t="inlineStr"/>
      <c r="L16" s="220" t="inlineStr"/>
      <c r="M16" s="220" t="inlineStr">
        <is>
          <t>탄산</t>
        </is>
      </c>
      <c r="N16" s="220" t="inlineStr">
        <is>
          <t>Pet</t>
        </is>
      </c>
      <c r="O16" s="221" t="n"/>
      <c r="P16" s="222" t="inlineStr">
        <is>
          <t>BOX</t>
        </is>
      </c>
      <c r="Q16" s="293" t="n">
        <v>3380</v>
      </c>
      <c r="R16" s="293" t="n">
        <v>0</v>
      </c>
      <c r="S16" s="293" t="n">
        <v>0</v>
      </c>
      <c r="T16" s="293" t="n">
        <v>3380</v>
      </c>
      <c r="U16" s="293" t="n">
        <v>500</v>
      </c>
      <c r="V16" s="222" t="inlineStr">
        <is>
          <t>ML</t>
        </is>
      </c>
    </row>
    <row r="17">
      <c r="A17" s="220" t="inlineStr">
        <is>
          <t>B117</t>
        </is>
      </c>
      <c r="B17" s="220" t="inlineStr">
        <is>
          <t>CC6676</t>
        </is>
      </c>
      <c r="C17" s="220" t="inlineStr">
        <is>
          <t>S)코카콜라 500PET 4X6</t>
        </is>
      </c>
      <c r="D17" s="220" t="inlineStr">
        <is>
          <t>3000</t>
        </is>
      </c>
      <c r="E17" s="220" t="inlineStr">
        <is>
          <t>제/상품창고</t>
        </is>
      </c>
      <c r="F17" s="220" t="inlineStr"/>
      <c r="G17" s="220" t="inlineStr">
        <is>
          <t>BOX</t>
        </is>
      </c>
      <c r="H17" s="220" t="inlineStr">
        <is>
          <t>음료 완제품</t>
        </is>
      </c>
      <c r="I17" s="220" t="inlineStr">
        <is>
          <t>음료제품</t>
        </is>
      </c>
      <c r="J17" s="220" t="inlineStr"/>
      <c r="K17" s="220" t="inlineStr"/>
      <c r="L17" s="220" t="inlineStr"/>
      <c r="M17" s="220" t="inlineStr">
        <is>
          <t>탄산</t>
        </is>
      </c>
      <c r="N17" s="220" t="inlineStr">
        <is>
          <t>Pet</t>
        </is>
      </c>
      <c r="O17" s="221" t="n"/>
      <c r="P17" s="222" t="inlineStr">
        <is>
          <t>BOX</t>
        </is>
      </c>
      <c r="Q17" s="293" t="n">
        <v>8545</v>
      </c>
      <c r="R17" s="293" t="n">
        <v>0</v>
      </c>
      <c r="S17" s="293" t="n">
        <v>0</v>
      </c>
      <c r="T17" s="293" t="n">
        <v>8545</v>
      </c>
      <c r="U17" s="293" t="n">
        <v>500</v>
      </c>
      <c r="V17" s="222" t="inlineStr">
        <is>
          <t>ML</t>
        </is>
      </c>
    </row>
    <row r="18">
      <c r="A18" s="220" t="inlineStr">
        <is>
          <t>B117</t>
        </is>
      </c>
      <c r="B18" s="220" t="inlineStr">
        <is>
          <t>CC7923</t>
        </is>
      </c>
      <c r="C18" s="220" t="inlineStr">
        <is>
          <t>S)코카콜라 1.5PET 2X6</t>
        </is>
      </c>
      <c r="D18" s="220" t="inlineStr">
        <is>
          <t>3000</t>
        </is>
      </c>
      <c r="E18" s="220" t="inlineStr">
        <is>
          <t>제/상품창고</t>
        </is>
      </c>
      <c r="F18" s="220" t="inlineStr"/>
      <c r="G18" s="220" t="inlineStr">
        <is>
          <t>BOX</t>
        </is>
      </c>
      <c r="H18" s="220" t="inlineStr">
        <is>
          <t>음료 완제품</t>
        </is>
      </c>
      <c r="I18" s="220" t="inlineStr">
        <is>
          <t>음료제품</t>
        </is>
      </c>
      <c r="J18" s="220" t="inlineStr"/>
      <c r="K18" s="220" t="inlineStr"/>
      <c r="L18" s="220" t="inlineStr"/>
      <c r="M18" s="220" t="inlineStr">
        <is>
          <t>탄산</t>
        </is>
      </c>
      <c r="N18" s="220" t="inlineStr">
        <is>
          <t>Pet</t>
        </is>
      </c>
      <c r="O18" s="221" t="n"/>
      <c r="P18" s="222" t="inlineStr">
        <is>
          <t>BOX</t>
        </is>
      </c>
      <c r="Q18" s="293" t="n">
        <v>7768</v>
      </c>
      <c r="R18" s="293" t="n">
        <v>0</v>
      </c>
      <c r="S18" s="293" t="n">
        <v>0</v>
      </c>
      <c r="T18" s="293" t="n">
        <v>7768</v>
      </c>
      <c r="U18" s="293" t="n">
        <v>1.5</v>
      </c>
      <c r="V18" s="222" t="inlineStr">
        <is>
          <t>L</t>
        </is>
      </c>
    </row>
    <row r="19">
      <c r="A19" s="220" t="inlineStr">
        <is>
          <t>B117</t>
        </is>
      </c>
      <c r="B19" s="220" t="inlineStr">
        <is>
          <t>CC8273</t>
        </is>
      </c>
      <c r="C19" s="220" t="inlineStr">
        <is>
          <t>S)코크제로 250CAN 5X6</t>
        </is>
      </c>
      <c r="D19" s="220" t="inlineStr">
        <is>
          <t>3000</t>
        </is>
      </c>
      <c r="E19" s="220" t="inlineStr">
        <is>
          <t>제/상품창고</t>
        </is>
      </c>
      <c r="F19" s="220" t="inlineStr"/>
      <c r="G19" s="220" t="inlineStr">
        <is>
          <t>BOX</t>
        </is>
      </c>
      <c r="H19" s="220" t="inlineStr">
        <is>
          <t>음료 완제품</t>
        </is>
      </c>
      <c r="I19" s="220" t="inlineStr">
        <is>
          <t>음료제품</t>
        </is>
      </c>
      <c r="J19" s="220" t="inlineStr"/>
      <c r="K19" s="220" t="inlineStr"/>
      <c r="L19" s="220" t="inlineStr"/>
      <c r="M19" s="220" t="inlineStr">
        <is>
          <t>탄산</t>
        </is>
      </c>
      <c r="N19" s="220" t="inlineStr">
        <is>
          <t>Can</t>
        </is>
      </c>
      <c r="O19" s="221" t="n"/>
      <c r="P19" s="222" t="inlineStr">
        <is>
          <t>BOX</t>
        </is>
      </c>
      <c r="Q19" s="293" t="n">
        <v>2042</v>
      </c>
      <c r="R19" s="293" t="n">
        <v>0</v>
      </c>
      <c r="S19" s="293" t="n">
        <v>0</v>
      </c>
      <c r="T19" s="293" t="n">
        <v>2042</v>
      </c>
      <c r="U19" s="293" t="n">
        <v>250</v>
      </c>
      <c r="V19" s="222" t="inlineStr">
        <is>
          <t>ML</t>
        </is>
      </c>
    </row>
    <row r="20">
      <c r="A20" s="220" t="inlineStr">
        <is>
          <t>B117</t>
        </is>
      </c>
      <c r="B20" s="220" t="inlineStr">
        <is>
          <t>CC8429</t>
        </is>
      </c>
      <c r="C20" s="220" t="inlineStr">
        <is>
          <t>S)코크제로 1.5PET 2X6</t>
        </is>
      </c>
      <c r="D20" s="220" t="inlineStr">
        <is>
          <t>3000</t>
        </is>
      </c>
      <c r="E20" s="220" t="inlineStr">
        <is>
          <t>제/상품창고</t>
        </is>
      </c>
      <c r="F20" s="220" t="inlineStr"/>
      <c r="G20" s="220" t="inlineStr">
        <is>
          <t>BOX</t>
        </is>
      </c>
      <c r="H20" s="220" t="inlineStr">
        <is>
          <t>음료 완제품</t>
        </is>
      </c>
      <c r="I20" s="220" t="inlineStr">
        <is>
          <t>음료제품</t>
        </is>
      </c>
      <c r="J20" s="220" t="inlineStr"/>
      <c r="K20" s="220" t="inlineStr"/>
      <c r="L20" s="220" t="inlineStr"/>
      <c r="M20" s="220" t="inlineStr">
        <is>
          <t>탄산</t>
        </is>
      </c>
      <c r="N20" s="220" t="inlineStr">
        <is>
          <t>Pet</t>
        </is>
      </c>
      <c r="O20" s="221" t="n"/>
      <c r="P20" s="222" t="inlineStr">
        <is>
          <t>BOX</t>
        </is>
      </c>
      <c r="Q20" s="293" t="n">
        <v>7424</v>
      </c>
      <c r="R20" s="293" t="n">
        <v>0</v>
      </c>
      <c r="S20" s="293" t="n">
        <v>0</v>
      </c>
      <c r="T20" s="293" t="n">
        <v>7424</v>
      </c>
      <c r="U20" s="293" t="n">
        <v>1.5</v>
      </c>
      <c r="V20" s="222" t="inlineStr">
        <is>
          <t>L</t>
        </is>
      </c>
    </row>
    <row r="21">
      <c r="A21" s="220" t="inlineStr">
        <is>
          <t>B117</t>
        </is>
      </c>
      <c r="B21" s="220" t="inlineStr">
        <is>
          <t>CP4112</t>
        </is>
      </c>
      <c r="C21" s="220" t="inlineStr">
        <is>
          <t>S)코코팜 피치핑크 240CAN 5X6</t>
        </is>
      </c>
      <c r="D21" s="220" t="inlineStr">
        <is>
          <t>3000</t>
        </is>
      </c>
      <c r="E21" s="220" t="inlineStr">
        <is>
          <t>제/상품창고</t>
        </is>
      </c>
      <c r="F21" s="220" t="inlineStr"/>
      <c r="G21" s="220" t="inlineStr">
        <is>
          <t>BOX</t>
        </is>
      </c>
      <c r="H21" s="220" t="inlineStr">
        <is>
          <t>음료 완제품</t>
        </is>
      </c>
      <c r="I21" s="220" t="inlineStr">
        <is>
          <t>음료제품</t>
        </is>
      </c>
      <c r="J21" s="220" t="inlineStr"/>
      <c r="K21" s="220" t="inlineStr"/>
      <c r="L21" s="220" t="inlineStr"/>
      <c r="M21" s="220" t="inlineStr">
        <is>
          <t>비탄산</t>
        </is>
      </c>
      <c r="N21" s="220" t="inlineStr">
        <is>
          <t>Can</t>
        </is>
      </c>
      <c r="O21" s="221" t="n"/>
      <c r="P21" s="222" t="inlineStr">
        <is>
          <t>BOX</t>
        </is>
      </c>
      <c r="Q21" s="293" t="n">
        <v>479</v>
      </c>
      <c r="R21" s="293" t="n">
        <v>0</v>
      </c>
      <c r="S21" s="293" t="n">
        <v>0</v>
      </c>
      <c r="T21" s="293" t="n">
        <v>479</v>
      </c>
      <c r="U21" s="293" t="n">
        <v>240</v>
      </c>
      <c r="V21" s="222" t="inlineStr">
        <is>
          <t>ML</t>
        </is>
      </c>
    </row>
    <row r="22">
      <c r="A22" s="220" t="inlineStr">
        <is>
          <t>B117</t>
        </is>
      </c>
      <c r="B22" s="220" t="inlineStr">
        <is>
          <t>CP4125</t>
        </is>
      </c>
      <c r="C22" s="220" t="inlineStr">
        <is>
          <t>S)코코팜 포도 340CAN 4X6</t>
        </is>
      </c>
      <c r="D22" s="220" t="inlineStr">
        <is>
          <t>3000</t>
        </is>
      </c>
      <c r="E22" s="220" t="inlineStr">
        <is>
          <t>제/상품창고</t>
        </is>
      </c>
      <c r="F22" s="220" t="inlineStr"/>
      <c r="G22" s="220" t="inlineStr">
        <is>
          <t>BOX</t>
        </is>
      </c>
      <c r="H22" s="220" t="inlineStr">
        <is>
          <t>음료 완제품</t>
        </is>
      </c>
      <c r="I22" s="220" t="inlineStr">
        <is>
          <t>음료제품</t>
        </is>
      </c>
      <c r="J22" s="220" t="inlineStr"/>
      <c r="K22" s="220" t="inlineStr"/>
      <c r="L22" s="220" t="inlineStr"/>
      <c r="M22" s="220" t="inlineStr">
        <is>
          <t>비탄산</t>
        </is>
      </c>
      <c r="N22" s="220" t="inlineStr">
        <is>
          <t>Can</t>
        </is>
      </c>
      <c r="O22" s="221" t="n"/>
      <c r="P22" s="222" t="inlineStr">
        <is>
          <t>BOX</t>
        </is>
      </c>
      <c r="Q22" s="293" t="n">
        <v>501</v>
      </c>
      <c r="R22" s="293" t="n">
        <v>0</v>
      </c>
      <c r="S22" s="293" t="n">
        <v>0</v>
      </c>
      <c r="T22" s="293" t="n">
        <v>501</v>
      </c>
      <c r="U22" s="293" t="n">
        <v>340</v>
      </c>
      <c r="V22" s="222" t="inlineStr">
        <is>
          <t>ML</t>
        </is>
      </c>
    </row>
    <row r="23">
      <c r="A23" s="220" t="inlineStr">
        <is>
          <t>B117</t>
        </is>
      </c>
      <c r="B23" s="220" t="inlineStr">
        <is>
          <t>CP4281</t>
        </is>
      </c>
      <c r="C23" s="220" t="inlineStr">
        <is>
          <t>S)코코팜 화이트 240CAN 5X6</t>
        </is>
      </c>
      <c r="D23" s="220" t="inlineStr">
        <is>
          <t>3000</t>
        </is>
      </c>
      <c r="E23" s="220" t="inlineStr">
        <is>
          <t>제/상품창고</t>
        </is>
      </c>
      <c r="F23" s="220" t="inlineStr"/>
      <c r="G23" s="220" t="inlineStr">
        <is>
          <t>BOX</t>
        </is>
      </c>
      <c r="H23" s="220" t="inlineStr">
        <is>
          <t>음료 완제품</t>
        </is>
      </c>
      <c r="I23" s="220" t="inlineStr">
        <is>
          <t>음료제품</t>
        </is>
      </c>
      <c r="J23" s="220" t="inlineStr"/>
      <c r="K23" s="220" t="inlineStr"/>
      <c r="L23" s="220" t="inlineStr"/>
      <c r="M23" s="220" t="inlineStr">
        <is>
          <t>비탄산</t>
        </is>
      </c>
      <c r="N23" s="220" t="inlineStr">
        <is>
          <t>Can</t>
        </is>
      </c>
      <c r="O23" s="221" t="n"/>
      <c r="P23" s="222" t="inlineStr">
        <is>
          <t>BOX</t>
        </is>
      </c>
      <c r="Q23" s="293" t="n">
        <v>437</v>
      </c>
      <c r="R23" s="293" t="n">
        <v>0</v>
      </c>
      <c r="S23" s="293" t="n">
        <v>0</v>
      </c>
      <c r="T23" s="293" t="n">
        <v>437</v>
      </c>
      <c r="U23" s="293" t="n">
        <v>240</v>
      </c>
      <c r="V23" s="222" t="inlineStr">
        <is>
          <t>ML</t>
        </is>
      </c>
    </row>
    <row r="24">
      <c r="A24" s="220" t="inlineStr">
        <is>
          <t>B117</t>
        </is>
      </c>
      <c r="B24" s="220" t="inlineStr">
        <is>
          <t>DP0439</t>
        </is>
      </c>
      <c r="C24" s="220" t="inlineStr">
        <is>
          <t>S)닥터페퍼제로 스트로베리&amp;크림 350CAN4X6</t>
        </is>
      </c>
      <c r="D24" s="220" t="inlineStr">
        <is>
          <t>3000</t>
        </is>
      </c>
      <c r="E24" s="220" t="inlineStr">
        <is>
          <t>제/상품창고</t>
        </is>
      </c>
      <c r="F24" s="220" t="inlineStr"/>
      <c r="G24" s="220" t="inlineStr">
        <is>
          <t>BOX</t>
        </is>
      </c>
      <c r="H24" s="220" t="inlineStr">
        <is>
          <t>음료 완제품</t>
        </is>
      </c>
      <c r="I24" s="220" t="inlineStr">
        <is>
          <t>음료제품</t>
        </is>
      </c>
      <c r="J24" s="220" t="inlineStr"/>
      <c r="K24" s="220" t="inlineStr"/>
      <c r="L24" s="220" t="inlineStr"/>
      <c r="M24" s="220" t="inlineStr">
        <is>
          <t>탄산</t>
        </is>
      </c>
      <c r="N24" s="220" t="inlineStr">
        <is>
          <t>Can</t>
        </is>
      </c>
      <c r="O24" s="221" t="n"/>
      <c r="P24" s="222" t="inlineStr">
        <is>
          <t>BOX</t>
        </is>
      </c>
      <c r="Q24" s="293" t="n">
        <v>2580</v>
      </c>
      <c r="R24" s="293" t="n">
        <v>0</v>
      </c>
      <c r="S24" s="293" t="n">
        <v>0</v>
      </c>
      <c r="T24" s="293" t="n">
        <v>2580</v>
      </c>
      <c r="U24" s="293" t="n">
        <v>350</v>
      </c>
      <c r="V24" s="222" t="inlineStr">
        <is>
          <t>ML</t>
        </is>
      </c>
    </row>
    <row r="25">
      <c r="A25" s="220" t="inlineStr">
        <is>
          <t>B117</t>
        </is>
      </c>
      <c r="B25" s="220" t="inlineStr">
        <is>
          <t>DP7988</t>
        </is>
      </c>
      <c r="C25" s="220" t="inlineStr">
        <is>
          <t>S)닥터페퍼 500PET 4X6</t>
        </is>
      </c>
      <c r="D25" s="220" t="inlineStr">
        <is>
          <t>3000</t>
        </is>
      </c>
      <c r="E25" s="220" t="inlineStr">
        <is>
          <t>제/상품창고</t>
        </is>
      </c>
      <c r="F25" s="220" t="inlineStr"/>
      <c r="G25" s="220" t="inlineStr">
        <is>
          <t>BOX</t>
        </is>
      </c>
      <c r="H25" s="220" t="inlineStr">
        <is>
          <t>음료 완제품</t>
        </is>
      </c>
      <c r="I25" s="220" t="inlineStr">
        <is>
          <t>음료제품</t>
        </is>
      </c>
      <c r="J25" s="220" t="inlineStr"/>
      <c r="K25" s="220" t="inlineStr"/>
      <c r="L25" s="220" t="inlineStr"/>
      <c r="M25" s="220" t="inlineStr">
        <is>
          <t>탄산</t>
        </is>
      </c>
      <c r="N25" s="220" t="inlineStr">
        <is>
          <t>Pet</t>
        </is>
      </c>
      <c r="O25" s="221" t="n"/>
      <c r="P25" s="222" t="inlineStr">
        <is>
          <t>BOX</t>
        </is>
      </c>
      <c r="Q25" s="293" t="n">
        <v>1552</v>
      </c>
      <c r="R25" s="293" t="n">
        <v>0</v>
      </c>
      <c r="S25" s="293" t="n">
        <v>0</v>
      </c>
      <c r="T25" s="293" t="n">
        <v>1552</v>
      </c>
      <c r="U25" s="293" t="n">
        <v>500</v>
      </c>
      <c r="V25" s="222" t="inlineStr">
        <is>
          <t>ML</t>
        </is>
      </c>
    </row>
    <row r="26">
      <c r="A26" s="220" t="inlineStr">
        <is>
          <t>B117</t>
        </is>
      </c>
      <c r="B26" s="220" t="inlineStr">
        <is>
          <t>DP7994</t>
        </is>
      </c>
      <c r="C26" s="220" t="inlineStr">
        <is>
          <t>S)닥터페퍼 제로 350CAN 4X6</t>
        </is>
      </c>
      <c r="D26" s="220" t="inlineStr">
        <is>
          <t>3000</t>
        </is>
      </c>
      <c r="E26" s="220" t="inlineStr">
        <is>
          <t>제/상품창고</t>
        </is>
      </c>
      <c r="F26" s="220" t="inlineStr"/>
      <c r="G26" s="220" t="inlineStr">
        <is>
          <t>BOX</t>
        </is>
      </c>
      <c r="H26" s="220" t="inlineStr">
        <is>
          <t>음료 완제품</t>
        </is>
      </c>
      <c r="I26" s="220" t="inlineStr">
        <is>
          <t>음료제품</t>
        </is>
      </c>
      <c r="J26" s="220" t="inlineStr"/>
      <c r="K26" s="220" t="inlineStr"/>
      <c r="L26" s="220" t="inlineStr"/>
      <c r="M26" s="220" t="inlineStr">
        <is>
          <t>탄산</t>
        </is>
      </c>
      <c r="N26" s="220" t="inlineStr">
        <is>
          <t>Can</t>
        </is>
      </c>
      <c r="O26" s="221" t="n"/>
      <c r="P26" s="222" t="inlineStr">
        <is>
          <t>BOX</t>
        </is>
      </c>
      <c r="Q26" s="293" t="n">
        <v>3852</v>
      </c>
      <c r="R26" s="293" t="n">
        <v>0</v>
      </c>
      <c r="S26" s="293" t="n">
        <v>0</v>
      </c>
      <c r="T26" s="293" t="n">
        <v>3852</v>
      </c>
      <c r="U26" s="293" t="n">
        <v>350</v>
      </c>
      <c r="V26" s="222" t="inlineStr">
        <is>
          <t>ML</t>
        </is>
      </c>
    </row>
    <row r="27">
      <c r="A27" s="220" t="inlineStr">
        <is>
          <t>B117</t>
        </is>
      </c>
      <c r="B27" s="220" t="inlineStr">
        <is>
          <t>FT4177</t>
        </is>
      </c>
      <c r="C27" s="220" t="inlineStr">
        <is>
          <t>S)환타 오렌지 350CAN 4X6</t>
        </is>
      </c>
      <c r="D27" s="220" t="inlineStr">
        <is>
          <t>3000</t>
        </is>
      </c>
      <c r="E27" s="220" t="inlineStr">
        <is>
          <t>제/상품창고</t>
        </is>
      </c>
      <c r="F27" s="220" t="inlineStr"/>
      <c r="G27" s="220" t="inlineStr">
        <is>
          <t>BOX</t>
        </is>
      </c>
      <c r="H27" s="220" t="inlineStr">
        <is>
          <t>음료 완제품</t>
        </is>
      </c>
      <c r="I27" s="220" t="inlineStr">
        <is>
          <t>음료제품</t>
        </is>
      </c>
      <c r="J27" s="220" t="inlineStr"/>
      <c r="K27" s="220" t="inlineStr"/>
      <c r="L27" s="220" t="inlineStr"/>
      <c r="M27" s="220" t="inlineStr">
        <is>
          <t>탄산</t>
        </is>
      </c>
      <c r="N27" s="220" t="inlineStr">
        <is>
          <t>Can</t>
        </is>
      </c>
      <c r="O27" s="221" t="n"/>
      <c r="P27" s="222" t="inlineStr">
        <is>
          <t>BOX</t>
        </is>
      </c>
      <c r="Q27" s="293" t="n">
        <v>665</v>
      </c>
      <c r="R27" s="293" t="n">
        <v>0</v>
      </c>
      <c r="S27" s="293" t="n">
        <v>0</v>
      </c>
      <c r="T27" s="293" t="n">
        <v>665</v>
      </c>
      <c r="U27" s="293" t="n">
        <v>350</v>
      </c>
      <c r="V27" s="222" t="inlineStr">
        <is>
          <t>ML</t>
        </is>
      </c>
    </row>
    <row r="28">
      <c r="A28" s="220" t="inlineStr">
        <is>
          <t>B117</t>
        </is>
      </c>
      <c r="B28" s="220" t="inlineStr">
        <is>
          <t>FT4181</t>
        </is>
      </c>
      <c r="C28" s="220" t="inlineStr">
        <is>
          <t>S)환타 제로 파인 350CAN 4X6</t>
        </is>
      </c>
      <c r="D28" s="220" t="inlineStr">
        <is>
          <t>3000</t>
        </is>
      </c>
      <c r="E28" s="220" t="inlineStr">
        <is>
          <t>제/상품창고</t>
        </is>
      </c>
      <c r="F28" s="220" t="inlineStr"/>
      <c r="G28" s="220" t="inlineStr">
        <is>
          <t>BOX</t>
        </is>
      </c>
      <c r="H28" s="220" t="inlineStr">
        <is>
          <t>음료 완제품</t>
        </is>
      </c>
      <c r="I28" s="220" t="inlineStr">
        <is>
          <t>음료제품</t>
        </is>
      </c>
      <c r="J28" s="220" t="inlineStr"/>
      <c r="K28" s="220" t="inlineStr"/>
      <c r="L28" s="220" t="inlineStr"/>
      <c r="M28" s="220" t="inlineStr">
        <is>
          <t>탄산</t>
        </is>
      </c>
      <c r="N28" s="220" t="inlineStr">
        <is>
          <t>Can</t>
        </is>
      </c>
      <c r="O28" s="221" t="n"/>
      <c r="P28" s="222" t="inlineStr">
        <is>
          <t>BOX</t>
        </is>
      </c>
      <c r="Q28" s="293" t="n">
        <v>1958</v>
      </c>
      <c r="R28" s="293" t="n">
        <v>0</v>
      </c>
      <c r="S28" s="293" t="n">
        <v>0</v>
      </c>
      <c r="T28" s="293" t="n">
        <v>1958</v>
      </c>
      <c r="U28" s="293" t="n">
        <v>350</v>
      </c>
      <c r="V28" s="222" t="inlineStr">
        <is>
          <t>ML</t>
        </is>
      </c>
    </row>
    <row r="29">
      <c r="A29" s="220" t="inlineStr">
        <is>
          <t>B117</t>
        </is>
      </c>
      <c r="B29" s="220" t="inlineStr">
        <is>
          <t>FT4182</t>
        </is>
      </c>
      <c r="C29" s="220" t="inlineStr">
        <is>
          <t>S)환타 제로 오렌지 350CAN 4X6</t>
        </is>
      </c>
      <c r="D29" s="220" t="inlineStr">
        <is>
          <t>3000</t>
        </is>
      </c>
      <c r="E29" s="220" t="inlineStr">
        <is>
          <t>제/상품창고</t>
        </is>
      </c>
      <c r="F29" s="220" t="inlineStr"/>
      <c r="G29" s="220" t="inlineStr">
        <is>
          <t>BOX</t>
        </is>
      </c>
      <c r="H29" s="220" t="inlineStr">
        <is>
          <t>음료 완제품</t>
        </is>
      </c>
      <c r="I29" s="220" t="inlineStr">
        <is>
          <t>음료제품</t>
        </is>
      </c>
      <c r="J29" s="220" t="inlineStr"/>
      <c r="K29" s="220" t="inlineStr"/>
      <c r="L29" s="220" t="inlineStr"/>
      <c r="M29" s="220" t="inlineStr">
        <is>
          <t>탄산</t>
        </is>
      </c>
      <c r="N29" s="220" t="inlineStr">
        <is>
          <t>Can</t>
        </is>
      </c>
      <c r="O29" s="221" t="n"/>
      <c r="P29" s="222" t="inlineStr">
        <is>
          <t>BOX</t>
        </is>
      </c>
      <c r="Q29" s="293" t="n">
        <v>930</v>
      </c>
      <c r="R29" s="293" t="n">
        <v>0</v>
      </c>
      <c r="S29" s="293" t="n">
        <v>0</v>
      </c>
      <c r="T29" s="293" t="n">
        <v>930</v>
      </c>
      <c r="U29" s="293" t="n">
        <v>350</v>
      </c>
      <c r="V29" s="222" t="inlineStr">
        <is>
          <t>ML</t>
        </is>
      </c>
    </row>
    <row r="30">
      <c r="A30" s="220" t="inlineStr">
        <is>
          <t>B117</t>
        </is>
      </c>
      <c r="B30" s="220" t="inlineStr">
        <is>
          <t>FT4183</t>
        </is>
      </c>
      <c r="C30" s="220" t="inlineStr">
        <is>
          <t>S)환타 멜론 600PET 4X6</t>
        </is>
      </c>
      <c r="D30" s="220" t="inlineStr">
        <is>
          <t>3000</t>
        </is>
      </c>
      <c r="E30" s="220" t="inlineStr">
        <is>
          <t>제/상품창고</t>
        </is>
      </c>
      <c r="F30" s="220" t="inlineStr"/>
      <c r="G30" s="220" t="inlineStr">
        <is>
          <t>BOX</t>
        </is>
      </c>
      <c r="H30" s="220" t="inlineStr">
        <is>
          <t>음료 완제품</t>
        </is>
      </c>
      <c r="I30" s="220" t="inlineStr">
        <is>
          <t>음료제품</t>
        </is>
      </c>
      <c r="J30" s="220" t="inlineStr"/>
      <c r="K30" s="220" t="inlineStr"/>
      <c r="L30" s="220" t="inlineStr"/>
      <c r="M30" s="220" t="inlineStr">
        <is>
          <t>탄산</t>
        </is>
      </c>
      <c r="N30" s="220" t="inlineStr">
        <is>
          <t>Pet</t>
        </is>
      </c>
      <c r="O30" s="221" t="n"/>
      <c r="P30" s="222" t="inlineStr">
        <is>
          <t>BOX</t>
        </is>
      </c>
      <c r="Q30" s="293" t="n">
        <v>3325</v>
      </c>
      <c r="R30" s="293" t="n">
        <v>0</v>
      </c>
      <c r="S30" s="293" t="n">
        <v>0</v>
      </c>
      <c r="T30" s="293" t="n">
        <v>3325</v>
      </c>
      <c r="U30" s="293" t="n">
        <v>600</v>
      </c>
      <c r="V30" s="222" t="inlineStr">
        <is>
          <t>ML</t>
        </is>
      </c>
    </row>
    <row r="31">
      <c r="A31" s="220" t="inlineStr">
        <is>
          <t>B117</t>
        </is>
      </c>
      <c r="B31" s="220" t="inlineStr">
        <is>
          <t>FT4823</t>
        </is>
      </c>
      <c r="C31" s="220" t="inlineStr">
        <is>
          <t>S)환타 오렌지 250CAN 5X6</t>
        </is>
      </c>
      <c r="D31" s="220" t="inlineStr">
        <is>
          <t>3000</t>
        </is>
      </c>
      <c r="E31" s="220" t="inlineStr">
        <is>
          <t>제/상품창고</t>
        </is>
      </c>
      <c r="F31" s="220" t="inlineStr"/>
      <c r="G31" s="220" t="inlineStr">
        <is>
          <t>BOX</t>
        </is>
      </c>
      <c r="H31" s="220" t="inlineStr">
        <is>
          <t>음료 완제품</t>
        </is>
      </c>
      <c r="I31" s="220" t="inlineStr">
        <is>
          <t>음료제품</t>
        </is>
      </c>
      <c r="J31" s="220" t="inlineStr"/>
      <c r="K31" s="220" t="inlineStr"/>
      <c r="L31" s="220" t="inlineStr"/>
      <c r="M31" s="220" t="inlineStr">
        <is>
          <t>탄산</t>
        </is>
      </c>
      <c r="N31" s="220" t="inlineStr">
        <is>
          <t>Can</t>
        </is>
      </c>
      <c r="O31" s="221" t="n"/>
      <c r="P31" s="222" t="inlineStr">
        <is>
          <t>BOX</t>
        </is>
      </c>
      <c r="Q31" s="293" t="n">
        <v>1251</v>
      </c>
      <c r="R31" s="293" t="n">
        <v>0</v>
      </c>
      <c r="S31" s="293" t="n">
        <v>0</v>
      </c>
      <c r="T31" s="293" t="n">
        <v>1251</v>
      </c>
      <c r="U31" s="293" t="n">
        <v>250</v>
      </c>
      <c r="V31" s="222" t="inlineStr">
        <is>
          <t>ML</t>
        </is>
      </c>
    </row>
    <row r="32">
      <c r="A32" s="220" t="inlineStr">
        <is>
          <t>B117</t>
        </is>
      </c>
      <c r="B32" s="220" t="inlineStr">
        <is>
          <t>FT5312</t>
        </is>
      </c>
      <c r="C32" s="220" t="inlineStr">
        <is>
          <t>S)환타 파인 250CAN 5X6</t>
        </is>
      </c>
      <c r="D32" s="220" t="inlineStr">
        <is>
          <t>3000</t>
        </is>
      </c>
      <c r="E32" s="220" t="inlineStr">
        <is>
          <t>제/상품창고</t>
        </is>
      </c>
      <c r="F32" s="220" t="inlineStr"/>
      <c r="G32" s="220" t="inlineStr">
        <is>
          <t>BOX</t>
        </is>
      </c>
      <c r="H32" s="220" t="inlineStr">
        <is>
          <t>음료 완제품</t>
        </is>
      </c>
      <c r="I32" s="220" t="inlineStr">
        <is>
          <t>음료제품</t>
        </is>
      </c>
      <c r="J32" s="220" t="inlineStr"/>
      <c r="K32" s="220" t="inlineStr"/>
      <c r="L32" s="220" t="inlineStr"/>
      <c r="M32" s="220" t="inlineStr">
        <is>
          <t>탄산</t>
        </is>
      </c>
      <c r="N32" s="220" t="inlineStr">
        <is>
          <t>Can</t>
        </is>
      </c>
      <c r="O32" s="221" t="n"/>
      <c r="P32" s="222" t="inlineStr">
        <is>
          <t>BOX</t>
        </is>
      </c>
      <c r="Q32" s="293" t="n">
        <v>649</v>
      </c>
      <c r="R32" s="293" t="n">
        <v>0</v>
      </c>
      <c r="S32" s="293" t="n">
        <v>0</v>
      </c>
      <c r="T32" s="293" t="n">
        <v>649</v>
      </c>
      <c r="U32" s="293" t="n">
        <v>250</v>
      </c>
      <c r="V32" s="222" t="inlineStr">
        <is>
          <t>ML</t>
        </is>
      </c>
    </row>
    <row r="33">
      <c r="A33" s="220" t="inlineStr">
        <is>
          <t>B117</t>
        </is>
      </c>
      <c r="B33" s="220" t="inlineStr">
        <is>
          <t>FT5748</t>
        </is>
      </c>
      <c r="C33" s="220" t="inlineStr">
        <is>
          <t>S)환타 오렌지 600PET 4X6</t>
        </is>
      </c>
      <c r="D33" s="220" t="inlineStr">
        <is>
          <t>3000</t>
        </is>
      </c>
      <c r="E33" s="220" t="inlineStr">
        <is>
          <t>제/상품창고</t>
        </is>
      </c>
      <c r="F33" s="220" t="inlineStr"/>
      <c r="G33" s="220" t="inlineStr">
        <is>
          <t>BOX</t>
        </is>
      </c>
      <c r="H33" s="220" t="inlineStr">
        <is>
          <t>음료 완제품</t>
        </is>
      </c>
      <c r="I33" s="220" t="inlineStr">
        <is>
          <t>음료제품</t>
        </is>
      </c>
      <c r="J33" s="220" t="inlineStr"/>
      <c r="K33" s="220" t="inlineStr"/>
      <c r="L33" s="220" t="inlineStr"/>
      <c r="M33" s="220" t="inlineStr">
        <is>
          <t>탄산</t>
        </is>
      </c>
      <c r="N33" s="220" t="inlineStr">
        <is>
          <t>Pet</t>
        </is>
      </c>
      <c r="O33" s="221" t="n"/>
      <c r="P33" s="222" t="inlineStr">
        <is>
          <t>BOX</t>
        </is>
      </c>
      <c r="Q33" s="293" t="n">
        <v>2341</v>
      </c>
      <c r="R33" s="293" t="n">
        <v>0</v>
      </c>
      <c r="S33" s="293" t="n">
        <v>0</v>
      </c>
      <c r="T33" s="293" t="n">
        <v>2341</v>
      </c>
      <c r="U33" s="293" t="n">
        <v>600</v>
      </c>
      <c r="V33" s="222" t="inlineStr">
        <is>
          <t>ML</t>
        </is>
      </c>
    </row>
    <row r="34">
      <c r="A34" s="220" t="inlineStr">
        <is>
          <t>B117</t>
        </is>
      </c>
      <c r="B34" s="220" t="inlineStr">
        <is>
          <t>FT5749</t>
        </is>
      </c>
      <c r="C34" s="220" t="inlineStr">
        <is>
          <t>S)환타 파인 600PET 4X6</t>
        </is>
      </c>
      <c r="D34" s="220" t="inlineStr">
        <is>
          <t>3000</t>
        </is>
      </c>
      <c r="E34" s="220" t="inlineStr">
        <is>
          <t>제/상품창고</t>
        </is>
      </c>
      <c r="F34" s="220" t="inlineStr"/>
      <c r="G34" s="220" t="inlineStr">
        <is>
          <t>BOX</t>
        </is>
      </c>
      <c r="H34" s="220" t="inlineStr">
        <is>
          <t>음료 완제품</t>
        </is>
      </c>
      <c r="I34" s="220" t="inlineStr">
        <is>
          <t>음료제품</t>
        </is>
      </c>
      <c r="J34" s="220" t="inlineStr"/>
      <c r="K34" s="220" t="inlineStr"/>
      <c r="L34" s="220" t="inlineStr"/>
      <c r="M34" s="220" t="inlineStr">
        <is>
          <t>탄산</t>
        </is>
      </c>
      <c r="N34" s="220" t="inlineStr">
        <is>
          <t>Pet</t>
        </is>
      </c>
      <c r="O34" s="221" t="n"/>
      <c r="P34" s="222" t="inlineStr">
        <is>
          <t>BOX</t>
        </is>
      </c>
      <c r="Q34" s="293" t="n">
        <v>1613</v>
      </c>
      <c r="R34" s="293" t="n">
        <v>0</v>
      </c>
      <c r="S34" s="293" t="n">
        <v>0</v>
      </c>
      <c r="T34" s="293" t="n">
        <v>1613</v>
      </c>
      <c r="U34" s="293" t="n">
        <v>600</v>
      </c>
      <c r="V34" s="222" t="inlineStr">
        <is>
          <t>ML</t>
        </is>
      </c>
    </row>
    <row r="35">
      <c r="A35" s="220" t="inlineStr">
        <is>
          <t>B117</t>
        </is>
      </c>
      <c r="B35" s="220" t="inlineStr">
        <is>
          <t>FT6349</t>
        </is>
      </c>
      <c r="C35" s="220" t="inlineStr">
        <is>
          <t>S)환타 오렌지 1.5PET 2X6</t>
        </is>
      </c>
      <c r="D35" s="220" t="inlineStr">
        <is>
          <t>3000</t>
        </is>
      </c>
      <c r="E35" s="220" t="inlineStr">
        <is>
          <t>제/상품창고</t>
        </is>
      </c>
      <c r="F35" s="220" t="inlineStr"/>
      <c r="G35" s="220" t="inlineStr">
        <is>
          <t>BOX</t>
        </is>
      </c>
      <c r="H35" s="220" t="inlineStr">
        <is>
          <t>음료 완제품</t>
        </is>
      </c>
      <c r="I35" s="220" t="inlineStr">
        <is>
          <t>음료제품</t>
        </is>
      </c>
      <c r="J35" s="220" t="inlineStr"/>
      <c r="K35" s="220" t="inlineStr"/>
      <c r="L35" s="220" t="inlineStr"/>
      <c r="M35" s="220" t="inlineStr">
        <is>
          <t>탄산</t>
        </is>
      </c>
      <c r="N35" s="220" t="inlineStr">
        <is>
          <t>Pet</t>
        </is>
      </c>
      <c r="O35" s="221" t="n"/>
      <c r="P35" s="222" t="inlineStr">
        <is>
          <t>BOX</t>
        </is>
      </c>
      <c r="Q35" s="293" t="n">
        <v>2226</v>
      </c>
      <c r="R35" s="293" t="n">
        <v>0</v>
      </c>
      <c r="S35" s="293" t="n">
        <v>0</v>
      </c>
      <c r="T35" s="293" t="n">
        <v>2226</v>
      </c>
      <c r="U35" s="293" t="n">
        <v>1.5</v>
      </c>
      <c r="V35" s="222" t="inlineStr">
        <is>
          <t>L</t>
        </is>
      </c>
    </row>
    <row r="36">
      <c r="A36" s="220" t="inlineStr">
        <is>
          <t>B117</t>
        </is>
      </c>
      <c r="B36" s="220" t="inlineStr">
        <is>
          <t>GG4872</t>
        </is>
      </c>
      <c r="C36" s="220" t="inlineStr">
        <is>
          <t>S)조지아 오리지널 240CAN 5X6</t>
        </is>
      </c>
      <c r="D36" s="220" t="inlineStr">
        <is>
          <t>3000</t>
        </is>
      </c>
      <c r="E36" s="220" t="inlineStr">
        <is>
          <t>제/상품창고</t>
        </is>
      </c>
      <c r="F36" s="220" t="inlineStr"/>
      <c r="G36" s="220" t="inlineStr">
        <is>
          <t>BOX</t>
        </is>
      </c>
      <c r="H36" s="220" t="inlineStr">
        <is>
          <t>음료 완제품</t>
        </is>
      </c>
      <c r="I36" s="220" t="inlineStr">
        <is>
          <t>음료제품</t>
        </is>
      </c>
      <c r="J36" s="220" t="inlineStr"/>
      <c r="K36" s="220" t="inlineStr"/>
      <c r="L36" s="220" t="inlineStr"/>
      <c r="M36" s="220" t="inlineStr">
        <is>
          <t>비탄산</t>
        </is>
      </c>
      <c r="N36" s="220" t="inlineStr">
        <is>
          <t>Can</t>
        </is>
      </c>
      <c r="O36" s="221" t="n"/>
      <c r="P36" s="222" t="inlineStr">
        <is>
          <t>BOX</t>
        </is>
      </c>
      <c r="Q36" s="293" t="n">
        <v>4635</v>
      </c>
      <c r="R36" s="293" t="n">
        <v>0</v>
      </c>
      <c r="S36" s="293" t="n">
        <v>0</v>
      </c>
      <c r="T36" s="293" t="n">
        <v>4635</v>
      </c>
      <c r="U36" s="293" t="n">
        <v>240</v>
      </c>
      <c r="V36" s="222" t="inlineStr">
        <is>
          <t>ML</t>
        </is>
      </c>
    </row>
    <row r="37">
      <c r="A37" s="220" t="inlineStr">
        <is>
          <t>B117</t>
        </is>
      </c>
      <c r="B37" s="220" t="inlineStr">
        <is>
          <t>GG4879</t>
        </is>
      </c>
      <c r="C37" s="220" t="inlineStr">
        <is>
          <t>S)조지아 카페라떼 240CAN 5X6</t>
        </is>
      </c>
      <c r="D37" s="220" t="inlineStr">
        <is>
          <t>3000</t>
        </is>
      </c>
      <c r="E37" s="220" t="inlineStr">
        <is>
          <t>제/상품창고</t>
        </is>
      </c>
      <c r="F37" s="220" t="inlineStr"/>
      <c r="G37" s="220" t="inlineStr">
        <is>
          <t>BOX</t>
        </is>
      </c>
      <c r="H37" s="220" t="inlineStr">
        <is>
          <t>음료 완제품</t>
        </is>
      </c>
      <c r="I37" s="220" t="inlineStr">
        <is>
          <t>음료제품</t>
        </is>
      </c>
      <c r="J37" s="220" t="inlineStr"/>
      <c r="K37" s="220" t="inlineStr"/>
      <c r="L37" s="220" t="inlineStr"/>
      <c r="M37" s="220" t="inlineStr">
        <is>
          <t>비탄산</t>
        </is>
      </c>
      <c r="N37" s="220" t="inlineStr">
        <is>
          <t>Can</t>
        </is>
      </c>
      <c r="O37" s="221" t="n"/>
      <c r="P37" s="222" t="inlineStr">
        <is>
          <t>BOX</t>
        </is>
      </c>
      <c r="Q37" s="293" t="n">
        <v>716</v>
      </c>
      <c r="R37" s="293" t="n">
        <v>0</v>
      </c>
      <c r="S37" s="293" t="n">
        <v>0</v>
      </c>
      <c r="T37" s="293" t="n">
        <v>716</v>
      </c>
      <c r="U37" s="293" t="n">
        <v>240</v>
      </c>
      <c r="V37" s="222" t="inlineStr">
        <is>
          <t>ML</t>
        </is>
      </c>
    </row>
    <row r="38">
      <c r="A38" s="220" t="inlineStr">
        <is>
          <t>B117</t>
        </is>
      </c>
      <c r="B38" s="220" t="inlineStr">
        <is>
          <t>GG4899</t>
        </is>
      </c>
      <c r="C38" s="220" t="inlineStr">
        <is>
          <t>S)조지아 맥스 240CAN 5X6</t>
        </is>
      </c>
      <c r="D38" s="220" t="inlineStr">
        <is>
          <t>3000</t>
        </is>
      </c>
      <c r="E38" s="220" t="inlineStr">
        <is>
          <t>제/상품창고</t>
        </is>
      </c>
      <c r="F38" s="220" t="inlineStr"/>
      <c r="G38" s="220" t="inlineStr">
        <is>
          <t>BOX</t>
        </is>
      </c>
      <c r="H38" s="220" t="inlineStr">
        <is>
          <t>음료 완제품</t>
        </is>
      </c>
      <c r="I38" s="220" t="inlineStr">
        <is>
          <t>음료제품</t>
        </is>
      </c>
      <c r="J38" s="220" t="inlineStr"/>
      <c r="K38" s="220" t="inlineStr"/>
      <c r="L38" s="220" t="inlineStr"/>
      <c r="M38" s="220" t="inlineStr">
        <is>
          <t>비탄산</t>
        </is>
      </c>
      <c r="N38" s="220" t="inlineStr">
        <is>
          <t>Can</t>
        </is>
      </c>
      <c r="O38" s="221" t="n"/>
      <c r="P38" s="222" t="inlineStr">
        <is>
          <t>BOX</t>
        </is>
      </c>
      <c r="Q38" s="293" t="n">
        <v>1596</v>
      </c>
      <c r="R38" s="293" t="n">
        <v>0</v>
      </c>
      <c r="S38" s="293" t="n">
        <v>0</v>
      </c>
      <c r="T38" s="293" t="n">
        <v>1596</v>
      </c>
      <c r="U38" s="293" t="n">
        <v>240</v>
      </c>
      <c r="V38" s="222" t="inlineStr">
        <is>
          <t>ML</t>
        </is>
      </c>
    </row>
    <row r="39">
      <c r="A39" s="220" t="inlineStr">
        <is>
          <t>B117</t>
        </is>
      </c>
      <c r="B39" s="220" t="inlineStr">
        <is>
          <t>GG8058</t>
        </is>
      </c>
      <c r="C39" s="220" t="inlineStr">
        <is>
          <t>S)조지아 스위트블랙 470PET 4X6</t>
        </is>
      </c>
      <c r="D39" s="220" t="inlineStr">
        <is>
          <t>3000</t>
        </is>
      </c>
      <c r="E39" s="220" t="inlineStr">
        <is>
          <t>제/상품창고</t>
        </is>
      </c>
      <c r="F39" s="220" t="inlineStr"/>
      <c r="G39" s="220" t="inlineStr">
        <is>
          <t>BOX</t>
        </is>
      </c>
      <c r="H39" s="220" t="inlineStr">
        <is>
          <t>음료 완제품</t>
        </is>
      </c>
      <c r="I39" s="220" t="inlineStr">
        <is>
          <t>음료제품</t>
        </is>
      </c>
      <c r="J39" s="220" t="inlineStr"/>
      <c r="K39" s="220" t="inlineStr"/>
      <c r="L39" s="220" t="inlineStr"/>
      <c r="M39" s="220" t="inlineStr">
        <is>
          <t>비탄산</t>
        </is>
      </c>
      <c r="N39" s="220" t="inlineStr">
        <is>
          <t>Pet</t>
        </is>
      </c>
      <c r="O39" s="221" t="n"/>
      <c r="P39" s="222" t="inlineStr">
        <is>
          <t>BOX</t>
        </is>
      </c>
      <c r="Q39" s="293" t="n">
        <v>2861</v>
      </c>
      <c r="R39" s="293" t="n">
        <v>0</v>
      </c>
      <c r="S39" s="293" t="n">
        <v>0</v>
      </c>
      <c r="T39" s="293" t="n">
        <v>2861</v>
      </c>
      <c r="U39" s="293" t="n">
        <v>470</v>
      </c>
      <c r="V39" s="222" t="inlineStr">
        <is>
          <t>ML</t>
        </is>
      </c>
    </row>
    <row r="40">
      <c r="A40" s="220" t="inlineStr">
        <is>
          <t>B117</t>
        </is>
      </c>
      <c r="B40" s="220" t="inlineStr">
        <is>
          <t>GG8065</t>
        </is>
      </c>
      <c r="C40" s="220" t="inlineStr">
        <is>
          <t>S)조지아 블랙 470PET 4X6</t>
        </is>
      </c>
      <c r="D40" s="220" t="inlineStr">
        <is>
          <t>3000</t>
        </is>
      </c>
      <c r="E40" s="220" t="inlineStr">
        <is>
          <t>제/상품창고</t>
        </is>
      </c>
      <c r="F40" s="220" t="inlineStr"/>
      <c r="G40" s="220" t="inlineStr">
        <is>
          <t>BOX</t>
        </is>
      </c>
      <c r="H40" s="220" t="inlineStr">
        <is>
          <t>음료 완제품</t>
        </is>
      </c>
      <c r="I40" s="220" t="inlineStr">
        <is>
          <t>음료제품</t>
        </is>
      </c>
      <c r="J40" s="220" t="inlineStr"/>
      <c r="K40" s="220" t="inlineStr"/>
      <c r="L40" s="220" t="inlineStr"/>
      <c r="M40" s="220" t="inlineStr">
        <is>
          <t>비탄산</t>
        </is>
      </c>
      <c r="N40" s="220" t="inlineStr">
        <is>
          <t>Pet</t>
        </is>
      </c>
      <c r="O40" s="221" t="n"/>
      <c r="P40" s="222" t="inlineStr">
        <is>
          <t>BOX</t>
        </is>
      </c>
      <c r="Q40" s="293" t="n">
        <v>7287</v>
      </c>
      <c r="R40" s="293" t="n">
        <v>0</v>
      </c>
      <c r="S40" s="293" t="n">
        <v>0</v>
      </c>
      <c r="T40" s="293" t="n">
        <v>7287</v>
      </c>
      <c r="U40" s="293" t="n">
        <v>470</v>
      </c>
      <c r="V40" s="222" t="inlineStr">
        <is>
          <t>ML</t>
        </is>
      </c>
    </row>
    <row r="41">
      <c r="A41" s="220" t="inlineStr">
        <is>
          <t>B117</t>
        </is>
      </c>
      <c r="B41" s="220" t="inlineStr">
        <is>
          <t>GG8066</t>
        </is>
      </c>
      <c r="C41" s="220" t="inlineStr">
        <is>
          <t>S)조지아 라떼 470PET 4X6</t>
        </is>
      </c>
      <c r="D41" s="220" t="inlineStr">
        <is>
          <t>3000</t>
        </is>
      </c>
      <c r="E41" s="220" t="inlineStr">
        <is>
          <t>제/상품창고</t>
        </is>
      </c>
      <c r="F41" s="220" t="inlineStr"/>
      <c r="G41" s="220" t="inlineStr">
        <is>
          <t>BOX</t>
        </is>
      </c>
      <c r="H41" s="220" t="inlineStr">
        <is>
          <t>음료 완제품</t>
        </is>
      </c>
      <c r="I41" s="220" t="inlineStr">
        <is>
          <t>음료제품</t>
        </is>
      </c>
      <c r="J41" s="220" t="inlineStr"/>
      <c r="K41" s="220" t="inlineStr"/>
      <c r="L41" s="220" t="inlineStr"/>
      <c r="M41" s="220" t="inlineStr">
        <is>
          <t>비탄산</t>
        </is>
      </c>
      <c r="N41" s="220" t="inlineStr">
        <is>
          <t>Pet</t>
        </is>
      </c>
      <c r="O41" s="221" t="n"/>
      <c r="P41" s="222" t="inlineStr">
        <is>
          <t>BOX</t>
        </is>
      </c>
      <c r="Q41" s="293" t="n">
        <v>3830</v>
      </c>
      <c r="R41" s="293" t="n">
        <v>0</v>
      </c>
      <c r="S41" s="293" t="n">
        <v>0</v>
      </c>
      <c r="T41" s="293" t="n">
        <v>3830</v>
      </c>
      <c r="U41" s="293" t="n">
        <v>470</v>
      </c>
      <c r="V41" s="222" t="inlineStr">
        <is>
          <t>ML</t>
        </is>
      </c>
    </row>
    <row r="42">
      <c r="A42" s="220" t="inlineStr">
        <is>
          <t>B117</t>
        </is>
      </c>
      <c r="B42" s="220" t="inlineStr">
        <is>
          <t>GG8275</t>
        </is>
      </c>
      <c r="C42" s="220" t="inlineStr">
        <is>
          <t>S)조지아 콜드블랙 470PET 4X6</t>
        </is>
      </c>
      <c r="D42" s="220" t="inlineStr">
        <is>
          <t>3000</t>
        </is>
      </c>
      <c r="E42" s="220" t="inlineStr">
        <is>
          <t>제/상품창고</t>
        </is>
      </c>
      <c r="F42" s="220" t="inlineStr"/>
      <c r="G42" s="220" t="inlineStr">
        <is>
          <t>BOX</t>
        </is>
      </c>
      <c r="H42" s="220" t="inlineStr">
        <is>
          <t>음료 완제품</t>
        </is>
      </c>
      <c r="I42" s="220" t="inlineStr">
        <is>
          <t>음료제품</t>
        </is>
      </c>
      <c r="J42" s="220" t="inlineStr"/>
      <c r="K42" s="220" t="inlineStr"/>
      <c r="L42" s="220" t="inlineStr"/>
      <c r="M42" s="220" t="inlineStr">
        <is>
          <t>비탄산</t>
        </is>
      </c>
      <c r="N42" s="220" t="inlineStr">
        <is>
          <t>Pet</t>
        </is>
      </c>
      <c r="O42" s="221" t="n"/>
      <c r="P42" s="222" t="inlineStr">
        <is>
          <t>BOX</t>
        </is>
      </c>
      <c r="Q42" s="293" t="n">
        <v>1775</v>
      </c>
      <c r="R42" s="293" t="n">
        <v>0</v>
      </c>
      <c r="S42" s="293" t="n">
        <v>0</v>
      </c>
      <c r="T42" s="293" t="n">
        <v>1775</v>
      </c>
      <c r="U42" s="293" t="n">
        <v>470</v>
      </c>
      <c r="V42" s="222" t="inlineStr">
        <is>
          <t>ML</t>
        </is>
      </c>
    </row>
    <row r="43">
      <c r="A43" s="220" t="inlineStr">
        <is>
          <t>B117</t>
        </is>
      </c>
      <c r="B43" s="220" t="inlineStr">
        <is>
          <t>GG8278</t>
        </is>
      </c>
      <c r="C43" s="220" t="inlineStr">
        <is>
          <t>S)조지아 저칼로리라떼 470PET 4X6</t>
        </is>
      </c>
      <c r="D43" s="220" t="inlineStr">
        <is>
          <t>3000</t>
        </is>
      </c>
      <c r="E43" s="220" t="inlineStr">
        <is>
          <t>제/상품창고</t>
        </is>
      </c>
      <c r="F43" s="220" t="inlineStr"/>
      <c r="G43" s="220" t="inlineStr">
        <is>
          <t>BOX</t>
        </is>
      </c>
      <c r="H43" s="220" t="inlineStr">
        <is>
          <t>음료 완제품</t>
        </is>
      </c>
      <c r="I43" s="220" t="inlineStr">
        <is>
          <t>음료제품</t>
        </is>
      </c>
      <c r="J43" s="220" t="inlineStr"/>
      <c r="K43" s="220" t="inlineStr"/>
      <c r="L43" s="220" t="inlineStr"/>
      <c r="M43" s="220" t="inlineStr">
        <is>
          <t>비탄산</t>
        </is>
      </c>
      <c r="N43" s="220" t="inlineStr">
        <is>
          <t>Pet</t>
        </is>
      </c>
      <c r="O43" s="221" t="n"/>
      <c r="P43" s="222" t="inlineStr">
        <is>
          <t>BOX</t>
        </is>
      </c>
      <c r="Q43" s="293" t="n">
        <v>3460</v>
      </c>
      <c r="R43" s="293" t="n">
        <v>0</v>
      </c>
      <c r="S43" s="293" t="n">
        <v>0</v>
      </c>
      <c r="T43" s="293" t="n">
        <v>3460</v>
      </c>
      <c r="U43" s="293" t="n">
        <v>470</v>
      </c>
      <c r="V43" s="222" t="inlineStr">
        <is>
          <t>ML</t>
        </is>
      </c>
    </row>
    <row r="44">
      <c r="A44" s="220" t="inlineStr">
        <is>
          <t>B117</t>
        </is>
      </c>
      <c r="B44" s="220" t="inlineStr">
        <is>
          <t>GS0012</t>
        </is>
      </c>
      <c r="C44" s="220" t="inlineStr">
        <is>
          <t>영진 구론산 오리지날액 150NRB 3X10</t>
        </is>
      </c>
      <c r="D44" s="220" t="inlineStr">
        <is>
          <t>3000</t>
        </is>
      </c>
      <c r="E44" s="220" t="inlineStr">
        <is>
          <t>제/상품창고</t>
        </is>
      </c>
      <c r="F44" s="220" t="inlineStr"/>
      <c r="G44" s="220" t="inlineStr">
        <is>
          <t>BOX</t>
        </is>
      </c>
      <c r="H44" s="220" t="inlineStr">
        <is>
          <t>음료 완제품</t>
        </is>
      </c>
      <c r="I44" s="220" t="inlineStr">
        <is>
          <t>음료상품</t>
        </is>
      </c>
      <c r="J44" s="220" t="inlineStr"/>
      <c r="K44" s="220" t="inlineStr"/>
      <c r="L44" s="220" t="inlineStr"/>
      <c r="M44" s="220" t="inlineStr">
        <is>
          <t>기능성</t>
        </is>
      </c>
      <c r="N44" s="220" t="inlineStr">
        <is>
          <t>NRB</t>
        </is>
      </c>
      <c r="O44" s="221" t="n"/>
      <c r="P44" s="222" t="inlineStr">
        <is>
          <t>BOX</t>
        </is>
      </c>
      <c r="Q44" s="293" t="n">
        <v>5266</v>
      </c>
      <c r="R44" s="293" t="n">
        <v>0</v>
      </c>
      <c r="S44" s="293" t="n">
        <v>0</v>
      </c>
      <c r="T44" s="293" t="n">
        <v>5266</v>
      </c>
      <c r="U44" s="293" t="n">
        <v>150</v>
      </c>
      <c r="V44" s="222" t="inlineStr">
        <is>
          <t>ML</t>
        </is>
      </c>
    </row>
    <row r="45">
      <c r="A45" s="220" t="inlineStr">
        <is>
          <t>B117</t>
        </is>
      </c>
      <c r="B45" s="220" t="inlineStr">
        <is>
          <t>GS5375</t>
        </is>
      </c>
      <c r="C45" s="220" t="inlineStr">
        <is>
          <t>영진 구론산 탄산 150NRB 3X10</t>
        </is>
      </c>
      <c r="D45" s="220" t="inlineStr">
        <is>
          <t>3000</t>
        </is>
      </c>
      <c r="E45" s="220" t="inlineStr">
        <is>
          <t>제/상품창고</t>
        </is>
      </c>
      <c r="F45" s="220" t="inlineStr"/>
      <c r="G45" s="220" t="inlineStr">
        <is>
          <t>BOX</t>
        </is>
      </c>
      <c r="H45" s="220" t="inlineStr">
        <is>
          <t>음료 완제품</t>
        </is>
      </c>
      <c r="I45" s="220" t="inlineStr">
        <is>
          <t>음료상품</t>
        </is>
      </c>
      <c r="J45" s="220" t="inlineStr"/>
      <c r="K45" s="220" t="inlineStr"/>
      <c r="L45" s="220" t="inlineStr"/>
      <c r="M45" s="220" t="inlineStr">
        <is>
          <t>기능성</t>
        </is>
      </c>
      <c r="N45" s="220" t="inlineStr">
        <is>
          <t>NRB</t>
        </is>
      </c>
      <c r="O45" s="221" t="n"/>
      <c r="P45" s="222" t="inlineStr">
        <is>
          <t>BOX</t>
        </is>
      </c>
      <c r="Q45" s="293" t="n">
        <v>4426</v>
      </c>
      <c r="R45" s="293" t="n">
        <v>0</v>
      </c>
      <c r="S45" s="293" t="n">
        <v>0</v>
      </c>
      <c r="T45" s="293" t="n">
        <v>4426</v>
      </c>
      <c r="U45" s="293" t="n">
        <v>150</v>
      </c>
      <c r="V45" s="222" t="inlineStr">
        <is>
          <t>ML</t>
        </is>
      </c>
    </row>
    <row r="46">
      <c r="A46" s="220" t="inlineStr">
        <is>
          <t>B117</t>
        </is>
      </c>
      <c r="B46" s="220" t="inlineStr">
        <is>
          <t>IH0001</t>
        </is>
      </c>
      <c r="C46" s="220" t="inlineStr">
        <is>
          <t>S)일로하스 피치 540PET 4X6</t>
        </is>
      </c>
      <c r="D46" s="220" t="inlineStr">
        <is>
          <t>3000</t>
        </is>
      </c>
      <c r="E46" s="220" t="inlineStr">
        <is>
          <t>제/상품창고</t>
        </is>
      </c>
      <c r="F46" s="220" t="inlineStr"/>
      <c r="G46" s="220" t="inlineStr">
        <is>
          <t>BOX</t>
        </is>
      </c>
      <c r="H46" s="220" t="inlineStr">
        <is>
          <t>음료 완제품</t>
        </is>
      </c>
      <c r="I46" s="220" t="inlineStr">
        <is>
          <t>음료제품</t>
        </is>
      </c>
      <c r="J46" s="220" t="inlineStr"/>
      <c r="K46" s="220" t="inlineStr"/>
      <c r="L46" s="220" t="inlineStr"/>
      <c r="M46" s="220" t="inlineStr">
        <is>
          <t>비탄산</t>
        </is>
      </c>
      <c r="N46" s="220" t="inlineStr">
        <is>
          <t>Pet</t>
        </is>
      </c>
      <c r="O46" s="221" t="n"/>
      <c r="P46" s="222" t="inlineStr">
        <is>
          <t>BOX</t>
        </is>
      </c>
      <c r="Q46" s="293" t="n">
        <v>368</v>
      </c>
      <c r="R46" s="293" t="n">
        <v>0</v>
      </c>
      <c r="S46" s="293" t="n">
        <v>0</v>
      </c>
      <c r="T46" s="293" t="n">
        <v>368</v>
      </c>
      <c r="U46" s="293" t="n">
        <v>540</v>
      </c>
      <c r="V46" s="222" t="inlineStr">
        <is>
          <t>ML</t>
        </is>
      </c>
    </row>
    <row r="47">
      <c r="A47" s="220" t="inlineStr">
        <is>
          <t>B117</t>
        </is>
      </c>
      <c r="B47" s="220" t="inlineStr">
        <is>
          <t>KC1005</t>
        </is>
      </c>
      <c r="C47" s="220" t="inlineStr">
        <is>
          <t>과일촌 아침에 오+포+사 180NRB 3X12</t>
        </is>
      </c>
      <c r="D47" s="220" t="inlineStr">
        <is>
          <t>3000</t>
        </is>
      </c>
      <c r="E47" s="220" t="inlineStr">
        <is>
          <t>제/상품창고</t>
        </is>
      </c>
      <c r="F47" s="220" t="inlineStr"/>
      <c r="G47" s="220" t="inlineStr">
        <is>
          <t>BOX</t>
        </is>
      </c>
      <c r="H47" s="220" t="inlineStr">
        <is>
          <t>음료 완제품</t>
        </is>
      </c>
      <c r="I47" s="220" t="inlineStr">
        <is>
          <t>음료상품</t>
        </is>
      </c>
      <c r="J47" s="220" t="inlineStr"/>
      <c r="K47" s="220" t="inlineStr"/>
      <c r="L47" s="220" t="inlineStr"/>
      <c r="M47" s="220" t="inlineStr">
        <is>
          <t>비탄산</t>
        </is>
      </c>
      <c r="N47" s="220" t="inlineStr">
        <is>
          <t>NRB</t>
        </is>
      </c>
      <c r="O47" s="221" t="n"/>
      <c r="P47" s="222" t="inlineStr">
        <is>
          <t>BOX</t>
        </is>
      </c>
      <c r="Q47" s="293" t="n">
        <v>787</v>
      </c>
      <c r="R47" s="293" t="n">
        <v>0</v>
      </c>
      <c r="S47" s="293" t="n">
        <v>0</v>
      </c>
      <c r="T47" s="293" t="n">
        <v>787</v>
      </c>
      <c r="U47" s="293" t="n">
        <v>180</v>
      </c>
      <c r="V47" s="222" t="inlineStr">
        <is>
          <t>ML</t>
        </is>
      </c>
    </row>
    <row r="48">
      <c r="A48" s="220" t="inlineStr">
        <is>
          <t>B117</t>
        </is>
      </c>
      <c r="B48" s="220" t="inlineStr">
        <is>
          <t>KC4969</t>
        </is>
      </c>
      <c r="C48" s="220" t="inlineStr">
        <is>
          <t>S)과일촌 아침에사과 500PET 4X6</t>
        </is>
      </c>
      <c r="D48" s="220" t="inlineStr">
        <is>
          <t>3000</t>
        </is>
      </c>
      <c r="E48" s="220" t="inlineStr">
        <is>
          <t>제/상품창고</t>
        </is>
      </c>
      <c r="F48" s="220" t="inlineStr"/>
      <c r="G48" s="220" t="inlineStr">
        <is>
          <t>BOX</t>
        </is>
      </c>
      <c r="H48" s="220" t="inlineStr">
        <is>
          <t>음료 완제품</t>
        </is>
      </c>
      <c r="I48" s="220" t="inlineStr">
        <is>
          <t>음료제품</t>
        </is>
      </c>
      <c r="J48" s="220" t="inlineStr"/>
      <c r="K48" s="220" t="inlineStr"/>
      <c r="L48" s="220" t="inlineStr"/>
      <c r="M48" s="220" t="inlineStr">
        <is>
          <t>비탄산</t>
        </is>
      </c>
      <c r="N48" s="220" t="inlineStr">
        <is>
          <t>Pet</t>
        </is>
      </c>
      <c r="O48" s="221" t="n"/>
      <c r="P48" s="222" t="inlineStr">
        <is>
          <t>BOX</t>
        </is>
      </c>
      <c r="Q48" s="293" t="n">
        <v>3472</v>
      </c>
      <c r="R48" s="293" t="n">
        <v>0</v>
      </c>
      <c r="S48" s="293" t="n">
        <v>0</v>
      </c>
      <c r="T48" s="293" t="n">
        <v>3472</v>
      </c>
      <c r="U48" s="293" t="n">
        <v>500</v>
      </c>
      <c r="V48" s="222" t="inlineStr">
        <is>
          <t>ML</t>
        </is>
      </c>
    </row>
    <row r="49">
      <c r="A49" s="220" t="inlineStr">
        <is>
          <t>B117</t>
        </is>
      </c>
      <c r="B49" s="220" t="inlineStr">
        <is>
          <t>KM2825</t>
        </is>
      </c>
      <c r="C49" s="220" t="inlineStr">
        <is>
          <t>S)갈아만든 배 500PET 4X6</t>
        </is>
      </c>
      <c r="D49" s="220" t="inlineStr">
        <is>
          <t>3000</t>
        </is>
      </c>
      <c r="E49" s="220" t="inlineStr">
        <is>
          <t>제/상품창고</t>
        </is>
      </c>
      <c r="F49" s="220" t="inlineStr"/>
      <c r="G49" s="220" t="inlineStr">
        <is>
          <t>BOX</t>
        </is>
      </c>
      <c r="H49" s="220" t="inlineStr">
        <is>
          <t>음료 완제품</t>
        </is>
      </c>
      <c r="I49" s="220" t="inlineStr">
        <is>
          <t>음료제품</t>
        </is>
      </c>
      <c r="J49" s="220" t="inlineStr"/>
      <c r="K49" s="220" t="inlineStr"/>
      <c r="L49" s="220" t="inlineStr"/>
      <c r="M49" s="220" t="inlineStr">
        <is>
          <t>비탄산</t>
        </is>
      </c>
      <c r="N49" s="220" t="inlineStr">
        <is>
          <t>Pet</t>
        </is>
      </c>
      <c r="O49" s="221" t="n"/>
      <c r="P49" s="222" t="inlineStr">
        <is>
          <t>BOX</t>
        </is>
      </c>
      <c r="Q49" s="293" t="n">
        <v>1555</v>
      </c>
      <c r="R49" s="293" t="n">
        <v>0</v>
      </c>
      <c r="S49" s="293" t="n">
        <v>0</v>
      </c>
      <c r="T49" s="293" t="n">
        <v>1555</v>
      </c>
      <c r="U49" s="293" t="n">
        <v>500</v>
      </c>
      <c r="V49" s="222" t="inlineStr">
        <is>
          <t>ML</t>
        </is>
      </c>
    </row>
    <row r="50">
      <c r="A50" s="220" t="inlineStr">
        <is>
          <t>B117</t>
        </is>
      </c>
      <c r="B50" s="220" t="inlineStr">
        <is>
          <t>KM2826</t>
        </is>
      </c>
      <c r="C50" s="220" t="inlineStr">
        <is>
          <t>갈아만든 배 1.5PET X6</t>
        </is>
      </c>
      <c r="D50" s="220" t="inlineStr">
        <is>
          <t>3000</t>
        </is>
      </c>
      <c r="E50" s="220" t="inlineStr">
        <is>
          <t>제/상품창고</t>
        </is>
      </c>
      <c r="F50" s="220" t="inlineStr"/>
      <c r="G50" s="220" t="inlineStr">
        <is>
          <t>BOX</t>
        </is>
      </c>
      <c r="H50" s="220" t="inlineStr">
        <is>
          <t>음료 완제품</t>
        </is>
      </c>
      <c r="I50" s="220" t="inlineStr">
        <is>
          <t>음료제품</t>
        </is>
      </c>
      <c r="J50" s="220" t="inlineStr"/>
      <c r="K50" s="220" t="inlineStr"/>
      <c r="L50" s="220" t="inlineStr"/>
      <c r="M50" s="220" t="inlineStr">
        <is>
          <t>비탄산</t>
        </is>
      </c>
      <c r="N50" s="220" t="inlineStr">
        <is>
          <t>Pet</t>
        </is>
      </c>
      <c r="O50" s="221" t="n"/>
      <c r="P50" s="222" t="inlineStr">
        <is>
          <t>BOX</t>
        </is>
      </c>
      <c r="Q50" s="293" t="n">
        <v>410</v>
      </c>
      <c r="R50" s="293" t="n">
        <v>0</v>
      </c>
      <c r="S50" s="293" t="n">
        <v>0</v>
      </c>
      <c r="T50" s="293" t="n">
        <v>410</v>
      </c>
      <c r="U50" s="293" t="n">
        <v>1.5</v>
      </c>
      <c r="V50" s="222" t="inlineStr">
        <is>
          <t>L</t>
        </is>
      </c>
    </row>
    <row r="51">
      <c r="A51" s="220" t="inlineStr">
        <is>
          <t>B117</t>
        </is>
      </c>
      <c r="B51" s="220" t="inlineStr">
        <is>
          <t>KM4290</t>
        </is>
      </c>
      <c r="C51" s="220" t="inlineStr">
        <is>
          <t>S)갈배 사이다 500PET 4X6</t>
        </is>
      </c>
      <c r="D51" s="220" t="inlineStr">
        <is>
          <t>3000</t>
        </is>
      </c>
      <c r="E51" s="220" t="inlineStr">
        <is>
          <t>제/상품창고</t>
        </is>
      </c>
      <c r="F51" s="220" t="inlineStr"/>
      <c r="G51" s="220" t="inlineStr">
        <is>
          <t>BOX</t>
        </is>
      </c>
      <c r="H51" s="220" t="inlineStr">
        <is>
          <t>음료 완제품</t>
        </is>
      </c>
      <c r="I51" s="220" t="inlineStr">
        <is>
          <t>음료제품</t>
        </is>
      </c>
      <c r="J51" s="220" t="inlineStr"/>
      <c r="K51" s="220" t="inlineStr"/>
      <c r="L51" s="220" t="inlineStr"/>
      <c r="M51" s="220" t="inlineStr">
        <is>
          <t>탄산</t>
        </is>
      </c>
      <c r="N51" s="220" t="inlineStr">
        <is>
          <t>Pet</t>
        </is>
      </c>
      <c r="O51" s="221" t="n"/>
      <c r="P51" s="222" t="inlineStr">
        <is>
          <t>BOX</t>
        </is>
      </c>
      <c r="Q51" s="293" t="n">
        <v>631</v>
      </c>
      <c r="R51" s="293" t="n">
        <v>0</v>
      </c>
      <c r="S51" s="293" t="n">
        <v>0</v>
      </c>
      <c r="T51" s="293" t="n">
        <v>631</v>
      </c>
      <c r="U51" s="293" t="n">
        <v>500</v>
      </c>
      <c r="V51" s="222" t="inlineStr">
        <is>
          <t>ML</t>
        </is>
      </c>
    </row>
    <row r="52">
      <c r="A52" s="220" t="inlineStr">
        <is>
          <t>B117</t>
        </is>
      </c>
      <c r="B52" s="220" t="inlineStr">
        <is>
          <t>KM4929</t>
        </is>
      </c>
      <c r="C52" s="220" t="inlineStr">
        <is>
          <t>S)갈아만든 배 340CAN 4X6</t>
        </is>
      </c>
      <c r="D52" s="220" t="inlineStr">
        <is>
          <t>3000</t>
        </is>
      </c>
      <c r="E52" s="220" t="inlineStr">
        <is>
          <t>제/상품창고</t>
        </is>
      </c>
      <c r="F52" s="220" t="inlineStr"/>
      <c r="G52" s="220" t="inlineStr">
        <is>
          <t>BOX</t>
        </is>
      </c>
      <c r="H52" s="220" t="inlineStr">
        <is>
          <t>음료 완제품</t>
        </is>
      </c>
      <c r="I52" s="220" t="inlineStr">
        <is>
          <t>음료제품</t>
        </is>
      </c>
      <c r="J52" s="220" t="inlineStr"/>
      <c r="K52" s="220" t="inlineStr"/>
      <c r="L52" s="220" t="inlineStr"/>
      <c r="M52" s="220" t="inlineStr">
        <is>
          <t>비탄산</t>
        </is>
      </c>
      <c r="N52" s="220" t="inlineStr">
        <is>
          <t>Can</t>
        </is>
      </c>
      <c r="O52" s="221" t="n"/>
      <c r="P52" s="222" t="inlineStr">
        <is>
          <t>BOX</t>
        </is>
      </c>
      <c r="Q52" s="293" t="n">
        <v>3993</v>
      </c>
      <c r="R52" s="293" t="n">
        <v>0</v>
      </c>
      <c r="S52" s="293" t="n">
        <v>0</v>
      </c>
      <c r="T52" s="293" t="n">
        <v>3993</v>
      </c>
      <c r="U52" s="293" t="n">
        <v>340</v>
      </c>
      <c r="V52" s="222" t="inlineStr">
        <is>
          <t>ML</t>
        </is>
      </c>
    </row>
    <row r="53">
      <c r="A53" s="220" t="inlineStr">
        <is>
          <t>B117</t>
        </is>
      </c>
      <c r="B53" s="220" t="inlineStr">
        <is>
          <t>MJ9120</t>
        </is>
      </c>
      <c r="C53" s="220" t="inlineStr">
        <is>
          <t>몸에좋은 Set 음양오행 180NRB 3X10</t>
        </is>
      </c>
      <c r="D53" s="220" t="inlineStr">
        <is>
          <t>3000</t>
        </is>
      </c>
      <c r="E53" s="220" t="inlineStr">
        <is>
          <t>제/상품창고</t>
        </is>
      </c>
      <c r="F53" s="220" t="inlineStr"/>
      <c r="G53" s="220" t="inlineStr">
        <is>
          <t>BOX</t>
        </is>
      </c>
      <c r="H53" s="220" t="inlineStr">
        <is>
          <t>음료 완제품</t>
        </is>
      </c>
      <c r="I53" s="220" t="inlineStr">
        <is>
          <t>음료상품</t>
        </is>
      </c>
      <c r="J53" s="220" t="inlineStr"/>
      <c r="K53" s="220" t="inlineStr"/>
      <c r="L53" s="220" t="inlineStr"/>
      <c r="M53" s="220" t="inlineStr">
        <is>
          <t>기능성</t>
        </is>
      </c>
      <c r="N53" s="220" t="inlineStr">
        <is>
          <t>NRB</t>
        </is>
      </c>
      <c r="O53" s="221" t="n"/>
      <c r="P53" s="222" t="inlineStr">
        <is>
          <t>BOX</t>
        </is>
      </c>
      <c r="Q53" s="293" t="n">
        <v>375</v>
      </c>
      <c r="R53" s="293" t="n">
        <v>0</v>
      </c>
      <c r="S53" s="293" t="n">
        <v>0</v>
      </c>
      <c r="T53" s="293" t="n">
        <v>375</v>
      </c>
      <c r="U53" s="293" t="n">
        <v>180</v>
      </c>
      <c r="V53" s="222" t="inlineStr">
        <is>
          <t>ML</t>
        </is>
      </c>
    </row>
    <row r="54">
      <c r="A54" s="220" t="inlineStr">
        <is>
          <t>B117</t>
        </is>
      </c>
      <c r="B54" s="220" t="inlineStr">
        <is>
          <t>MM1000</t>
        </is>
      </c>
      <c r="C54" s="220" t="inlineStr">
        <is>
          <t>S)미닛 허니&amp;유자 280PET 4X6</t>
        </is>
      </c>
      <c r="D54" s="220" t="inlineStr">
        <is>
          <t>3000</t>
        </is>
      </c>
      <c r="E54" s="220" t="inlineStr">
        <is>
          <t>제/상품창고</t>
        </is>
      </c>
      <c r="F54" s="220" t="inlineStr"/>
      <c r="G54" s="220" t="inlineStr">
        <is>
          <t>BOX</t>
        </is>
      </c>
      <c r="H54" s="220" t="inlineStr">
        <is>
          <t>음료 완제품</t>
        </is>
      </c>
      <c r="I54" s="220" t="inlineStr">
        <is>
          <t>음료제품</t>
        </is>
      </c>
      <c r="J54" s="220" t="inlineStr"/>
      <c r="K54" s="220" t="inlineStr"/>
      <c r="L54" s="220" t="inlineStr"/>
      <c r="M54" s="220" t="inlineStr">
        <is>
          <t>비탄산</t>
        </is>
      </c>
      <c r="N54" s="220" t="inlineStr">
        <is>
          <t>Pet</t>
        </is>
      </c>
      <c r="O54" s="221" t="n"/>
      <c r="P54" s="222" t="inlineStr">
        <is>
          <t>BOX</t>
        </is>
      </c>
      <c r="Q54" s="293" t="n">
        <v>1742</v>
      </c>
      <c r="R54" s="293" t="n">
        <v>0</v>
      </c>
      <c r="S54" s="293" t="n">
        <v>0</v>
      </c>
      <c r="T54" s="293" t="n">
        <v>1742</v>
      </c>
      <c r="U54" s="293" t="n">
        <v>280</v>
      </c>
      <c r="V54" s="222" t="inlineStr">
        <is>
          <t>ML</t>
        </is>
      </c>
    </row>
    <row r="55">
      <c r="A55" s="220" t="inlineStr">
        <is>
          <t>B117</t>
        </is>
      </c>
      <c r="B55" s="220" t="inlineStr">
        <is>
          <t>MM1001</t>
        </is>
      </c>
      <c r="C55" s="220" t="inlineStr">
        <is>
          <t>S)미닛 모과&amp;생강 280PET 4X6</t>
        </is>
      </c>
      <c r="D55" s="220" t="inlineStr">
        <is>
          <t>3000</t>
        </is>
      </c>
      <c r="E55" s="220" t="inlineStr">
        <is>
          <t>제/상품창고</t>
        </is>
      </c>
      <c r="F55" s="220" t="inlineStr"/>
      <c r="G55" s="220" t="inlineStr">
        <is>
          <t>BOX</t>
        </is>
      </c>
      <c r="H55" s="220" t="inlineStr">
        <is>
          <t>음료 완제품</t>
        </is>
      </c>
      <c r="I55" s="220" t="inlineStr">
        <is>
          <t>음료제품</t>
        </is>
      </c>
      <c r="J55" s="220" t="inlineStr"/>
      <c r="K55" s="220" t="inlineStr"/>
      <c r="L55" s="220" t="inlineStr"/>
      <c r="M55" s="220" t="inlineStr">
        <is>
          <t>비탄산</t>
        </is>
      </c>
      <c r="N55" s="220" t="inlineStr">
        <is>
          <t>Pet</t>
        </is>
      </c>
      <c r="O55" s="221" t="n"/>
      <c r="P55" s="222" t="inlineStr">
        <is>
          <t>BOX</t>
        </is>
      </c>
      <c r="Q55" s="293" t="n">
        <v>197</v>
      </c>
      <c r="R55" s="293" t="n">
        <v>0</v>
      </c>
      <c r="S55" s="293" t="n">
        <v>0</v>
      </c>
      <c r="T55" s="293" t="n">
        <v>197</v>
      </c>
      <c r="U55" s="293" t="n">
        <v>280</v>
      </c>
      <c r="V55" s="222" t="inlineStr">
        <is>
          <t>ML</t>
        </is>
      </c>
    </row>
    <row r="56">
      <c r="A56" s="220" t="inlineStr">
        <is>
          <t>B117</t>
        </is>
      </c>
      <c r="B56" s="220" t="inlineStr">
        <is>
          <t>MM1002</t>
        </is>
      </c>
      <c r="C56" s="220" t="inlineStr">
        <is>
          <t>S)미닛 레몬에이드 350PET 4X6</t>
        </is>
      </c>
      <c r="D56" s="220" t="inlineStr">
        <is>
          <t>3000</t>
        </is>
      </c>
      <c r="E56" s="220" t="inlineStr">
        <is>
          <t>제/상품창고</t>
        </is>
      </c>
      <c r="F56" s="220" t="inlineStr"/>
      <c r="G56" s="220" t="inlineStr">
        <is>
          <t>BOX</t>
        </is>
      </c>
      <c r="H56" s="220" t="inlineStr">
        <is>
          <t>음료 완제품</t>
        </is>
      </c>
      <c r="I56" s="220" t="inlineStr">
        <is>
          <t>음료제품</t>
        </is>
      </c>
      <c r="J56" s="220" t="inlineStr"/>
      <c r="K56" s="220" t="inlineStr"/>
      <c r="L56" s="220" t="inlineStr"/>
      <c r="M56" s="220" t="inlineStr">
        <is>
          <t>비탄산</t>
        </is>
      </c>
      <c r="N56" s="220" t="inlineStr">
        <is>
          <t>Pet</t>
        </is>
      </c>
      <c r="O56" s="221" t="n"/>
      <c r="P56" s="222" t="inlineStr">
        <is>
          <t>BOX</t>
        </is>
      </c>
      <c r="Q56" s="293" t="n">
        <v>646</v>
      </c>
      <c r="R56" s="293" t="n">
        <v>0</v>
      </c>
      <c r="S56" s="293" t="n">
        <v>0</v>
      </c>
      <c r="T56" s="293" t="n">
        <v>646</v>
      </c>
      <c r="U56" s="293" t="n">
        <v>350</v>
      </c>
      <c r="V56" s="222" t="inlineStr">
        <is>
          <t>ML</t>
        </is>
      </c>
    </row>
    <row r="57">
      <c r="A57" s="220" t="inlineStr">
        <is>
          <t>B117</t>
        </is>
      </c>
      <c r="B57" s="220" t="inlineStr">
        <is>
          <t>MM6509</t>
        </is>
      </c>
      <c r="C57" s="220" t="inlineStr">
        <is>
          <t>S)미닛 시그니처 오렌지 1.5PET 2X6</t>
        </is>
      </c>
      <c r="D57" s="220" t="inlineStr">
        <is>
          <t>3000</t>
        </is>
      </c>
      <c r="E57" s="220" t="inlineStr">
        <is>
          <t>제/상품창고</t>
        </is>
      </c>
      <c r="F57" s="220" t="inlineStr"/>
      <c r="G57" s="220" t="inlineStr">
        <is>
          <t>BOX</t>
        </is>
      </c>
      <c r="H57" s="220" t="inlineStr">
        <is>
          <t>음료 완제품</t>
        </is>
      </c>
      <c r="I57" s="220" t="inlineStr">
        <is>
          <t>음료제품</t>
        </is>
      </c>
      <c r="J57" s="220" t="inlineStr"/>
      <c r="K57" s="220" t="inlineStr"/>
      <c r="L57" s="220" t="inlineStr"/>
      <c r="M57" s="220" t="inlineStr">
        <is>
          <t>비탄산</t>
        </is>
      </c>
      <c r="N57" s="220" t="inlineStr">
        <is>
          <t>Pet</t>
        </is>
      </c>
      <c r="O57" s="221" t="n"/>
      <c r="P57" s="222" t="inlineStr">
        <is>
          <t>BOX</t>
        </is>
      </c>
      <c r="Q57" s="293" t="n">
        <v>1071</v>
      </c>
      <c r="R57" s="293" t="n">
        <v>0</v>
      </c>
      <c r="S57" s="293" t="n">
        <v>0</v>
      </c>
      <c r="T57" s="293" t="n">
        <v>1071</v>
      </c>
      <c r="U57" s="293" t="n">
        <v>1.5</v>
      </c>
      <c r="V57" s="222" t="inlineStr">
        <is>
          <t>L</t>
        </is>
      </c>
    </row>
    <row r="58">
      <c r="A58" s="220" t="inlineStr">
        <is>
          <t>B117</t>
        </is>
      </c>
      <c r="B58" s="220" t="inlineStr">
        <is>
          <t>MM6705</t>
        </is>
      </c>
      <c r="C58" s="220" t="inlineStr">
        <is>
          <t>S)미닛 시그니처 오렌지 350PET 4X6</t>
        </is>
      </c>
      <c r="D58" s="220" t="inlineStr">
        <is>
          <t>3000</t>
        </is>
      </c>
      <c r="E58" s="220" t="inlineStr">
        <is>
          <t>제/상품창고</t>
        </is>
      </c>
      <c r="F58" s="220" t="inlineStr"/>
      <c r="G58" s="220" t="inlineStr">
        <is>
          <t>BOX</t>
        </is>
      </c>
      <c r="H58" s="220" t="inlineStr">
        <is>
          <t>음료 완제품</t>
        </is>
      </c>
      <c r="I58" s="220" t="inlineStr">
        <is>
          <t>음료제품</t>
        </is>
      </c>
      <c r="J58" s="220" t="inlineStr"/>
      <c r="K58" s="220" t="inlineStr"/>
      <c r="L58" s="220" t="inlineStr"/>
      <c r="M58" s="220" t="inlineStr">
        <is>
          <t>비탄산</t>
        </is>
      </c>
      <c r="N58" s="220" t="inlineStr">
        <is>
          <t>Pet</t>
        </is>
      </c>
      <c r="O58" s="221" t="n"/>
      <c r="P58" s="222" t="inlineStr">
        <is>
          <t>BOX</t>
        </is>
      </c>
      <c r="Q58" s="293" t="n">
        <v>474</v>
      </c>
      <c r="R58" s="293" t="n">
        <v>0</v>
      </c>
      <c r="S58" s="293" t="n">
        <v>0</v>
      </c>
      <c r="T58" s="293" t="n">
        <v>474</v>
      </c>
      <c r="U58" s="293" t="n">
        <v>350</v>
      </c>
      <c r="V58" s="222" t="inlineStr">
        <is>
          <t>ML</t>
        </is>
      </c>
    </row>
    <row r="59">
      <c r="A59" s="220" t="inlineStr">
        <is>
          <t>B117</t>
        </is>
      </c>
      <c r="B59" s="220" t="inlineStr">
        <is>
          <t>MM7949</t>
        </is>
      </c>
      <c r="C59" s="220" t="inlineStr">
        <is>
          <t>미닛 시그니처 오+포+알 180NRB 3X12</t>
        </is>
      </c>
      <c r="D59" s="220" t="inlineStr">
        <is>
          <t>3000</t>
        </is>
      </c>
      <c r="E59" s="220" t="inlineStr">
        <is>
          <t>제/상품창고</t>
        </is>
      </c>
      <c r="F59" s="220" t="inlineStr"/>
      <c r="G59" s="220" t="inlineStr">
        <is>
          <t>BOX</t>
        </is>
      </c>
      <c r="H59" s="220" t="inlineStr">
        <is>
          <t>음료 완제품</t>
        </is>
      </c>
      <c r="I59" s="220" t="inlineStr">
        <is>
          <t>음료제품</t>
        </is>
      </c>
      <c r="J59" s="220" t="inlineStr"/>
      <c r="K59" s="220" t="inlineStr"/>
      <c r="L59" s="220" t="inlineStr"/>
      <c r="M59" s="220" t="inlineStr">
        <is>
          <t>비탄산</t>
        </is>
      </c>
      <c r="N59" s="220" t="inlineStr">
        <is>
          <t>NRB</t>
        </is>
      </c>
      <c r="O59" s="221" t="n"/>
      <c r="P59" s="222" t="inlineStr">
        <is>
          <t>BOX</t>
        </is>
      </c>
      <c r="Q59" s="293" t="n">
        <v>1807</v>
      </c>
      <c r="R59" s="293" t="n">
        <v>0</v>
      </c>
      <c r="S59" s="293" t="n">
        <v>0</v>
      </c>
      <c r="T59" s="293" t="n">
        <v>1807</v>
      </c>
      <c r="U59" s="293" t="n">
        <v>180</v>
      </c>
      <c r="V59" s="222" t="inlineStr">
        <is>
          <t>ML</t>
        </is>
      </c>
    </row>
    <row r="60">
      <c r="A60" s="220" t="inlineStr">
        <is>
          <t>B117</t>
        </is>
      </c>
      <c r="B60" s="220" t="inlineStr">
        <is>
          <t>MM8428</t>
        </is>
      </c>
      <c r="C60" s="220" t="inlineStr">
        <is>
          <t>S)미닛 피치에이드 제로 350PET 4X6</t>
        </is>
      </c>
      <c r="D60" s="220" t="inlineStr">
        <is>
          <t>3000</t>
        </is>
      </c>
      <c r="E60" s="220" t="inlineStr">
        <is>
          <t>제/상품창고</t>
        </is>
      </c>
      <c r="F60" s="220" t="inlineStr"/>
      <c r="G60" s="220" t="inlineStr">
        <is>
          <t>BOX</t>
        </is>
      </c>
      <c r="H60" s="220" t="inlineStr">
        <is>
          <t>음료 완제품</t>
        </is>
      </c>
      <c r="I60" s="220" t="inlineStr">
        <is>
          <t>음료제품</t>
        </is>
      </c>
      <c r="J60" s="220" t="inlineStr"/>
      <c r="K60" s="220" t="inlineStr"/>
      <c r="L60" s="220" t="inlineStr"/>
      <c r="M60" s="220" t="inlineStr">
        <is>
          <t>비탄산</t>
        </is>
      </c>
      <c r="N60" s="220" t="inlineStr">
        <is>
          <t>Pet</t>
        </is>
      </c>
      <c r="O60" s="221" t="n"/>
      <c r="P60" s="222" t="inlineStr">
        <is>
          <t>BOX</t>
        </is>
      </c>
      <c r="Q60" s="293" t="n">
        <v>82</v>
      </c>
      <c r="R60" s="293" t="n">
        <v>0</v>
      </c>
      <c r="S60" s="293" t="n">
        <v>0</v>
      </c>
      <c r="T60" s="293" t="n">
        <v>82</v>
      </c>
      <c r="U60" s="293" t="n">
        <v>350</v>
      </c>
      <c r="V60" s="222" t="inlineStr">
        <is>
          <t>ML</t>
        </is>
      </c>
    </row>
    <row r="61">
      <c r="A61" s="220" t="inlineStr">
        <is>
          <t>B117</t>
        </is>
      </c>
      <c r="B61" s="220" t="inlineStr">
        <is>
          <t>MO5628</t>
        </is>
      </c>
      <c r="C61" s="220" t="inlineStr">
        <is>
          <t>S)몬스터 에너지 제로슈거 355CAN 4X6</t>
        </is>
      </c>
      <c r="D61" s="220" t="inlineStr">
        <is>
          <t>3000</t>
        </is>
      </c>
      <c r="E61" s="220" t="inlineStr">
        <is>
          <t>제/상품창고</t>
        </is>
      </c>
      <c r="F61" s="220" t="inlineStr"/>
      <c r="G61" s="220" t="inlineStr">
        <is>
          <t>BOX</t>
        </is>
      </c>
      <c r="H61" s="220" t="inlineStr">
        <is>
          <t>음료 완제품</t>
        </is>
      </c>
      <c r="I61" s="220" t="inlineStr">
        <is>
          <t>음료상품</t>
        </is>
      </c>
      <c r="J61" s="220" t="inlineStr"/>
      <c r="K61" s="220" t="inlineStr"/>
      <c r="L61" s="220" t="inlineStr"/>
      <c r="M61" s="220" t="inlineStr">
        <is>
          <t>탄산</t>
        </is>
      </c>
      <c r="N61" s="220" t="inlineStr">
        <is>
          <t>Can</t>
        </is>
      </c>
      <c r="O61" s="221" t="n"/>
      <c r="P61" s="222" t="inlineStr">
        <is>
          <t>BOX</t>
        </is>
      </c>
      <c r="Q61" s="293" t="n">
        <v>2850</v>
      </c>
      <c r="R61" s="293" t="n">
        <v>0</v>
      </c>
      <c r="S61" s="293" t="n">
        <v>0</v>
      </c>
      <c r="T61" s="293" t="n">
        <v>2850</v>
      </c>
      <c r="U61" s="293" t="n">
        <v>355</v>
      </c>
      <c r="V61" s="222" t="inlineStr">
        <is>
          <t>ML</t>
        </is>
      </c>
    </row>
    <row r="62">
      <c r="A62" s="220" t="inlineStr">
        <is>
          <t>B117</t>
        </is>
      </c>
      <c r="B62" s="220" t="inlineStr">
        <is>
          <t>MO5636</t>
        </is>
      </c>
      <c r="C62" s="220" t="inlineStr">
        <is>
          <t>S)몬스터 파이프라인펀치 355CAN 4X6</t>
        </is>
      </c>
      <c r="D62" s="220" t="inlineStr">
        <is>
          <t>3000</t>
        </is>
      </c>
      <c r="E62" s="220" t="inlineStr">
        <is>
          <t>제/상품창고</t>
        </is>
      </c>
      <c r="F62" s="220" t="inlineStr"/>
      <c r="G62" s="220" t="inlineStr">
        <is>
          <t>BOX</t>
        </is>
      </c>
      <c r="H62" s="220" t="inlineStr">
        <is>
          <t>음료 완제품</t>
        </is>
      </c>
      <c r="I62" s="220" t="inlineStr">
        <is>
          <t>음료상품</t>
        </is>
      </c>
      <c r="J62" s="220" t="inlineStr"/>
      <c r="K62" s="220" t="inlineStr"/>
      <c r="L62" s="220" t="inlineStr"/>
      <c r="M62" s="220" t="inlineStr">
        <is>
          <t>탄산</t>
        </is>
      </c>
      <c r="N62" s="220" t="inlineStr">
        <is>
          <t>Can</t>
        </is>
      </c>
      <c r="O62" s="221" t="n"/>
      <c r="P62" s="222" t="inlineStr">
        <is>
          <t>BOX</t>
        </is>
      </c>
      <c r="Q62" s="293" t="n">
        <v>4519</v>
      </c>
      <c r="R62" s="293" t="n">
        <v>0</v>
      </c>
      <c r="S62" s="293" t="n">
        <v>0</v>
      </c>
      <c r="T62" s="293" t="n">
        <v>4519</v>
      </c>
      <c r="U62" s="293" t="n">
        <v>355</v>
      </c>
      <c r="V62" s="222" t="inlineStr">
        <is>
          <t>ML</t>
        </is>
      </c>
    </row>
    <row r="63">
      <c r="A63" s="220" t="inlineStr">
        <is>
          <t>B117</t>
        </is>
      </c>
      <c r="B63" s="220" t="inlineStr">
        <is>
          <t>MO5639</t>
        </is>
      </c>
      <c r="C63" s="220" t="inlineStr">
        <is>
          <t>S)몬스터 에너지 시트라 355CAN 4X6</t>
        </is>
      </c>
      <c r="D63" s="220" t="inlineStr">
        <is>
          <t>3000</t>
        </is>
      </c>
      <c r="E63" s="220" t="inlineStr">
        <is>
          <t>제/상품창고</t>
        </is>
      </c>
      <c r="F63" s="220" t="inlineStr"/>
      <c r="G63" s="220" t="inlineStr">
        <is>
          <t>BOX</t>
        </is>
      </c>
      <c r="H63" s="220" t="inlineStr">
        <is>
          <t>음료 완제품</t>
        </is>
      </c>
      <c r="I63" s="220" t="inlineStr">
        <is>
          <t>음료상품</t>
        </is>
      </c>
      <c r="J63" s="220" t="inlineStr"/>
      <c r="K63" s="220" t="inlineStr"/>
      <c r="L63" s="220" t="inlineStr"/>
      <c r="M63" s="220" t="inlineStr">
        <is>
          <t>탄산</t>
        </is>
      </c>
      <c r="N63" s="220" t="inlineStr">
        <is>
          <t>Can</t>
        </is>
      </c>
      <c r="O63" s="221" t="n"/>
      <c r="P63" s="222" t="inlineStr">
        <is>
          <t>BOX</t>
        </is>
      </c>
      <c r="Q63" s="293" t="n">
        <v>1969</v>
      </c>
      <c r="R63" s="293" t="n">
        <v>0</v>
      </c>
      <c r="S63" s="293" t="n">
        <v>0</v>
      </c>
      <c r="T63" s="293" t="n">
        <v>1969</v>
      </c>
      <c r="U63" s="293" t="n">
        <v>355</v>
      </c>
      <c r="V63" s="222" t="inlineStr">
        <is>
          <t>ML</t>
        </is>
      </c>
    </row>
    <row r="64">
      <c r="A64" s="220" t="inlineStr">
        <is>
          <t>B117</t>
        </is>
      </c>
      <c r="B64" s="220" t="inlineStr">
        <is>
          <t>MO5641</t>
        </is>
      </c>
      <c r="C64" s="220" t="inlineStr">
        <is>
          <t>S)몬스터 에너지 그린 355CAN 4X6</t>
        </is>
      </c>
      <c r="D64" s="220" t="inlineStr">
        <is>
          <t>3000</t>
        </is>
      </c>
      <c r="E64" s="220" t="inlineStr">
        <is>
          <t>제/상품창고</t>
        </is>
      </c>
      <c r="F64" s="220" t="inlineStr"/>
      <c r="G64" s="220" t="inlineStr">
        <is>
          <t>BOX</t>
        </is>
      </c>
      <c r="H64" s="220" t="inlineStr">
        <is>
          <t>음료 완제품</t>
        </is>
      </c>
      <c r="I64" s="220" t="inlineStr">
        <is>
          <t>음료상품</t>
        </is>
      </c>
      <c r="J64" s="220" t="inlineStr"/>
      <c r="K64" s="220" t="inlineStr"/>
      <c r="L64" s="220" t="inlineStr"/>
      <c r="M64" s="220" t="inlineStr">
        <is>
          <t>탄산</t>
        </is>
      </c>
      <c r="N64" s="220" t="inlineStr">
        <is>
          <t>Can</t>
        </is>
      </c>
      <c r="O64" s="221" t="n"/>
      <c r="P64" s="222" t="inlineStr">
        <is>
          <t>BOX</t>
        </is>
      </c>
      <c r="Q64" s="293" t="n">
        <v>4328</v>
      </c>
      <c r="R64" s="293" t="n">
        <v>0</v>
      </c>
      <c r="S64" s="293" t="n">
        <v>0</v>
      </c>
      <c r="T64" s="293" t="n">
        <v>4328</v>
      </c>
      <c r="U64" s="293" t="n">
        <v>355</v>
      </c>
      <c r="V64" s="222" t="inlineStr">
        <is>
          <t>ML</t>
        </is>
      </c>
    </row>
    <row r="65">
      <c r="A65" s="220" t="inlineStr">
        <is>
          <t>B117</t>
        </is>
      </c>
      <c r="B65" s="220" t="inlineStr">
        <is>
          <t>MO5643</t>
        </is>
      </c>
      <c r="C65" s="220" t="inlineStr">
        <is>
          <t>S)몬스터 에너지 울트라 355CAN 4X6</t>
        </is>
      </c>
      <c r="D65" s="220" t="inlineStr">
        <is>
          <t>3000</t>
        </is>
      </c>
      <c r="E65" s="220" t="inlineStr">
        <is>
          <t>제/상품창고</t>
        </is>
      </c>
      <c r="F65" s="220" t="inlineStr"/>
      <c r="G65" s="220" t="inlineStr">
        <is>
          <t>BOX</t>
        </is>
      </c>
      <c r="H65" s="220" t="inlineStr">
        <is>
          <t>음료 완제품</t>
        </is>
      </c>
      <c r="I65" s="220" t="inlineStr">
        <is>
          <t>음료상품</t>
        </is>
      </c>
      <c r="J65" s="220" t="inlineStr"/>
      <c r="K65" s="220" t="inlineStr"/>
      <c r="L65" s="220" t="inlineStr"/>
      <c r="M65" s="220" t="inlineStr">
        <is>
          <t>탄산</t>
        </is>
      </c>
      <c r="N65" s="220" t="inlineStr">
        <is>
          <t>Can</t>
        </is>
      </c>
      <c r="O65" s="221" t="n"/>
      <c r="P65" s="222" t="inlineStr">
        <is>
          <t>BOX</t>
        </is>
      </c>
      <c r="Q65" s="293" t="n">
        <v>7649</v>
      </c>
      <c r="R65" s="293" t="n">
        <v>0</v>
      </c>
      <c r="S65" s="293" t="n">
        <v>0</v>
      </c>
      <c r="T65" s="293" t="n">
        <v>7649</v>
      </c>
      <c r="U65" s="293" t="n">
        <v>355</v>
      </c>
      <c r="V65" s="222" t="inlineStr">
        <is>
          <t>ML</t>
        </is>
      </c>
    </row>
    <row r="66">
      <c r="A66" s="220" t="inlineStr">
        <is>
          <t>B117</t>
        </is>
      </c>
      <c r="B66" s="220" t="inlineStr">
        <is>
          <t>MO5656</t>
        </is>
      </c>
      <c r="C66" s="220" t="inlineStr">
        <is>
          <t>S)몬스터 에너지 망고로코 355CAN 4X6</t>
        </is>
      </c>
      <c r="D66" s="220" t="inlineStr">
        <is>
          <t>3000</t>
        </is>
      </c>
      <c r="E66" s="220" t="inlineStr">
        <is>
          <t>제/상품창고</t>
        </is>
      </c>
      <c r="F66" s="220" t="inlineStr"/>
      <c r="G66" s="220" t="inlineStr">
        <is>
          <t>BOX</t>
        </is>
      </c>
      <c r="H66" s="220" t="inlineStr">
        <is>
          <t>음료 완제품</t>
        </is>
      </c>
      <c r="I66" s="220" t="inlineStr">
        <is>
          <t>음료상품</t>
        </is>
      </c>
      <c r="J66" s="220" t="inlineStr"/>
      <c r="K66" s="220" t="inlineStr"/>
      <c r="L66" s="220" t="inlineStr"/>
      <c r="M66" s="220" t="inlineStr">
        <is>
          <t>탄산</t>
        </is>
      </c>
      <c r="N66" s="220" t="inlineStr">
        <is>
          <t>Can</t>
        </is>
      </c>
      <c r="O66" s="221" t="n"/>
      <c r="P66" s="222" t="inlineStr">
        <is>
          <t>BOX</t>
        </is>
      </c>
      <c r="Q66" s="293" t="n">
        <v>3624</v>
      </c>
      <c r="R66" s="293" t="n">
        <v>0</v>
      </c>
      <c r="S66" s="293" t="n">
        <v>0</v>
      </c>
      <c r="T66" s="293" t="n">
        <v>3624</v>
      </c>
      <c r="U66" s="293" t="n">
        <v>355</v>
      </c>
      <c r="V66" s="222" t="inlineStr">
        <is>
          <t>ML</t>
        </is>
      </c>
    </row>
    <row r="67">
      <c r="A67" s="220" t="inlineStr">
        <is>
          <t>B117</t>
        </is>
      </c>
      <c r="B67" s="220" t="inlineStr">
        <is>
          <t>MO5664</t>
        </is>
      </c>
      <c r="C67" s="220" t="inlineStr">
        <is>
          <t>S)몬스터 에너지 피치킨 355CAN 4X6</t>
        </is>
      </c>
      <c r="D67" s="220" t="inlineStr">
        <is>
          <t>3000</t>
        </is>
      </c>
      <c r="E67" s="220" t="inlineStr">
        <is>
          <t>제/상품창고</t>
        </is>
      </c>
      <c r="F67" s="220" t="inlineStr"/>
      <c r="G67" s="220" t="inlineStr">
        <is>
          <t>BOX</t>
        </is>
      </c>
      <c r="H67" s="220" t="inlineStr">
        <is>
          <t>음료 완제품</t>
        </is>
      </c>
      <c r="I67" s="220" t="inlineStr">
        <is>
          <t>음료상품</t>
        </is>
      </c>
      <c r="J67" s="220" t="inlineStr"/>
      <c r="K67" s="220" t="inlineStr"/>
      <c r="L67" s="220" t="inlineStr"/>
      <c r="M67" s="220" t="inlineStr">
        <is>
          <t>탄산</t>
        </is>
      </c>
      <c r="N67" s="220" t="inlineStr">
        <is>
          <t>Can</t>
        </is>
      </c>
      <c r="O67" s="221" t="n"/>
      <c r="P67" s="222" t="inlineStr">
        <is>
          <t>BOX</t>
        </is>
      </c>
      <c r="Q67" s="293" t="n">
        <v>2619</v>
      </c>
      <c r="R67" s="293" t="n">
        <v>0</v>
      </c>
      <c r="S67" s="293" t="n">
        <v>0</v>
      </c>
      <c r="T67" s="293" t="n">
        <v>2619</v>
      </c>
      <c r="U67" s="293" t="n">
        <v>355</v>
      </c>
      <c r="V67" s="222" t="inlineStr">
        <is>
          <t>ML</t>
        </is>
      </c>
    </row>
    <row r="68">
      <c r="A68" s="220" t="inlineStr">
        <is>
          <t>B117</t>
        </is>
      </c>
      <c r="B68" s="220" t="inlineStr">
        <is>
          <t>MO5668</t>
        </is>
      </c>
      <c r="C68" s="220" t="inlineStr">
        <is>
          <t>S)몬스터 오지 레모네이드 355CAN 4X6</t>
        </is>
      </c>
      <c r="D68" s="220" t="inlineStr">
        <is>
          <t>3000</t>
        </is>
      </c>
      <c r="E68" s="220" t="inlineStr">
        <is>
          <t>제/상품창고</t>
        </is>
      </c>
      <c r="F68" s="220" t="inlineStr"/>
      <c r="G68" s="220" t="inlineStr">
        <is>
          <t>BOX</t>
        </is>
      </c>
      <c r="H68" s="220" t="inlineStr">
        <is>
          <t>음료 완제품</t>
        </is>
      </c>
      <c r="I68" s="220" t="inlineStr">
        <is>
          <t>음료상품</t>
        </is>
      </c>
      <c r="J68" s="220" t="inlineStr"/>
      <c r="K68" s="220" t="inlineStr"/>
      <c r="L68" s="220" t="inlineStr"/>
      <c r="M68" s="220" t="inlineStr">
        <is>
          <t>탄산</t>
        </is>
      </c>
      <c r="N68" s="220" t="inlineStr">
        <is>
          <t>Can</t>
        </is>
      </c>
      <c r="O68" s="221" t="n"/>
      <c r="P68" s="222" t="inlineStr">
        <is>
          <t>BOX</t>
        </is>
      </c>
      <c r="Q68" s="293" t="n">
        <v>1700</v>
      </c>
      <c r="R68" s="293" t="n">
        <v>0</v>
      </c>
      <c r="S68" s="293" t="n">
        <v>0</v>
      </c>
      <c r="T68" s="293" t="n">
        <v>1700</v>
      </c>
      <c r="U68" s="293" t="n">
        <v>355</v>
      </c>
      <c r="V68" s="222" t="inlineStr">
        <is>
          <t>ML</t>
        </is>
      </c>
    </row>
    <row r="69">
      <c r="A69" s="220" t="inlineStr">
        <is>
          <t>B117</t>
        </is>
      </c>
      <c r="B69" s="220" t="inlineStr">
        <is>
          <t>MO5672</t>
        </is>
      </c>
      <c r="C69" s="220" t="inlineStr">
        <is>
          <t>S)몬스터 에너지 그린 500CAN 4X6</t>
        </is>
      </c>
      <c r="D69" s="220" t="inlineStr">
        <is>
          <t>3000</t>
        </is>
      </c>
      <c r="E69" s="220" t="inlineStr">
        <is>
          <t>제/상품창고</t>
        </is>
      </c>
      <c r="F69" s="220" t="inlineStr"/>
      <c r="G69" s="220" t="inlineStr">
        <is>
          <t>BOX</t>
        </is>
      </c>
      <c r="H69" s="220" t="inlineStr">
        <is>
          <t>음료 완제품</t>
        </is>
      </c>
      <c r="I69" s="220" t="inlineStr">
        <is>
          <t>음료상품</t>
        </is>
      </c>
      <c r="J69" s="220" t="inlineStr"/>
      <c r="K69" s="220" t="inlineStr"/>
      <c r="L69" s="220" t="inlineStr"/>
      <c r="M69" s="220" t="inlineStr">
        <is>
          <t>탄산</t>
        </is>
      </c>
      <c r="N69" s="220" t="inlineStr">
        <is>
          <t>Can</t>
        </is>
      </c>
      <c r="O69" s="221" t="n"/>
      <c r="P69" s="222" t="inlineStr">
        <is>
          <t>BOX</t>
        </is>
      </c>
      <c r="Q69" s="293" t="n">
        <v>1616</v>
      </c>
      <c r="R69" s="293" t="n">
        <v>0</v>
      </c>
      <c r="S69" s="293" t="n">
        <v>0</v>
      </c>
      <c r="T69" s="293" t="n">
        <v>1616</v>
      </c>
      <c r="U69" s="293" t="n">
        <v>500</v>
      </c>
      <c r="V69" s="222" t="inlineStr">
        <is>
          <t>ML</t>
        </is>
      </c>
    </row>
    <row r="70">
      <c r="A70" s="220" t="inlineStr">
        <is>
          <t>B117</t>
        </is>
      </c>
      <c r="B70" s="220" t="inlineStr">
        <is>
          <t>MO5673</t>
        </is>
      </c>
      <c r="C70" s="220" t="inlineStr">
        <is>
          <t>S)몬스터 에너지 울트라 500CAN 4X6</t>
        </is>
      </c>
      <c r="D70" s="220" t="inlineStr">
        <is>
          <t>3000</t>
        </is>
      </c>
      <c r="E70" s="220" t="inlineStr">
        <is>
          <t>제/상품창고</t>
        </is>
      </c>
      <c r="F70" s="220" t="inlineStr"/>
      <c r="G70" s="220" t="inlineStr">
        <is>
          <t>BOX</t>
        </is>
      </c>
      <c r="H70" s="220" t="inlineStr">
        <is>
          <t>음료 완제품</t>
        </is>
      </c>
      <c r="I70" s="220" t="inlineStr">
        <is>
          <t>음료상품</t>
        </is>
      </c>
      <c r="J70" s="220" t="inlineStr"/>
      <c r="K70" s="220" t="inlineStr"/>
      <c r="L70" s="220" t="inlineStr"/>
      <c r="M70" s="220" t="inlineStr">
        <is>
          <t>탄산</t>
        </is>
      </c>
      <c r="N70" s="220" t="inlineStr">
        <is>
          <t>Can</t>
        </is>
      </c>
      <c r="O70" s="221" t="n"/>
      <c r="P70" s="222" t="inlineStr">
        <is>
          <t>BOX</t>
        </is>
      </c>
      <c r="Q70" s="293" t="n">
        <v>2660</v>
      </c>
      <c r="R70" s="293" t="n">
        <v>0</v>
      </c>
      <c r="S70" s="293" t="n">
        <v>0</v>
      </c>
      <c r="T70" s="293" t="n">
        <v>2660</v>
      </c>
      <c r="U70" s="293" t="n">
        <v>500</v>
      </c>
      <c r="V70" s="222" t="inlineStr">
        <is>
          <t>ML</t>
        </is>
      </c>
    </row>
    <row r="71">
      <c r="A71" s="220" t="inlineStr">
        <is>
          <t>B117</t>
        </is>
      </c>
      <c r="B71" s="220" t="inlineStr">
        <is>
          <t>MO5676</t>
        </is>
      </c>
      <c r="C71" s="220" t="inlineStr">
        <is>
          <t>S)몬스터 스트로베리 드림즈 355CAN 4X6</t>
        </is>
      </c>
      <c r="D71" s="220" t="inlineStr">
        <is>
          <t>3000</t>
        </is>
      </c>
      <c r="E71" s="220" t="inlineStr">
        <is>
          <t>제/상품창고</t>
        </is>
      </c>
      <c r="F71" s="220" t="inlineStr"/>
      <c r="G71" s="220" t="inlineStr">
        <is>
          <t>BOX</t>
        </is>
      </c>
      <c r="H71" s="220" t="inlineStr">
        <is>
          <t>음료 완제품</t>
        </is>
      </c>
      <c r="I71" s="220" t="inlineStr">
        <is>
          <t>음료상품</t>
        </is>
      </c>
      <c r="J71" s="220" t="inlineStr"/>
      <c r="K71" s="220" t="inlineStr"/>
      <c r="L71" s="220" t="inlineStr"/>
      <c r="M71" s="220" t="inlineStr">
        <is>
          <t>탄산</t>
        </is>
      </c>
      <c r="N71" s="220" t="inlineStr">
        <is>
          <t>Can</t>
        </is>
      </c>
      <c r="O71" s="221" t="n"/>
      <c r="P71" s="222" t="inlineStr">
        <is>
          <t>BOX</t>
        </is>
      </c>
      <c r="Q71" s="293" t="n">
        <v>1675</v>
      </c>
      <c r="R71" s="293" t="n">
        <v>0</v>
      </c>
      <c r="S71" s="293" t="n">
        <v>0</v>
      </c>
      <c r="T71" s="293" t="n">
        <v>1675</v>
      </c>
      <c r="U71" s="293" t="n">
        <v>355</v>
      </c>
      <c r="V71" s="222" t="inlineStr">
        <is>
          <t>ML</t>
        </is>
      </c>
    </row>
    <row r="72">
      <c r="A72" s="220" t="inlineStr">
        <is>
          <t>B117</t>
        </is>
      </c>
      <c r="B72" s="220" t="inlineStr">
        <is>
          <t>MO5679</t>
        </is>
      </c>
      <c r="C72" s="220" t="inlineStr">
        <is>
          <t>S)몬스터 에너지 파피용 355CAN 4X6</t>
        </is>
      </c>
      <c r="D72" s="220" t="inlineStr">
        <is>
          <t>3000</t>
        </is>
      </c>
      <c r="E72" s="220" t="inlineStr">
        <is>
          <t>제/상품창고</t>
        </is>
      </c>
      <c r="F72" s="220" t="inlineStr"/>
      <c r="G72" s="220" t="inlineStr">
        <is>
          <t>BOX</t>
        </is>
      </c>
      <c r="H72" s="220" t="inlineStr">
        <is>
          <t>음료 완제품</t>
        </is>
      </c>
      <c r="I72" s="220" t="inlineStr">
        <is>
          <t>음료상품</t>
        </is>
      </c>
      <c r="J72" s="220" t="inlineStr"/>
      <c r="K72" s="220" t="inlineStr"/>
      <c r="L72" s="220" t="inlineStr"/>
      <c r="M72" s="220" t="inlineStr">
        <is>
          <t>탄산</t>
        </is>
      </c>
      <c r="N72" s="220" t="inlineStr">
        <is>
          <t>Can</t>
        </is>
      </c>
      <c r="O72" s="221" t="n"/>
      <c r="P72" s="222" t="inlineStr">
        <is>
          <t>BOX</t>
        </is>
      </c>
      <c r="Q72" s="293" t="n">
        <v>1803</v>
      </c>
      <c r="R72" s="293" t="n">
        <v>0</v>
      </c>
      <c r="S72" s="293" t="n">
        <v>0</v>
      </c>
      <c r="T72" s="293" t="n">
        <v>1803</v>
      </c>
      <c r="U72" s="293" t="n">
        <v>355</v>
      </c>
      <c r="V72" s="222" t="inlineStr">
        <is>
          <t>ML</t>
        </is>
      </c>
    </row>
    <row r="73">
      <c r="A73" s="220" t="inlineStr">
        <is>
          <t>B117</t>
        </is>
      </c>
      <c r="B73" s="220" t="inlineStr">
        <is>
          <t>PA0002</t>
        </is>
      </c>
      <c r="C73" s="220" t="inlineStr">
        <is>
          <t>S)파워에이드 제로 600ml PET 4X6</t>
        </is>
      </c>
      <c r="D73" s="220" t="inlineStr">
        <is>
          <t>3000</t>
        </is>
      </c>
      <c r="E73" s="220" t="inlineStr">
        <is>
          <t>제/상품창고</t>
        </is>
      </c>
      <c r="F73" s="220" t="inlineStr"/>
      <c r="G73" s="220" t="inlineStr">
        <is>
          <t>BOX</t>
        </is>
      </c>
      <c r="H73" s="220" t="inlineStr">
        <is>
          <t>음료 완제품</t>
        </is>
      </c>
      <c r="I73" s="220" t="inlineStr">
        <is>
          <t>음료제품</t>
        </is>
      </c>
      <c r="J73" s="220" t="inlineStr"/>
      <c r="K73" s="220" t="inlineStr"/>
      <c r="L73" s="220" t="inlineStr"/>
      <c r="M73" s="220" t="inlineStr">
        <is>
          <t>비탄산</t>
        </is>
      </c>
      <c r="N73" s="220" t="inlineStr">
        <is>
          <t>Pet</t>
        </is>
      </c>
      <c r="O73" s="221" t="n"/>
      <c r="P73" s="222" t="inlineStr">
        <is>
          <t>BOX</t>
        </is>
      </c>
      <c r="Q73" s="293" t="n">
        <v>793</v>
      </c>
      <c r="R73" s="293" t="n">
        <v>0</v>
      </c>
      <c r="S73" s="293" t="n">
        <v>0</v>
      </c>
      <c r="T73" s="293" t="n">
        <v>793</v>
      </c>
      <c r="U73" s="293" t="n">
        <v>600</v>
      </c>
      <c r="V73" s="222" t="inlineStr">
        <is>
          <t>ML</t>
        </is>
      </c>
    </row>
    <row r="74">
      <c r="A74" s="220" t="inlineStr">
        <is>
          <t>B117</t>
        </is>
      </c>
      <c r="B74" s="220" t="inlineStr">
        <is>
          <t>PA1007</t>
        </is>
      </c>
      <c r="C74" s="220" t="inlineStr">
        <is>
          <t>S)파워 제로 라임향 600PET 4X6</t>
        </is>
      </c>
      <c r="D74" s="220" t="inlineStr">
        <is>
          <t>3000</t>
        </is>
      </c>
      <c r="E74" s="220" t="inlineStr">
        <is>
          <t>제/상품창고</t>
        </is>
      </c>
      <c r="F74" s="220" t="inlineStr"/>
      <c r="G74" s="220" t="inlineStr">
        <is>
          <t>BOX</t>
        </is>
      </c>
      <c r="H74" s="220" t="inlineStr">
        <is>
          <t>음료 완제품</t>
        </is>
      </c>
      <c r="I74" s="220" t="inlineStr">
        <is>
          <t>음료제품</t>
        </is>
      </c>
      <c r="J74" s="220" t="inlineStr"/>
      <c r="K74" s="220" t="inlineStr"/>
      <c r="L74" s="220" t="inlineStr"/>
      <c r="M74" s="220" t="inlineStr">
        <is>
          <t>비탄산</t>
        </is>
      </c>
      <c r="N74" s="220" t="inlineStr">
        <is>
          <t>Pet</t>
        </is>
      </c>
      <c r="O74" s="221" t="n"/>
      <c r="P74" s="222" t="inlineStr">
        <is>
          <t>BOX</t>
        </is>
      </c>
      <c r="Q74" s="293" t="n">
        <v>7103</v>
      </c>
      <c r="R74" s="293" t="n">
        <v>0</v>
      </c>
      <c r="S74" s="293" t="n">
        <v>0</v>
      </c>
      <c r="T74" s="293" t="n">
        <v>7103</v>
      </c>
      <c r="U74" s="293" t="n">
        <v>600</v>
      </c>
      <c r="V74" s="222" t="inlineStr">
        <is>
          <t>ML</t>
        </is>
      </c>
    </row>
    <row r="75">
      <c r="A75" s="220" t="inlineStr">
        <is>
          <t>B117</t>
        </is>
      </c>
      <c r="B75" s="220" t="inlineStr">
        <is>
          <t>PA6277</t>
        </is>
      </c>
      <c r="C75" s="220" t="inlineStr">
        <is>
          <t>S)파워 퍼플스톰 600PET 4X6</t>
        </is>
      </c>
      <c r="D75" s="220" t="inlineStr">
        <is>
          <t>3000</t>
        </is>
      </c>
      <c r="E75" s="220" t="inlineStr">
        <is>
          <t>제/상품창고</t>
        </is>
      </c>
      <c r="F75" s="220" t="inlineStr"/>
      <c r="G75" s="220" t="inlineStr">
        <is>
          <t>BOX</t>
        </is>
      </c>
      <c r="H75" s="220" t="inlineStr">
        <is>
          <t>음료 완제품</t>
        </is>
      </c>
      <c r="I75" s="220" t="inlineStr">
        <is>
          <t>음료제품</t>
        </is>
      </c>
      <c r="J75" s="220" t="inlineStr"/>
      <c r="K75" s="220" t="inlineStr"/>
      <c r="L75" s="220" t="inlineStr"/>
      <c r="M75" s="220" t="inlineStr">
        <is>
          <t>비탄산</t>
        </is>
      </c>
      <c r="N75" s="220" t="inlineStr">
        <is>
          <t>Pet</t>
        </is>
      </c>
      <c r="O75" s="221" t="n"/>
      <c r="P75" s="222" t="inlineStr">
        <is>
          <t>BOX</t>
        </is>
      </c>
      <c r="Q75" s="293" t="n">
        <v>3068</v>
      </c>
      <c r="R75" s="293" t="n">
        <v>0</v>
      </c>
      <c r="S75" s="293" t="n">
        <v>0</v>
      </c>
      <c r="T75" s="293" t="n">
        <v>3068</v>
      </c>
      <c r="U75" s="293" t="n">
        <v>600</v>
      </c>
      <c r="V75" s="222" t="inlineStr">
        <is>
          <t>ML</t>
        </is>
      </c>
    </row>
    <row r="76">
      <c r="A76" s="220" t="inlineStr">
        <is>
          <t>B117</t>
        </is>
      </c>
      <c r="B76" s="220" t="inlineStr">
        <is>
          <t>PA6285</t>
        </is>
      </c>
      <c r="C76" s="220" t="inlineStr">
        <is>
          <t>S)파워 스칼렛스톰 600PET 4X6</t>
        </is>
      </c>
      <c r="D76" s="220" t="inlineStr">
        <is>
          <t>3000</t>
        </is>
      </c>
      <c r="E76" s="220" t="inlineStr">
        <is>
          <t>제/상품창고</t>
        </is>
      </c>
      <c r="F76" s="220" t="inlineStr"/>
      <c r="G76" s="220" t="inlineStr">
        <is>
          <t>BOX</t>
        </is>
      </c>
      <c r="H76" s="220" t="inlineStr">
        <is>
          <t>음료 완제품</t>
        </is>
      </c>
      <c r="I76" s="220" t="inlineStr">
        <is>
          <t>음료제품</t>
        </is>
      </c>
      <c r="J76" s="220" t="inlineStr"/>
      <c r="K76" s="220" t="inlineStr"/>
      <c r="L76" s="220" t="inlineStr"/>
      <c r="M76" s="220" t="inlineStr">
        <is>
          <t>비탄산</t>
        </is>
      </c>
      <c r="N76" s="220" t="inlineStr">
        <is>
          <t>Pet</t>
        </is>
      </c>
      <c r="O76" s="221" t="n"/>
      <c r="P76" s="222" t="inlineStr">
        <is>
          <t>BOX</t>
        </is>
      </c>
      <c r="Q76" s="293" t="n">
        <v>4380</v>
      </c>
      <c r="R76" s="293" t="n">
        <v>0</v>
      </c>
      <c r="S76" s="293" t="n">
        <v>0</v>
      </c>
      <c r="T76" s="293" t="n">
        <v>4380</v>
      </c>
      <c r="U76" s="293" t="n">
        <v>600</v>
      </c>
      <c r="V76" s="222" t="inlineStr">
        <is>
          <t>ML</t>
        </is>
      </c>
    </row>
    <row r="77">
      <c r="A77" s="220" t="inlineStr">
        <is>
          <t>B117</t>
        </is>
      </c>
      <c r="B77" s="220" t="inlineStr">
        <is>
          <t>PA6871</t>
        </is>
      </c>
      <c r="C77" s="220" t="inlineStr">
        <is>
          <t>S)파워 마운틴블라 600PET 4X6</t>
        </is>
      </c>
      <c r="D77" s="220" t="inlineStr">
        <is>
          <t>3000</t>
        </is>
      </c>
      <c r="E77" s="220" t="inlineStr">
        <is>
          <t>제/상품창고</t>
        </is>
      </c>
      <c r="F77" s="220" t="inlineStr"/>
      <c r="G77" s="220" t="inlineStr">
        <is>
          <t>BOX</t>
        </is>
      </c>
      <c r="H77" s="220" t="inlineStr">
        <is>
          <t>음료 완제품</t>
        </is>
      </c>
      <c r="I77" s="220" t="inlineStr">
        <is>
          <t>음료제품</t>
        </is>
      </c>
      <c r="J77" s="220" t="inlineStr"/>
      <c r="K77" s="220" t="inlineStr"/>
      <c r="L77" s="220" t="inlineStr"/>
      <c r="M77" s="220" t="inlineStr">
        <is>
          <t>비탄산</t>
        </is>
      </c>
      <c r="N77" s="220" t="inlineStr">
        <is>
          <t>Pet</t>
        </is>
      </c>
      <c r="O77" s="221" t="n"/>
      <c r="P77" s="222" t="inlineStr">
        <is>
          <t>BOX</t>
        </is>
      </c>
      <c r="Q77" s="293" t="n">
        <v>4119</v>
      </c>
      <c r="R77" s="293" t="n">
        <v>0</v>
      </c>
      <c r="S77" s="293" t="n">
        <v>0</v>
      </c>
      <c r="T77" s="293" t="n">
        <v>4119</v>
      </c>
      <c r="U77" s="293" t="n">
        <v>600</v>
      </c>
      <c r="V77" s="222" t="inlineStr">
        <is>
          <t>ML</t>
        </is>
      </c>
    </row>
    <row r="78">
      <c r="A78" s="220" t="inlineStr">
        <is>
          <t>B117</t>
        </is>
      </c>
      <c r="B78" s="220" t="inlineStr">
        <is>
          <t>PA8521</t>
        </is>
      </c>
      <c r="C78" s="220" t="inlineStr">
        <is>
          <t>S)파워 마운틴블라 240CAN 5X6</t>
        </is>
      </c>
      <c r="D78" s="220" t="inlineStr">
        <is>
          <t>3000</t>
        </is>
      </c>
      <c r="E78" s="220" t="inlineStr">
        <is>
          <t>제/상품창고</t>
        </is>
      </c>
      <c r="F78" s="220" t="inlineStr"/>
      <c r="G78" s="220" t="inlineStr">
        <is>
          <t>BOX</t>
        </is>
      </c>
      <c r="H78" s="220" t="inlineStr">
        <is>
          <t>음료 완제품</t>
        </is>
      </c>
      <c r="I78" s="220" t="inlineStr">
        <is>
          <t>음료제품</t>
        </is>
      </c>
      <c r="J78" s="220" t="inlineStr"/>
      <c r="K78" s="220" t="inlineStr"/>
      <c r="L78" s="220" t="inlineStr"/>
      <c r="M78" s="220" t="inlineStr">
        <is>
          <t>비탄산</t>
        </is>
      </c>
      <c r="N78" s="220" t="inlineStr">
        <is>
          <t>Can</t>
        </is>
      </c>
      <c r="O78" s="221" t="n"/>
      <c r="P78" s="222" t="inlineStr">
        <is>
          <t>BOX</t>
        </is>
      </c>
      <c r="Q78" s="293" t="n">
        <v>6435</v>
      </c>
      <c r="R78" s="293" t="n">
        <v>0</v>
      </c>
      <c r="S78" s="293" t="n">
        <v>0</v>
      </c>
      <c r="T78" s="293" t="n">
        <v>6435</v>
      </c>
      <c r="U78" s="293" t="n">
        <v>240</v>
      </c>
      <c r="V78" s="222" t="inlineStr">
        <is>
          <t>ML</t>
        </is>
      </c>
    </row>
    <row r="79">
      <c r="A79" s="220" t="inlineStr">
        <is>
          <t>B117</t>
        </is>
      </c>
      <c r="B79" s="220" t="inlineStr">
        <is>
          <t>PA8541</t>
        </is>
      </c>
      <c r="C79" s="220" t="inlineStr">
        <is>
          <t>S)파워 마운틴블라 1.5PET 2X6</t>
        </is>
      </c>
      <c r="D79" s="220" t="inlineStr">
        <is>
          <t>3000</t>
        </is>
      </c>
      <c r="E79" s="220" t="inlineStr">
        <is>
          <t>제/상품창고</t>
        </is>
      </c>
      <c r="F79" s="220" t="inlineStr"/>
      <c r="G79" s="220" t="inlineStr">
        <is>
          <t>BOX</t>
        </is>
      </c>
      <c r="H79" s="220" t="inlineStr">
        <is>
          <t>음료 완제품</t>
        </is>
      </c>
      <c r="I79" s="220" t="inlineStr">
        <is>
          <t>음료제품</t>
        </is>
      </c>
      <c r="J79" s="220" t="inlineStr"/>
      <c r="K79" s="220" t="inlineStr"/>
      <c r="L79" s="220" t="inlineStr"/>
      <c r="M79" s="220" t="inlineStr">
        <is>
          <t>비탄산</t>
        </is>
      </c>
      <c r="N79" s="220" t="inlineStr">
        <is>
          <t>Pet</t>
        </is>
      </c>
      <c r="O79" s="221" t="n"/>
      <c r="P79" s="222" t="inlineStr">
        <is>
          <t>BOX</t>
        </is>
      </c>
      <c r="Q79" s="293" t="n">
        <v>2857</v>
      </c>
      <c r="R79" s="293" t="n">
        <v>0</v>
      </c>
      <c r="S79" s="293" t="n">
        <v>0</v>
      </c>
      <c r="T79" s="293" t="n">
        <v>2857</v>
      </c>
      <c r="U79" s="293" t="n">
        <v>1.5</v>
      </c>
      <c r="V79" s="222" t="inlineStr">
        <is>
          <t>L</t>
        </is>
      </c>
    </row>
    <row r="80">
      <c r="A80" s="220" t="inlineStr">
        <is>
          <t>B117</t>
        </is>
      </c>
      <c r="B80" s="220" t="inlineStr">
        <is>
          <t>SP4179</t>
        </is>
      </c>
      <c r="C80" s="220" t="inlineStr">
        <is>
          <t>S)스프라이트 350CAN 4X6</t>
        </is>
      </c>
      <c r="D80" s="220" t="inlineStr">
        <is>
          <t>3000</t>
        </is>
      </c>
      <c r="E80" s="220" t="inlineStr">
        <is>
          <t>제/상품창고</t>
        </is>
      </c>
      <c r="F80" s="220" t="inlineStr"/>
      <c r="G80" s="220" t="inlineStr">
        <is>
          <t>BOX</t>
        </is>
      </c>
      <c r="H80" s="220" t="inlineStr">
        <is>
          <t>음료 완제품</t>
        </is>
      </c>
      <c r="I80" s="220" t="inlineStr">
        <is>
          <t>음료제품</t>
        </is>
      </c>
      <c r="J80" s="220" t="inlineStr"/>
      <c r="K80" s="220" t="inlineStr"/>
      <c r="L80" s="220" t="inlineStr"/>
      <c r="M80" s="220" t="inlineStr">
        <is>
          <t>탄산</t>
        </is>
      </c>
      <c r="N80" s="220" t="inlineStr">
        <is>
          <t>Can</t>
        </is>
      </c>
      <c r="O80" s="221" t="n"/>
      <c r="P80" s="222" t="inlineStr">
        <is>
          <t>BOX</t>
        </is>
      </c>
      <c r="Q80" s="293" t="n">
        <v>3840</v>
      </c>
      <c r="R80" s="293" t="n">
        <v>0</v>
      </c>
      <c r="S80" s="293" t="n">
        <v>0</v>
      </c>
      <c r="T80" s="293" t="n">
        <v>3840</v>
      </c>
      <c r="U80" s="293" t="n">
        <v>350</v>
      </c>
      <c r="V80" s="222" t="inlineStr">
        <is>
          <t>ML</t>
        </is>
      </c>
    </row>
    <row r="81">
      <c r="A81" s="220" t="inlineStr">
        <is>
          <t>B117</t>
        </is>
      </c>
      <c r="B81" s="220" t="inlineStr">
        <is>
          <t>SP4181</t>
        </is>
      </c>
      <c r="C81" s="220" t="inlineStr">
        <is>
          <t>S)스프라이트 제로 350CAN 4X6</t>
        </is>
      </c>
      <c r="D81" s="220" t="inlineStr">
        <is>
          <t>3000</t>
        </is>
      </c>
      <c r="E81" s="220" t="inlineStr">
        <is>
          <t>제/상품창고</t>
        </is>
      </c>
      <c r="F81" s="220" t="inlineStr"/>
      <c r="G81" s="220" t="inlineStr">
        <is>
          <t>BOX</t>
        </is>
      </c>
      <c r="H81" s="220" t="inlineStr">
        <is>
          <t>음료 완제품</t>
        </is>
      </c>
      <c r="I81" s="220" t="inlineStr">
        <is>
          <t>음료제품</t>
        </is>
      </c>
      <c r="J81" s="220" t="inlineStr"/>
      <c r="K81" s="220" t="inlineStr"/>
      <c r="L81" s="220" t="inlineStr"/>
      <c r="M81" s="220" t="inlineStr">
        <is>
          <t>탄산</t>
        </is>
      </c>
      <c r="N81" s="220" t="inlineStr">
        <is>
          <t>Can</t>
        </is>
      </c>
      <c r="O81" s="221" t="n"/>
      <c r="P81" s="222" t="inlineStr">
        <is>
          <t>BOX</t>
        </is>
      </c>
      <c r="Q81" s="293" t="n">
        <v>517</v>
      </c>
      <c r="R81" s="293" t="n">
        <v>0</v>
      </c>
      <c r="S81" s="293" t="n">
        <v>0</v>
      </c>
      <c r="T81" s="293" t="n">
        <v>517</v>
      </c>
      <c r="U81" s="293" t="n">
        <v>350</v>
      </c>
      <c r="V81" s="222" t="inlineStr">
        <is>
          <t>ML</t>
        </is>
      </c>
    </row>
    <row r="82">
      <c r="A82" s="220" t="inlineStr">
        <is>
          <t>B117</t>
        </is>
      </c>
      <c r="B82" s="220" t="inlineStr">
        <is>
          <t>SP4184</t>
        </is>
      </c>
      <c r="C82" s="220" t="inlineStr">
        <is>
          <t>S)스프제로 칠 아이스블라스트 350CAN 4X6</t>
        </is>
      </c>
      <c r="D82" s="220" t="inlineStr">
        <is>
          <t>3000</t>
        </is>
      </c>
      <c r="E82" s="220" t="inlineStr">
        <is>
          <t>제/상품창고</t>
        </is>
      </c>
      <c r="F82" s="220" t="inlineStr"/>
      <c r="G82" s="220" t="inlineStr">
        <is>
          <t>BOX</t>
        </is>
      </c>
      <c r="H82" s="220" t="inlineStr">
        <is>
          <t>음료 완제품</t>
        </is>
      </c>
      <c r="I82" s="220" t="inlineStr">
        <is>
          <t>음료제품</t>
        </is>
      </c>
      <c r="J82" s="220" t="inlineStr"/>
      <c r="K82" s="220" t="inlineStr"/>
      <c r="L82" s="220" t="inlineStr"/>
      <c r="M82" s="220" t="inlineStr">
        <is>
          <t>탄산</t>
        </is>
      </c>
      <c r="N82" s="220" t="inlineStr">
        <is>
          <t>Can</t>
        </is>
      </c>
      <c r="O82" s="221" t="n"/>
      <c r="P82" s="222" t="inlineStr">
        <is>
          <t>BOX</t>
        </is>
      </c>
      <c r="Q82" s="293" t="n">
        <v>3656</v>
      </c>
      <c r="R82" s="293" t="n">
        <v>0</v>
      </c>
      <c r="S82" s="293" t="n">
        <v>0</v>
      </c>
      <c r="T82" s="293" t="n">
        <v>3656</v>
      </c>
      <c r="U82" s="293" t="n">
        <v>350</v>
      </c>
      <c r="V82" s="222" t="inlineStr">
        <is>
          <t>ML</t>
        </is>
      </c>
    </row>
    <row r="83">
      <c r="A83" s="220" t="inlineStr">
        <is>
          <t>B117</t>
        </is>
      </c>
      <c r="B83" s="220" t="inlineStr">
        <is>
          <t>SP6103</t>
        </is>
      </c>
      <c r="C83" s="220" t="inlineStr">
        <is>
          <t>S)스프라이트 제로 500PET 4X6</t>
        </is>
      </c>
      <c r="D83" s="220" t="inlineStr">
        <is>
          <t>3000</t>
        </is>
      </c>
      <c r="E83" s="220" t="inlineStr">
        <is>
          <t>제/상품창고</t>
        </is>
      </c>
      <c r="F83" s="220" t="inlineStr"/>
      <c r="G83" s="220" t="inlineStr">
        <is>
          <t>BOX</t>
        </is>
      </c>
      <c r="H83" s="220" t="inlineStr">
        <is>
          <t>음료 완제품</t>
        </is>
      </c>
      <c r="I83" s="220" t="inlineStr">
        <is>
          <t>음료제품</t>
        </is>
      </c>
      <c r="J83" s="220" t="inlineStr"/>
      <c r="K83" s="220" t="inlineStr"/>
      <c r="L83" s="220" t="inlineStr"/>
      <c r="M83" s="220" t="inlineStr">
        <is>
          <t>탄산</t>
        </is>
      </c>
      <c r="N83" s="220" t="inlineStr">
        <is>
          <t>Pet</t>
        </is>
      </c>
      <c r="O83" s="221" t="n"/>
      <c r="P83" s="222" t="inlineStr">
        <is>
          <t>BOX</t>
        </is>
      </c>
      <c r="Q83" s="293" t="n">
        <v>2988</v>
      </c>
      <c r="R83" s="293" t="n">
        <v>0</v>
      </c>
      <c r="S83" s="293" t="n">
        <v>0</v>
      </c>
      <c r="T83" s="293" t="n">
        <v>2988</v>
      </c>
      <c r="U83" s="293" t="n">
        <v>500</v>
      </c>
      <c r="V83" s="222" t="inlineStr">
        <is>
          <t>ML</t>
        </is>
      </c>
    </row>
    <row r="84">
      <c r="A84" s="220" t="inlineStr">
        <is>
          <t>B117</t>
        </is>
      </c>
      <c r="B84" s="220" t="inlineStr">
        <is>
          <t>SP6111</t>
        </is>
      </c>
      <c r="C84" s="220" t="inlineStr">
        <is>
          <t>S)스프라이트 250CAN 5X6</t>
        </is>
      </c>
      <c r="D84" s="220" t="inlineStr">
        <is>
          <t>3000</t>
        </is>
      </c>
      <c r="E84" s="220" t="inlineStr">
        <is>
          <t>제/상품창고</t>
        </is>
      </c>
      <c r="F84" s="220" t="inlineStr"/>
      <c r="G84" s="220" t="inlineStr">
        <is>
          <t>BOX</t>
        </is>
      </c>
      <c r="H84" s="220" t="inlineStr">
        <is>
          <t>음료 완제품</t>
        </is>
      </c>
      <c r="I84" s="220" t="inlineStr">
        <is>
          <t>음료제품</t>
        </is>
      </c>
      <c r="J84" s="220" t="inlineStr"/>
      <c r="K84" s="220" t="inlineStr"/>
      <c r="L84" s="220" t="inlineStr"/>
      <c r="M84" s="220" t="inlineStr">
        <is>
          <t>탄산</t>
        </is>
      </c>
      <c r="N84" s="220" t="inlineStr">
        <is>
          <t>Can</t>
        </is>
      </c>
      <c r="O84" s="221" t="n"/>
      <c r="P84" s="222" t="inlineStr">
        <is>
          <t>BOX</t>
        </is>
      </c>
      <c r="Q84" s="293" t="n">
        <v>515</v>
      </c>
      <c r="R84" s="293" t="n">
        <v>0</v>
      </c>
      <c r="S84" s="293" t="n">
        <v>0</v>
      </c>
      <c r="T84" s="293" t="n">
        <v>515</v>
      </c>
      <c r="U84" s="293" t="n">
        <v>250</v>
      </c>
      <c r="V84" s="222" t="inlineStr">
        <is>
          <t>ML</t>
        </is>
      </c>
    </row>
    <row r="85">
      <c r="A85" s="220" t="inlineStr">
        <is>
          <t>B117</t>
        </is>
      </c>
      <c r="B85" s="220" t="inlineStr">
        <is>
          <t>SP6117</t>
        </is>
      </c>
      <c r="C85" s="220" t="inlineStr">
        <is>
          <t>S)스프라이트 500PET 4X6</t>
        </is>
      </c>
      <c r="D85" s="220" t="inlineStr">
        <is>
          <t>3000</t>
        </is>
      </c>
      <c r="E85" s="220" t="inlineStr">
        <is>
          <t>제/상품창고</t>
        </is>
      </c>
      <c r="F85" s="220" t="inlineStr"/>
      <c r="G85" s="220" t="inlineStr">
        <is>
          <t>BOX</t>
        </is>
      </c>
      <c r="H85" s="220" t="inlineStr">
        <is>
          <t>음료 완제품</t>
        </is>
      </c>
      <c r="I85" s="220" t="inlineStr">
        <is>
          <t>음료제품</t>
        </is>
      </c>
      <c r="J85" s="220" t="inlineStr"/>
      <c r="K85" s="220" t="inlineStr"/>
      <c r="L85" s="220" t="inlineStr"/>
      <c r="M85" s="220" t="inlineStr">
        <is>
          <t>탄산</t>
        </is>
      </c>
      <c r="N85" s="220" t="inlineStr">
        <is>
          <t>Pet</t>
        </is>
      </c>
      <c r="O85" s="221" t="n"/>
      <c r="P85" s="222" t="inlineStr">
        <is>
          <t>BOX</t>
        </is>
      </c>
      <c r="Q85" s="293" t="n">
        <v>6178</v>
      </c>
      <c r="R85" s="293" t="n">
        <v>0</v>
      </c>
      <c r="S85" s="293" t="n">
        <v>0</v>
      </c>
      <c r="T85" s="293" t="n">
        <v>6178</v>
      </c>
      <c r="U85" s="293" t="n">
        <v>500</v>
      </c>
      <c r="V85" s="222" t="inlineStr">
        <is>
          <t>ML</t>
        </is>
      </c>
    </row>
    <row r="86">
      <c r="A86" s="220" t="inlineStr">
        <is>
          <t>B117</t>
        </is>
      </c>
      <c r="B86" s="220" t="inlineStr">
        <is>
          <t>SP6120</t>
        </is>
      </c>
      <c r="C86" s="220" t="inlineStr">
        <is>
          <t>S)스프라이트 1.5PET 2X6</t>
        </is>
      </c>
      <c r="D86" s="220" t="inlineStr">
        <is>
          <t>3000</t>
        </is>
      </c>
      <c r="E86" s="220" t="inlineStr">
        <is>
          <t>제/상품창고</t>
        </is>
      </c>
      <c r="F86" s="220" t="inlineStr"/>
      <c r="G86" s="220" t="inlineStr">
        <is>
          <t>BOX</t>
        </is>
      </c>
      <c r="H86" s="220" t="inlineStr">
        <is>
          <t>음료 완제품</t>
        </is>
      </c>
      <c r="I86" s="220" t="inlineStr">
        <is>
          <t>음료제품</t>
        </is>
      </c>
      <c r="J86" s="220" t="inlineStr"/>
      <c r="K86" s="220" t="inlineStr"/>
      <c r="L86" s="220" t="inlineStr"/>
      <c r="M86" s="220" t="inlineStr">
        <is>
          <t>탄산</t>
        </is>
      </c>
      <c r="N86" s="220" t="inlineStr">
        <is>
          <t>Pet</t>
        </is>
      </c>
      <c r="O86" s="221" t="n"/>
      <c r="P86" s="222" t="inlineStr">
        <is>
          <t>BOX</t>
        </is>
      </c>
      <c r="Q86" s="293" t="n">
        <v>3486</v>
      </c>
      <c r="R86" s="293" t="n">
        <v>0</v>
      </c>
      <c r="S86" s="293" t="n">
        <v>0</v>
      </c>
      <c r="T86" s="293" t="n">
        <v>3486</v>
      </c>
      <c r="U86" s="293" t="n">
        <v>1.5</v>
      </c>
      <c r="V86" s="222" t="inlineStr">
        <is>
          <t>L</t>
        </is>
      </c>
    </row>
    <row r="87">
      <c r="A87" s="220" t="inlineStr">
        <is>
          <t>B117</t>
        </is>
      </c>
      <c r="B87" s="220" t="inlineStr">
        <is>
          <t>TR8560</t>
        </is>
      </c>
      <c r="C87" s="220" t="inlineStr">
        <is>
          <t>S)토레타 240CAN 5X6</t>
        </is>
      </c>
      <c r="D87" s="220" t="inlineStr">
        <is>
          <t>3000</t>
        </is>
      </c>
      <c r="E87" s="220" t="inlineStr">
        <is>
          <t>제/상품창고</t>
        </is>
      </c>
      <c r="F87" s="220" t="inlineStr"/>
      <c r="G87" s="220" t="inlineStr">
        <is>
          <t>BOX</t>
        </is>
      </c>
      <c r="H87" s="220" t="inlineStr">
        <is>
          <t>음료 완제품</t>
        </is>
      </c>
      <c r="I87" s="220" t="inlineStr">
        <is>
          <t>음료제품</t>
        </is>
      </c>
      <c r="J87" s="220" t="inlineStr"/>
      <c r="K87" s="220" t="inlineStr"/>
      <c r="L87" s="220" t="inlineStr"/>
      <c r="M87" s="220" t="inlineStr">
        <is>
          <t>비탄산</t>
        </is>
      </c>
      <c r="N87" s="220" t="inlineStr">
        <is>
          <t>Can</t>
        </is>
      </c>
      <c r="O87" s="221" t="n"/>
      <c r="P87" s="222" t="inlineStr">
        <is>
          <t>BOX</t>
        </is>
      </c>
      <c r="Q87" s="293" t="n">
        <v>530</v>
      </c>
      <c r="R87" s="293" t="n">
        <v>0</v>
      </c>
      <c r="S87" s="293" t="n">
        <v>0</v>
      </c>
      <c r="T87" s="293" t="n">
        <v>530</v>
      </c>
      <c r="U87" s="293" t="n">
        <v>240</v>
      </c>
      <c r="V87" s="222" t="inlineStr">
        <is>
          <t>ML</t>
        </is>
      </c>
    </row>
    <row r="88">
      <c r="A88" s="220" t="inlineStr">
        <is>
          <t>B117</t>
        </is>
      </c>
      <c r="B88" s="220" t="inlineStr">
        <is>
          <t>TR8561</t>
        </is>
      </c>
      <c r="C88" s="220" t="inlineStr">
        <is>
          <t>S)토레타 500PET 4X6</t>
        </is>
      </c>
      <c r="D88" s="220" t="inlineStr">
        <is>
          <t>3000</t>
        </is>
      </c>
      <c r="E88" s="220" t="inlineStr">
        <is>
          <t>제/상품창고</t>
        </is>
      </c>
      <c r="F88" s="220" t="inlineStr"/>
      <c r="G88" s="220" t="inlineStr">
        <is>
          <t>BOX</t>
        </is>
      </c>
      <c r="H88" s="220" t="inlineStr">
        <is>
          <t>음료 완제품</t>
        </is>
      </c>
      <c r="I88" s="220" t="inlineStr">
        <is>
          <t>음료제품</t>
        </is>
      </c>
      <c r="J88" s="220" t="inlineStr"/>
      <c r="K88" s="220" t="inlineStr"/>
      <c r="L88" s="220" t="inlineStr"/>
      <c r="M88" s="220" t="inlineStr">
        <is>
          <t>비탄산</t>
        </is>
      </c>
      <c r="N88" s="220" t="inlineStr">
        <is>
          <t>Pet</t>
        </is>
      </c>
      <c r="O88" s="221" t="n"/>
      <c r="P88" s="222" t="inlineStr">
        <is>
          <t>BOX</t>
        </is>
      </c>
      <c r="Q88" s="293" t="n">
        <v>5407</v>
      </c>
      <c r="R88" s="293" t="n">
        <v>0</v>
      </c>
      <c r="S88" s="293" t="n">
        <v>0</v>
      </c>
      <c r="T88" s="293" t="n">
        <v>5407</v>
      </c>
      <c r="U88" s="293" t="n">
        <v>500</v>
      </c>
      <c r="V88" s="222" t="inlineStr">
        <is>
          <t>ML</t>
        </is>
      </c>
    </row>
    <row r="89">
      <c r="A89" s="220" t="inlineStr">
        <is>
          <t>B117</t>
        </is>
      </c>
      <c r="B89" s="220" t="inlineStr">
        <is>
          <t>TR8571</t>
        </is>
      </c>
      <c r="C89" s="220" t="inlineStr">
        <is>
          <t>S)토레타 900PET 2X6</t>
        </is>
      </c>
      <c r="D89" s="220" t="inlineStr">
        <is>
          <t>3000</t>
        </is>
      </c>
      <c r="E89" s="220" t="inlineStr">
        <is>
          <t>제/상품창고</t>
        </is>
      </c>
      <c r="F89" s="220" t="inlineStr"/>
      <c r="G89" s="220" t="inlineStr">
        <is>
          <t>BOX</t>
        </is>
      </c>
      <c r="H89" s="220" t="inlineStr">
        <is>
          <t>음료 완제품</t>
        </is>
      </c>
      <c r="I89" s="220" t="inlineStr">
        <is>
          <t>음료제품</t>
        </is>
      </c>
      <c r="J89" s="220" t="inlineStr"/>
      <c r="K89" s="220" t="inlineStr"/>
      <c r="L89" s="220" t="inlineStr"/>
      <c r="M89" s="220" t="inlineStr">
        <is>
          <t>비탄산</t>
        </is>
      </c>
      <c r="N89" s="220" t="inlineStr">
        <is>
          <t>Pet</t>
        </is>
      </c>
      <c r="O89" s="221" t="n"/>
      <c r="P89" s="222" t="inlineStr">
        <is>
          <t>BOX</t>
        </is>
      </c>
      <c r="Q89" s="293" t="n">
        <v>1788</v>
      </c>
      <c r="R89" s="293" t="n">
        <v>0</v>
      </c>
      <c r="S89" s="293" t="n">
        <v>0</v>
      </c>
      <c r="T89" s="293" t="n">
        <v>1788</v>
      </c>
      <c r="U89" s="293" t="n">
        <v>900</v>
      </c>
      <c r="V89" s="222" t="inlineStr">
        <is>
          <t>ML</t>
        </is>
      </c>
    </row>
    <row r="90">
      <c r="A90" s="220" t="inlineStr">
        <is>
          <t>B117</t>
        </is>
      </c>
      <c r="B90" s="220" t="inlineStr">
        <is>
          <t>TR8590</t>
        </is>
      </c>
      <c r="C90" s="220" t="inlineStr">
        <is>
          <t>S)토레타 제로 500PET 4X6</t>
        </is>
      </c>
      <c r="D90" s="220" t="inlineStr">
        <is>
          <t>3000</t>
        </is>
      </c>
      <c r="E90" s="220" t="inlineStr">
        <is>
          <t>제/상품창고</t>
        </is>
      </c>
      <c r="F90" s="220" t="inlineStr"/>
      <c r="G90" s="220" t="inlineStr">
        <is>
          <t>BOX</t>
        </is>
      </c>
      <c r="H90" s="220" t="inlineStr">
        <is>
          <t>음료 완제품</t>
        </is>
      </c>
      <c r="I90" s="220" t="inlineStr">
        <is>
          <t>음료제품</t>
        </is>
      </c>
      <c r="J90" s="220" t="inlineStr"/>
      <c r="K90" s="220" t="inlineStr"/>
      <c r="L90" s="220" t="inlineStr"/>
      <c r="M90" s="220" t="inlineStr">
        <is>
          <t>비탄산</t>
        </is>
      </c>
      <c r="N90" s="220" t="inlineStr">
        <is>
          <t>Pet</t>
        </is>
      </c>
      <c r="O90" s="221" t="n"/>
      <c r="P90" s="222" t="inlineStr">
        <is>
          <t>BOX</t>
        </is>
      </c>
      <c r="Q90" s="293" t="n">
        <v>4694</v>
      </c>
      <c r="R90" s="293" t="n">
        <v>0</v>
      </c>
      <c r="S90" s="293" t="n">
        <v>0</v>
      </c>
      <c r="T90" s="293" t="n">
        <v>4694</v>
      </c>
      <c r="U90" s="293" t="n">
        <v>500</v>
      </c>
      <c r="V90" s="222" t="inlineStr">
        <is>
          <t>ML</t>
        </is>
      </c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Sheet12">
    <outlinePr summaryBelow="1" summaryRight="1"/>
    <pageSetUpPr fitToPage="1"/>
  </sheetPr>
  <dimension ref="A1:A3"/>
  <sheetViews>
    <sheetView zoomScaleNormal="100" workbookViewId="0">
      <selection activeCell="B2" sqref="B2"/>
    </sheetView>
  </sheetViews>
  <sheetFormatPr baseColWidth="8" defaultRowHeight="16.5"/>
  <cols>
    <col width="126.25" customWidth="1" style="237" min="1" max="1"/>
  </cols>
  <sheetData>
    <row r="1" ht="409.5" customHeight="1" s="237">
      <c r="A1" s="153" t="inlineStr">
        <is>
          <t>대신 3PL이송 여주체커 사무실앞</t>
        </is>
      </c>
    </row>
    <row r="2" ht="213.75" customHeight="1" s="237">
      <c r="A2" s="152" t="inlineStr">
        <is>
          <t>파손품 음용금지</t>
        </is>
      </c>
    </row>
    <row r="3" ht="213" customHeight="1" s="237">
      <c r="A3" s="143" t="inlineStr">
        <is>
          <t>창고외부 반출 금지</t>
        </is>
      </c>
    </row>
  </sheetData>
  <pageMargins left="0.7" right="0.7" top="0.75" bottom="0.75" header="0.3" footer="0.3"/>
  <pageSetup orientation="landscape" paperSize="9" scale="95"/>
</worksheet>
</file>

<file path=xl/worksheets/sheet13.xml><?xml version="1.0" encoding="utf-8"?>
<worksheet xmlns="http://schemas.openxmlformats.org/spreadsheetml/2006/main">
  <sheetPr codeName="Sheet7">
    <tabColor theme="1"/>
    <outlinePr summaryBelow="1" summaryRight="1"/>
    <pageSetUpPr fitToPage="1"/>
  </sheetPr>
  <dimension ref="A2:P163"/>
  <sheetViews>
    <sheetView showZeros="0" zoomScale="85" zoomScaleNormal="85" workbookViewId="0">
      <pane ySplit="2" topLeftCell="A128" activePane="bottomLeft" state="frozen"/>
      <selection activeCell="D9" sqref="D9"/>
      <selection pane="bottomLeft" activeCell="A146" sqref="A146"/>
    </sheetView>
  </sheetViews>
  <sheetFormatPr baseColWidth="8" defaultRowHeight="16.5"/>
  <cols>
    <col width="11.5" customWidth="1" style="5" min="1" max="1"/>
    <col width="13" customWidth="1" style="5" min="2" max="2"/>
    <col width="40" customWidth="1" style="5" min="3" max="3"/>
    <col width="10.875" customWidth="1" style="5" min="4" max="4"/>
    <col width="25.375" customWidth="1" style="5" min="5" max="5"/>
    <col width="19" bestFit="1" customWidth="1" style="280" min="6" max="6"/>
    <col width="18.75" customWidth="1" style="5" min="7" max="7"/>
    <col hidden="1" width="16.125" customWidth="1" style="280" min="8" max="9"/>
    <col width="9" customWidth="1" style="5" min="13" max="13"/>
    <col width="9.625" customWidth="1" style="5" min="14" max="15"/>
    <col width="9" customWidth="1" style="5" min="16" max="16384"/>
  </cols>
  <sheetData>
    <row r="1" ht="14.25" customHeight="1" s="237"/>
    <row r="2" ht="21.75" customHeight="1" s="237">
      <c r="A2" s="22" t="inlineStr">
        <is>
          <t>제품코드</t>
        </is>
      </c>
      <c r="B2" s="22" t="inlineStr">
        <is>
          <t>SAP코드</t>
        </is>
      </c>
      <c r="C2" s="22" t="inlineStr">
        <is>
          <t>제품명</t>
        </is>
      </c>
      <c r="D2" s="22" t="inlineStr">
        <is>
          <t>PT/CS</t>
        </is>
      </c>
      <c r="E2" s="22" t="inlineStr">
        <is>
          <t>총수량 (상자단위입력)</t>
        </is>
      </c>
      <c r="F2" s="294" t="inlineStr">
        <is>
          <t>PT (자동계산)</t>
        </is>
      </c>
      <c r="G2" s="294" t="inlineStr">
        <is>
          <t>잔량 (자동계산)</t>
        </is>
      </c>
      <c r="H2" s="294" t="n"/>
      <c r="I2" s="294" t="n"/>
    </row>
    <row r="3">
      <c r="A3" s="10" t="inlineStr">
        <is>
          <t>DP0439</t>
        </is>
      </c>
      <c r="B3" s="21">
        <f>VLOOKUP(A3,재고차이!A:B,2,0)</f>
        <v/>
      </c>
      <c r="C3" s="21">
        <f>VLOOKUP(A3,재고차이!A:C,3,0)</f>
        <v/>
      </c>
      <c r="D3" s="21">
        <f>SUMIF(재고차이!B:B,주간상차!B:B,재고차이!E:E)</f>
        <v/>
      </c>
      <c r="E3" s="295" t="n"/>
      <c r="F3" s="296">
        <f>IF(E3="","",ROUNDDOWN(H3,0))</f>
        <v/>
      </c>
      <c r="G3" s="296">
        <f>IF(E3="","",E3-I3)</f>
        <v/>
      </c>
      <c r="H3" s="296">
        <f>IF(E3="","",E3/SUMIF(재고차이!A:A,주간상차!A:A,재고차이!E:E))</f>
        <v/>
      </c>
      <c r="I3" s="296">
        <f>IF(E3="","",F3*D3)</f>
        <v/>
      </c>
    </row>
    <row r="4">
      <c r="A4" s="10" t="n">
        <v>454</v>
      </c>
      <c r="B4" s="21">
        <f>VLOOKUP(A4,재고차이!A:B,2,0)</f>
        <v/>
      </c>
      <c r="C4" s="21">
        <f>VLOOKUP(A4,재고차이!A:C,3,0)</f>
        <v/>
      </c>
      <c r="D4" s="21">
        <f>SUMIF(재고차이!B:B,주간상차!B:B,재고차이!E:E)</f>
        <v/>
      </c>
      <c r="E4" s="295" t="n"/>
      <c r="F4" s="296">
        <f>IF(E4="","",ROUNDDOWN(H4,0))</f>
        <v/>
      </c>
      <c r="G4" s="296">
        <f>IF(E4="","",E4-I4)</f>
        <v/>
      </c>
      <c r="H4" s="296">
        <f>IF(E4="","",E4/SUMIF(재고차이!A:A,주간상차!A:A,재고차이!E:E))</f>
        <v/>
      </c>
      <c r="I4" s="296">
        <f>IF(E4="","",F4*D4)</f>
        <v/>
      </c>
    </row>
    <row r="5">
      <c r="A5" s="10" t="n">
        <v>455</v>
      </c>
      <c r="B5" s="21">
        <f>VLOOKUP(A5,재고차이!A:B,2,0)</f>
        <v/>
      </c>
      <c r="C5" s="21">
        <f>VLOOKUP(A5,재고차이!A:C,3,0)</f>
        <v/>
      </c>
      <c r="D5" s="21">
        <f>SUMIF(재고차이!B:B,주간상차!B:B,재고차이!E:E)</f>
        <v/>
      </c>
      <c r="E5" s="295" t="n"/>
      <c r="F5" s="296">
        <f>IF(E5="","",ROUNDDOWN(H5,0))</f>
        <v/>
      </c>
      <c r="G5" s="296">
        <f>IF(E5="","",E5-I5)</f>
        <v/>
      </c>
      <c r="H5" s="296">
        <f>E5/D5</f>
        <v/>
      </c>
      <c r="I5" s="296">
        <f>IF(E5="","",F5*D5)</f>
        <v/>
      </c>
    </row>
    <row r="6">
      <c r="A6" s="24" t="n">
        <v>1000</v>
      </c>
      <c r="B6" s="21">
        <f>VLOOKUP(A6,재고차이!A:B,2,0)</f>
        <v/>
      </c>
      <c r="C6" s="21">
        <f>VLOOKUP(A6,재고차이!A:C,3,0)</f>
        <v/>
      </c>
      <c r="D6" s="21">
        <f>SUMIF(재고차이!B:B,주간상차!B:B,재고차이!E:E)</f>
        <v/>
      </c>
      <c r="E6" s="295" t="n"/>
      <c r="F6" s="296">
        <f>IF(E6="","",ROUNDDOWN(H6,0))</f>
        <v/>
      </c>
      <c r="G6" s="296">
        <f>IF(E6="","",E6-I6)</f>
        <v/>
      </c>
      <c r="H6" s="296">
        <f>IF(E6="","",E6/SUMIF(재고차이!A:A,주간상차!A:A,재고차이!E:E))</f>
        <v/>
      </c>
      <c r="I6" s="296">
        <f>IF(E6="","",F6*D6)</f>
        <v/>
      </c>
    </row>
    <row r="7">
      <c r="A7" s="24" t="n">
        <v>1001</v>
      </c>
      <c r="B7" s="21">
        <f>VLOOKUP(A7,재고차이!A:B,2,0)</f>
        <v/>
      </c>
      <c r="C7" s="21">
        <f>VLOOKUP(A7,재고차이!A:C,3,0)</f>
        <v/>
      </c>
      <c r="D7" s="21">
        <f>SUMIF(재고차이!B:B,주간상차!B:B,재고차이!E:E)</f>
        <v/>
      </c>
      <c r="E7" s="295" t="n"/>
      <c r="F7" s="296">
        <f>IF(E7="","",ROUNDDOWN(H7,0))</f>
        <v/>
      </c>
      <c r="G7" s="296">
        <f>IF(E7="","",E7-I7)</f>
        <v/>
      </c>
      <c r="H7" s="296">
        <f>IF(E7="","",E7/SUMIF(재고차이!A:A,주간상차!A:A,재고차이!E:E))</f>
        <v/>
      </c>
      <c r="I7" s="296">
        <f>IF(E7="","",F7*D7)</f>
        <v/>
      </c>
    </row>
    <row r="8">
      <c r="A8" s="24" t="n">
        <v>1002</v>
      </c>
      <c r="B8" s="21">
        <f>VLOOKUP(A8,재고차이!A:B,2,0)</f>
        <v/>
      </c>
      <c r="C8" s="21">
        <f>VLOOKUP(A8,재고차이!A:C,3,0)</f>
        <v/>
      </c>
      <c r="D8" s="21">
        <f>SUMIF(재고차이!B:B,주간상차!B:B,재고차이!E:E)</f>
        <v/>
      </c>
      <c r="E8" s="295" t="n"/>
      <c r="F8" s="296">
        <f>IF(E8="","",ROUNDDOWN(H8,0))</f>
        <v/>
      </c>
      <c r="G8" s="296">
        <f>IF(E8="","",E8-I8)</f>
        <v/>
      </c>
      <c r="H8" s="296">
        <f>IF(E8="","",E8/SUMIF(재고차이!A:A,주간상차!A:A,재고차이!E:E))</f>
        <v/>
      </c>
      <c r="I8" s="296">
        <f>IF(E8="","",F8*D8)</f>
        <v/>
      </c>
    </row>
    <row r="9">
      <c r="A9" s="24" t="n">
        <v>1003</v>
      </c>
      <c r="B9" s="21">
        <f>VLOOKUP(A9,재고차이!A:B,2,0)</f>
        <v/>
      </c>
      <c r="C9" s="21">
        <f>VLOOKUP(A9,재고차이!A:C,3,0)</f>
        <v/>
      </c>
      <c r="D9" s="21">
        <f>SUMIF(재고차이!B:B,주간상차!B:B,재고차이!E:E)</f>
        <v/>
      </c>
      <c r="E9" s="295" t="n"/>
      <c r="F9" s="296">
        <f>IF(E9="","",ROUNDDOWN(H9,0))</f>
        <v/>
      </c>
      <c r="G9" s="296">
        <f>IF(E9="","",E9-I9)</f>
        <v/>
      </c>
      <c r="H9" s="296">
        <f>IF(E9="","",E9/SUMIF(재고차이!A:A,주간상차!A:A,재고차이!E:E))</f>
        <v/>
      </c>
      <c r="I9" s="296">
        <f>IF(E9="","",F9*D9)</f>
        <v/>
      </c>
    </row>
    <row r="10">
      <c r="A10" s="24" t="n">
        <v>1005</v>
      </c>
      <c r="B10" s="21">
        <f>VLOOKUP(A10,재고차이!A:B,2,0)</f>
        <v/>
      </c>
      <c r="C10" s="21">
        <f>VLOOKUP(A10,재고차이!A:C,3,0)</f>
        <v/>
      </c>
      <c r="D10" s="21">
        <f>SUMIF(재고차이!B:B,주간상차!B:B,재고차이!E:E)</f>
        <v/>
      </c>
      <c r="E10" s="295" t="n"/>
      <c r="F10" s="296">
        <f>IF(E10="","",ROUNDDOWN(H10,0))</f>
        <v/>
      </c>
      <c r="G10" s="296">
        <f>IF(E10="","",E10-I10)</f>
        <v/>
      </c>
      <c r="H10" s="296">
        <f>IF(E10="","",E10/SUMIF(재고차이!A:A,주간상차!A:A,재고차이!E:E))</f>
        <v/>
      </c>
      <c r="I10" s="296">
        <f>IF(E10="","",F10*D10)</f>
        <v/>
      </c>
    </row>
    <row r="11">
      <c r="A11" s="10" t="n">
        <v>1007</v>
      </c>
      <c r="B11" s="21">
        <f>VLOOKUP(A11,재고차이!A:B,2,0)</f>
        <v/>
      </c>
      <c r="C11" s="21">
        <f>VLOOKUP(A11,재고차이!A:C,3,0)</f>
        <v/>
      </c>
      <c r="D11" s="21">
        <f>SUMIF(재고차이!B:B,주간상차!B:B,재고차이!E:E)</f>
        <v/>
      </c>
      <c r="E11" s="295" t="n"/>
      <c r="F11" s="296">
        <f>IF(E11="","",ROUNDDOWN(H11,0))</f>
        <v/>
      </c>
      <c r="G11" s="296">
        <f>IF(E11="","",E11-I11)</f>
        <v/>
      </c>
      <c r="H11" s="296">
        <f>IF(E11="","",E11/SUMIF(재고차이!A:A,주간상차!A:A,재고차이!E:E))</f>
        <v/>
      </c>
      <c r="I11" s="296">
        <f>IF(E11="","",F11*D11)</f>
        <v/>
      </c>
    </row>
    <row r="12">
      <c r="A12" s="10" t="n">
        <v>1193</v>
      </c>
      <c r="B12" s="21">
        <f>VLOOKUP(A12,재고차이!A:B,2,0)</f>
        <v/>
      </c>
      <c r="C12" s="21">
        <f>VLOOKUP(A12,재고차이!A:C,3,0)</f>
        <v/>
      </c>
      <c r="D12" s="21" t="n">
        <v>132</v>
      </c>
      <c r="E12" s="295" t="n"/>
      <c r="F12" s="296">
        <f>IF(E12="","",ROUNDDOWN(H12,0))</f>
        <v/>
      </c>
      <c r="G12" s="296">
        <f>IF(E12="","",E12-I12)</f>
        <v/>
      </c>
      <c r="H12" s="296">
        <f>IF(E12="","",E12/SUMIF(재고차이!A:A,주간상차!A:A,재고차이!E:E))</f>
        <v/>
      </c>
      <c r="I12" s="296">
        <f>IF(E12="","",F12*D12)</f>
        <v/>
      </c>
    </row>
    <row r="13">
      <c r="A13" s="24" t="n">
        <v>1213</v>
      </c>
      <c r="B13" s="21">
        <f>VLOOKUP(A13,재고차이!A:B,2,0)</f>
        <v/>
      </c>
      <c r="C13" s="21">
        <f>VLOOKUP(A13,재고차이!A:C,3,0)</f>
        <v/>
      </c>
      <c r="D13" s="21">
        <f>SUMIF(재고차이!B:B,주간상차!B:B,재고차이!E:E)</f>
        <v/>
      </c>
      <c r="E13" s="295" t="n"/>
      <c r="F13" s="296">
        <f>IF(E13="","",ROUNDDOWN(H13,0))</f>
        <v/>
      </c>
      <c r="G13" s="296">
        <f>IF(E13="","",E13-I13)</f>
        <v/>
      </c>
      <c r="H13" s="296">
        <f>IF(E13="","",E13/SUMIF(재고차이!A:A,주간상차!A:A,재고차이!E:E))</f>
        <v/>
      </c>
      <c r="I13" s="296">
        <f>IF(E13="","",F13*D13)</f>
        <v/>
      </c>
    </row>
    <row r="14">
      <c r="A14" s="24" t="n">
        <v>1215</v>
      </c>
      <c r="B14" s="21">
        <f>VLOOKUP(A14,재고차이!A:B,2,0)</f>
        <v/>
      </c>
      <c r="C14" s="21">
        <f>VLOOKUP(A14,재고차이!A:C,3,0)</f>
        <v/>
      </c>
      <c r="D14" s="21">
        <f>SUMIF(재고차이!B:B,주간상차!B:B,재고차이!E:E)</f>
        <v/>
      </c>
      <c r="E14" s="295" t="n"/>
      <c r="F14" s="296">
        <f>IF(E14="","",ROUNDDOWN(H14,0))</f>
        <v/>
      </c>
      <c r="G14" s="296">
        <f>IF(E14="","",E14-I14)</f>
        <v/>
      </c>
      <c r="H14" s="296">
        <f>IF(E14="","",E14/SUMIF(재고차이!A:A,주간상차!A:A,재고차이!E:E))</f>
        <v/>
      </c>
      <c r="I14" s="296">
        <f>IF(E14="","",F14*D14)</f>
        <v/>
      </c>
    </row>
    <row r="15">
      <c r="A15" s="10" t="n">
        <v>1300</v>
      </c>
      <c r="B15" s="21">
        <f>VLOOKUP(A15,재고차이!A:B,2,0)</f>
        <v/>
      </c>
      <c r="C15" s="21">
        <f>VLOOKUP(A15,재고차이!A:C,3,0)</f>
        <v/>
      </c>
      <c r="D15" s="21">
        <f>SUMIF(재고차이!B:B,주간상차!B:B,재고차이!E:E)</f>
        <v/>
      </c>
      <c r="E15" s="295" t="n"/>
      <c r="F15" s="296">
        <f>IF(E15="","",ROUNDDOWN(H15,0))</f>
        <v/>
      </c>
      <c r="G15" s="296">
        <f>IF(E15="","",E15-I15)</f>
        <v/>
      </c>
      <c r="H15" s="296">
        <f>IF(E15="","",E15/SUMIF(재고차이!A:A,주간상차!A:A,재고차이!E:E))</f>
        <v/>
      </c>
      <c r="I15" s="296">
        <f>IF(E15="","",F15*D15)</f>
        <v/>
      </c>
    </row>
    <row r="16">
      <c r="A16" s="24" t="n">
        <v>2523</v>
      </c>
      <c r="B16" s="21">
        <f>VLOOKUP(A16,재고차이!A:B,2,0)</f>
        <v/>
      </c>
      <c r="C16" s="21">
        <f>VLOOKUP(A16,재고차이!A:C,3,0)</f>
        <v/>
      </c>
      <c r="D16" s="21">
        <f>SUMIF(재고차이!B:B,주간상차!B:B,재고차이!E:E)</f>
        <v/>
      </c>
      <c r="E16" s="295" t="n"/>
      <c r="F16" s="296">
        <f>IF(E16="","",ROUNDDOWN(H16,0))</f>
        <v/>
      </c>
      <c r="G16" s="296">
        <f>IF(E16="","",E16-I16)</f>
        <v/>
      </c>
      <c r="H16" s="296">
        <f>IF(E16="","",E16/SUMIF(재고차이!A:A,주간상차!A:A,재고차이!E:E))</f>
        <v/>
      </c>
      <c r="I16" s="296">
        <f>IF(E16="","",F16*D16)</f>
        <v/>
      </c>
    </row>
    <row r="17">
      <c r="A17" s="24" t="n">
        <v>2531</v>
      </c>
      <c r="B17" s="21">
        <f>VLOOKUP(A17,재고차이!A:B,2,0)</f>
        <v/>
      </c>
      <c r="C17" s="21">
        <f>VLOOKUP(A17,재고차이!A:C,3,0)</f>
        <v/>
      </c>
      <c r="D17" s="21">
        <f>SUMIF(재고차이!B:B,주간상차!B:B,재고차이!E:E)</f>
        <v/>
      </c>
      <c r="E17" s="295" t="n"/>
      <c r="F17" s="296">
        <f>IF(E17="","",ROUNDDOWN(H17,0))</f>
        <v/>
      </c>
      <c r="G17" s="296">
        <f>IF(E17="","",E17-I17)</f>
        <v/>
      </c>
      <c r="H17" s="296">
        <f>IF(E17="","",E17/SUMIF(재고차이!A:A,주간상차!A:A,재고차이!E:E))</f>
        <v/>
      </c>
      <c r="I17" s="296">
        <f>IF(E17="","",F17*D17)</f>
        <v/>
      </c>
    </row>
    <row r="18">
      <c r="A18" s="10" t="n">
        <v>2534</v>
      </c>
      <c r="B18" s="21">
        <f>VLOOKUP(A18,재고차이!A:B,2,0)</f>
        <v/>
      </c>
      <c r="C18" s="21">
        <f>VLOOKUP(A18,재고차이!A:C,3,0)</f>
        <v/>
      </c>
      <c r="D18" s="21">
        <f>SUMIF(재고차이!B:B,주간상차!B:B,재고차이!E:E)</f>
        <v/>
      </c>
      <c r="E18" s="295" t="n"/>
      <c r="F18" s="296">
        <f>IF(E18="","",ROUNDDOWN(H18,0))</f>
        <v/>
      </c>
      <c r="G18" s="296">
        <f>IF(E18="","",E18-I18)</f>
        <v/>
      </c>
      <c r="H18" s="296">
        <f>IF(E18="","",E18/SUMIF(재고차이!A:A,주간상차!A:A,재고차이!E:E))</f>
        <v/>
      </c>
      <c r="I18" s="296">
        <f>IF(E18="","",F18*D18)</f>
        <v/>
      </c>
    </row>
    <row r="19">
      <c r="A19" s="10" t="n">
        <v>2536</v>
      </c>
      <c r="B19" s="21">
        <f>VLOOKUP(A19,재고차이!A:B,2,0)</f>
        <v/>
      </c>
      <c r="C19" s="21">
        <f>VLOOKUP(A19,재고차이!A:C,3,0)</f>
        <v/>
      </c>
      <c r="D19" s="21">
        <f>SUMIF(재고차이!B:B,주간상차!B:B,재고차이!E:E)</f>
        <v/>
      </c>
      <c r="E19" s="295" t="n"/>
      <c r="F19" s="296">
        <f>IF(E19="","",ROUNDDOWN(H19,0))</f>
        <v/>
      </c>
      <c r="G19" s="296">
        <f>IF(E19="","",E19-I19)</f>
        <v/>
      </c>
      <c r="H19" s="296">
        <f>IF(E19="","",E19/SUMIF(재고차이!A:A,주간상차!A:A,재고차이!E:E))</f>
        <v/>
      </c>
      <c r="I19" s="296">
        <f>IF(E19="","",F19*D19)</f>
        <v/>
      </c>
    </row>
    <row r="20">
      <c r="A20" s="24" t="n">
        <v>2825</v>
      </c>
      <c r="B20" s="21" t="inlineStr">
        <is>
          <t>KM2825</t>
        </is>
      </c>
      <c r="C20" s="21" t="inlineStr">
        <is>
          <t>S)갈아만든 배 500PET 4X6</t>
        </is>
      </c>
      <c r="D20" s="21">
        <f>SUMIF(재고차이!B:B,주간상차!B:B,재고차이!E:E)</f>
        <v/>
      </c>
      <c r="E20" s="295" t="n"/>
      <c r="F20" s="296">
        <f>IF(E20="","",ROUNDDOWN(H20,0))</f>
        <v/>
      </c>
      <c r="G20" s="296">
        <f>IF(E20="","",E20-I20)</f>
        <v/>
      </c>
      <c r="H20" s="296">
        <f>IF(E20="","",E20/SUMIF(재고차이!A:A,주간상차!A:A,재고차이!E:E))</f>
        <v/>
      </c>
      <c r="I20" s="296">
        <f>IF(E20="","",F20*D20)</f>
        <v/>
      </c>
    </row>
    <row r="21">
      <c r="A21" s="24" t="n">
        <v>2826</v>
      </c>
      <c r="B21" s="21" t="inlineStr">
        <is>
          <t>KM2826</t>
        </is>
      </c>
      <c r="C21" s="21" t="inlineStr">
        <is>
          <t>갈아만든 배 1.5PET X6</t>
        </is>
      </c>
      <c r="D21" s="21">
        <f>SUMIF(재고차이!B:B,주간상차!B:B,재고차이!E:E)</f>
        <v/>
      </c>
      <c r="E21" s="295" t="n"/>
      <c r="F21" s="296">
        <f>IF(E21="","",ROUNDDOWN(H21,0))</f>
        <v/>
      </c>
      <c r="G21" s="296">
        <f>IF(E21="","",E21-I21)</f>
        <v/>
      </c>
      <c r="H21" s="296">
        <f>IF(E21="","",E21/SUMIF(재고차이!A:A,주간상차!A:A,재고차이!E:E))</f>
        <v/>
      </c>
      <c r="I21" s="296">
        <f>IF(E21="","",F21*D21)</f>
        <v/>
      </c>
    </row>
    <row r="22">
      <c r="A22" s="24" t="n">
        <v>3181</v>
      </c>
      <c r="B22" s="21">
        <f>VLOOKUP(A22,재고차이!A:B,2,0)</f>
        <v/>
      </c>
      <c r="C22" s="21">
        <f>VLOOKUP(A22,재고차이!A:C,3,0)</f>
        <v/>
      </c>
      <c r="D22" s="21">
        <f>SUMIF(재고차이!B:B,주간상차!B:B,재고차이!E:E)</f>
        <v/>
      </c>
      <c r="E22" s="295" t="n"/>
      <c r="F22" s="296">
        <f>IF(E22="","",ROUNDDOWN(H22,0))</f>
        <v/>
      </c>
      <c r="G22" s="296">
        <f>IF(E22="","",E22-I22)</f>
        <v/>
      </c>
      <c r="H22" s="296">
        <f>IF(E22="","",E22/SUMIF(재고차이!A:A,주간상차!A:A,재고차이!E:E))</f>
        <v/>
      </c>
      <c r="I22" s="296">
        <f>IF(E22="","",F22*D22)</f>
        <v/>
      </c>
    </row>
    <row r="23">
      <c r="A23" s="24" t="n">
        <v>3214</v>
      </c>
      <c r="B23" s="21">
        <f>VLOOKUP(A23,재고차이!A:B,2,0)</f>
        <v/>
      </c>
      <c r="C23" s="21">
        <f>VLOOKUP(A23,재고차이!A:C,3,0)</f>
        <v/>
      </c>
      <c r="D23" s="21">
        <f>SUMIF(재고차이!B:B,주간상차!B:B,재고차이!E:E)</f>
        <v/>
      </c>
      <c r="E23" s="295" t="n"/>
      <c r="F23" s="296">
        <f>IF(E23="","",ROUNDDOWN(H23,0))</f>
        <v/>
      </c>
      <c r="G23" s="296">
        <f>IF(E23="","",E23-I23)</f>
        <v/>
      </c>
      <c r="H23" s="296">
        <f>IF(E23="","",E23/SUMIF(재고차이!A:A,주간상차!A:A,재고차이!E:E))</f>
        <v/>
      </c>
      <c r="I23" s="296">
        <f>IF(E23="","",F23*D23)</f>
        <v/>
      </c>
    </row>
    <row r="24">
      <c r="A24" s="24" t="n">
        <v>4042</v>
      </c>
      <c r="B24" s="21">
        <f>VLOOKUP(A24,재고차이!A:B,2,0)</f>
        <v/>
      </c>
      <c r="C24" s="21">
        <f>VLOOKUP(A24,재고차이!A:C,3,0)</f>
        <v/>
      </c>
      <c r="D24" s="21">
        <f>SUMIF(재고차이!B:B,주간상차!B:B,재고차이!E:E)</f>
        <v/>
      </c>
      <c r="E24" s="295" t="n"/>
      <c r="F24" s="296">
        <f>IF(E24="","",ROUNDDOWN(H24,0))</f>
        <v/>
      </c>
      <c r="G24" s="296">
        <f>IF(E24="","",E24-I24)</f>
        <v/>
      </c>
      <c r="H24" s="296">
        <f>IF(E24="","",E24/SUMIF(재고차이!A:A,주간상차!A:A,재고차이!E:E))</f>
        <v/>
      </c>
      <c r="I24" s="296">
        <f>IF(E24="","",F24*D24)</f>
        <v/>
      </c>
    </row>
    <row r="25">
      <c r="A25" s="24" t="n">
        <v>4044</v>
      </c>
      <c r="B25" s="21">
        <f>VLOOKUP(A25,재고차이!A:B,2,0)</f>
        <v/>
      </c>
      <c r="C25" s="21">
        <f>VLOOKUP(A25,재고차이!A:C,3,0)</f>
        <v/>
      </c>
      <c r="D25" s="21">
        <f>SUMIF(재고차이!B:B,주간상차!B:B,재고차이!E:E)</f>
        <v/>
      </c>
      <c r="E25" s="295" t="n"/>
      <c r="F25" s="296">
        <f>IF(E25="","",ROUNDDOWN(H25,0))</f>
        <v/>
      </c>
      <c r="G25" s="296">
        <f>IF(E25="","",E25-I25)</f>
        <v/>
      </c>
      <c r="H25" s="296">
        <f>IF(E25="","",E25/SUMIF(재고차이!A:A,주간상차!A:A,재고차이!E:E))</f>
        <v/>
      </c>
      <c r="I25" s="296">
        <f>IF(E25="","",F25*D25)</f>
        <v/>
      </c>
    </row>
    <row r="26">
      <c r="A26" s="24" t="n">
        <v>4125</v>
      </c>
      <c r="B26" s="21">
        <f>VLOOKUP(A26,재고차이!A:B,2,0)</f>
        <v/>
      </c>
      <c r="C26" s="21">
        <f>VLOOKUP(A26,재고차이!A:C,3,0)</f>
        <v/>
      </c>
      <c r="D26" s="21">
        <f>SUMIF(재고차이!B:B,주간상차!B:B,재고차이!E:E)</f>
        <v/>
      </c>
      <c r="E26" s="295" t="n"/>
      <c r="F26" s="296">
        <f>IF(E26="","",ROUNDDOWN(H26,0))</f>
        <v/>
      </c>
      <c r="G26" s="296">
        <f>IF(E26="","",E26-I26)</f>
        <v/>
      </c>
      <c r="H26" s="296">
        <f>IF(E26="","",E26/SUMIF(재고차이!A:A,주간상차!A:A,재고차이!E:E))</f>
        <v/>
      </c>
      <c r="I26" s="296">
        <f>IF(E26="","",F26*D26)</f>
        <v/>
      </c>
    </row>
    <row r="27">
      <c r="A27" s="24" t="n">
        <v>4142</v>
      </c>
      <c r="B27" s="21">
        <f>VLOOKUP(A27,재고차이!A:B,2,0)</f>
        <v/>
      </c>
      <c r="C27" s="21">
        <f>VLOOKUP(A27,재고차이!A:C,3,0)</f>
        <v/>
      </c>
      <c r="D27" s="21">
        <f>SUMIF(재고차이!B:B,주간상차!B:B,재고차이!E:E)</f>
        <v/>
      </c>
      <c r="E27" s="295" t="n"/>
      <c r="F27" s="296">
        <f>IF(E27="","",ROUNDDOWN(H27,0))</f>
        <v/>
      </c>
      <c r="G27" s="296">
        <f>IF(E27="","",E27-I27)</f>
        <v/>
      </c>
      <c r="H27" s="296">
        <f>IF(E27="","",E27/SUMIF(재고차이!A:A,주간상차!A:A,재고차이!E:E))</f>
        <v/>
      </c>
      <c r="I27" s="296">
        <f>IF(E27="","",F27*D27)</f>
        <v/>
      </c>
    </row>
    <row r="28">
      <c r="A28" s="24" t="n">
        <v>4147</v>
      </c>
      <c r="B28" s="21">
        <f>VLOOKUP(A28,재고차이!A:B,2,0)</f>
        <v/>
      </c>
      <c r="C28" s="21">
        <f>VLOOKUP(A28,재고차이!A:C,3,0)</f>
        <v/>
      </c>
      <c r="D28" s="21">
        <f>SUMIF(재고차이!B:B,주간상차!B:B,재고차이!E:E)</f>
        <v/>
      </c>
      <c r="E28" s="295" t="n"/>
      <c r="F28" s="296">
        <f>IF(E28="","",ROUNDDOWN(H28,0))</f>
        <v/>
      </c>
      <c r="G28" s="296">
        <f>IF(E28="","",E28-I28)</f>
        <v/>
      </c>
      <c r="H28" s="296">
        <f>IF(E28="","",E28/SUMIF(재고차이!A:A,주간상차!A:A,재고차이!E:E))</f>
        <v/>
      </c>
      <c r="I28" s="296">
        <f>IF(E28="","",F28*D28)</f>
        <v/>
      </c>
    </row>
    <row r="29">
      <c r="A29" s="24" t="n">
        <v>4149</v>
      </c>
      <c r="B29" s="21">
        <f>VLOOKUP(A29,재고차이!A:B,2,0)</f>
        <v/>
      </c>
      <c r="C29" s="21">
        <f>VLOOKUP(A29,재고차이!A:C,3,0)</f>
        <v/>
      </c>
      <c r="D29" s="21">
        <f>SUMIF(재고차이!B:B,주간상차!B:B,재고차이!E:E)</f>
        <v/>
      </c>
      <c r="E29" s="295" t="n"/>
      <c r="F29" s="296">
        <f>IF(E29="","",ROUNDDOWN(H29,0))</f>
        <v/>
      </c>
      <c r="G29" s="296">
        <f>IF(E29="","",E29-I29)</f>
        <v/>
      </c>
      <c r="H29" s="296">
        <f>IF(E29="","",E29/SUMIF(재고차이!A:A,주간상차!A:A,재고차이!E:E))</f>
        <v/>
      </c>
      <c r="I29" s="296">
        <f>IF(E29="","",F29*D29)</f>
        <v/>
      </c>
    </row>
    <row r="30">
      <c r="A30" s="24" t="n">
        <v>4166</v>
      </c>
      <c r="B30" s="21">
        <f>VLOOKUP(A30,재고차이!A:B,2,0)</f>
        <v/>
      </c>
      <c r="C30" s="21">
        <f>VLOOKUP(A30,재고차이!A:C,3,0)</f>
        <v/>
      </c>
      <c r="D30" s="21">
        <f>SUMIF(재고차이!B:B,주간상차!B:B,재고차이!E:E)</f>
        <v/>
      </c>
      <c r="E30" s="295" t="n"/>
      <c r="F30" s="296">
        <f>IF(E30="","",ROUNDDOWN(H30,0))</f>
        <v/>
      </c>
      <c r="G30" s="296">
        <f>IF(E30="","",E30-I30)</f>
        <v/>
      </c>
      <c r="H30" s="296">
        <f>IF(E30="","",E30/SUMIF(재고차이!A:A,주간상차!A:A,재고차이!E:E))</f>
        <v/>
      </c>
      <c r="I30" s="296">
        <f>IF(E30="","",F30*D30)</f>
        <v/>
      </c>
    </row>
    <row r="31">
      <c r="A31" s="10" t="n">
        <v>4177</v>
      </c>
      <c r="B31" s="21">
        <f>VLOOKUP(A31,재고차이!A:B,2,0)</f>
        <v/>
      </c>
      <c r="C31" s="21">
        <f>VLOOKUP(A31,재고차이!A:C,3,0)</f>
        <v/>
      </c>
      <c r="D31" s="21">
        <f>SUMIF(재고차이!B:B,주간상차!B:B,재고차이!E:E)</f>
        <v/>
      </c>
      <c r="E31" s="295" t="n"/>
      <c r="F31" s="296">
        <f>IF(E31="","",ROUNDDOWN(H31,0))</f>
        <v/>
      </c>
      <c r="G31" s="296">
        <f>IF(E31="","",E31-I31)</f>
        <v/>
      </c>
      <c r="H31" s="296">
        <f>IF(E31="","",E31/SUMIF(재고차이!A:A,주간상차!A:A,재고차이!E:E))</f>
        <v/>
      </c>
      <c r="I31" s="296">
        <f>IF(E31="","",F31*D31)</f>
        <v/>
      </c>
    </row>
    <row r="32">
      <c r="A32" s="24" t="n">
        <v>4179</v>
      </c>
      <c r="B32" s="21">
        <f>VLOOKUP(A32,재고차이!A:B,2,0)</f>
        <v/>
      </c>
      <c r="C32" s="21">
        <f>VLOOKUP(A32,재고차이!A:C,3,0)</f>
        <v/>
      </c>
      <c r="D32" s="21">
        <f>SUMIF(재고차이!B:B,주간상차!B:B,재고차이!E:E)</f>
        <v/>
      </c>
      <c r="E32" s="295" t="n"/>
      <c r="F32" s="296">
        <f>IF(E32="","",ROUNDDOWN(H32,0))</f>
        <v/>
      </c>
      <c r="G32" s="296">
        <f>IF(E32="","",E32-I32)</f>
        <v/>
      </c>
      <c r="H32" s="296">
        <f>IF(E32="","",E32/SUMIF(재고차이!A:A,주간상차!A:A,재고차이!E:E))</f>
        <v/>
      </c>
      <c r="I32" s="296">
        <f>IF(E32="","",F32*D32)</f>
        <v/>
      </c>
    </row>
    <row r="33">
      <c r="A33" s="10" t="n">
        <v>4182</v>
      </c>
      <c r="B33" s="21">
        <f>VLOOKUP(A33,재고차이!A:B,2,0)</f>
        <v/>
      </c>
      <c r="C33" s="21">
        <f>VLOOKUP(A33,재고차이!A:C,3,0)</f>
        <v/>
      </c>
      <c r="D33" s="21">
        <f>SUMIF(재고차이!B:B,주간상차!B:B,재고차이!E:E)</f>
        <v/>
      </c>
      <c r="E33" s="295" t="n"/>
      <c r="F33" s="296">
        <f>IF(E33="","",ROUNDDOWN(H33,0))</f>
        <v/>
      </c>
      <c r="G33" s="296">
        <f>IF(E33="","",E33-I33)</f>
        <v/>
      </c>
      <c r="H33" s="296">
        <f>IF(E33="","",E33/SUMIF(재고차이!A:A,주간상차!A:A,재고차이!E:E))</f>
        <v/>
      </c>
      <c r="I33" s="296">
        <f>IF(E33="","",F33*D33)</f>
        <v/>
      </c>
    </row>
    <row r="34">
      <c r="A34" s="10" t="n">
        <v>4183</v>
      </c>
      <c r="B34" s="21">
        <f>VLOOKUP(A34,재고차이!A:B,2,0)</f>
        <v/>
      </c>
      <c r="C34" s="21">
        <f>VLOOKUP(A34,재고차이!A:C,3,0)</f>
        <v/>
      </c>
      <c r="D34" s="21">
        <f>SUMIF(재고차이!B:B,주간상차!B:B,재고차이!E:E)</f>
        <v/>
      </c>
      <c r="E34" s="295" t="n"/>
      <c r="F34" s="296">
        <f>IF(E34="","",ROUNDDOWN(H34,0))</f>
        <v/>
      </c>
      <c r="G34" s="296">
        <f>IF(E34="","",E34-I34)</f>
        <v/>
      </c>
      <c r="H34" s="296">
        <f>IF(E34="","",E34/SUMIF(재고차이!A:A,주간상차!A:A,재고차이!E:E))</f>
        <v/>
      </c>
      <c r="I34" s="296">
        <f>IF(E34="","",F34*D34)</f>
        <v/>
      </c>
    </row>
    <row r="35">
      <c r="A35" s="10" t="n">
        <v>4193</v>
      </c>
      <c r="B35" s="21">
        <f>VLOOKUP(A35,재고차이!A:B,2,0)</f>
        <v/>
      </c>
      <c r="C35" s="21">
        <f>VLOOKUP(A35,재고차이!A:C,3,0)</f>
        <v/>
      </c>
      <c r="D35" s="21">
        <f>SUMIF(재고차이!B:B,주간상차!B:B,재고차이!E:E)</f>
        <v/>
      </c>
      <c r="E35" s="295" t="n"/>
      <c r="F35" s="296">
        <f>IF(E35="","",ROUNDDOWN(H35,0))</f>
        <v/>
      </c>
      <c r="G35" s="296">
        <f>IF(E35="","",E35-I35)</f>
        <v/>
      </c>
      <c r="H35" s="296">
        <f>IF(E35="","",E35/SUMIF(재고차이!A:A,주간상차!A:A,재고차이!E:E))</f>
        <v/>
      </c>
      <c r="I35" s="296">
        <f>IF(E35="","",F35*D35)</f>
        <v/>
      </c>
    </row>
    <row r="36">
      <c r="A36" s="10" t="n">
        <v>4196</v>
      </c>
      <c r="B36" s="21">
        <f>VLOOKUP(A36,재고차이!A:B,2,0)</f>
        <v/>
      </c>
      <c r="C36" s="21">
        <f>VLOOKUP(A36,재고차이!A:C,3,0)</f>
        <v/>
      </c>
      <c r="D36" s="21">
        <f>SUMIF(재고차이!B:B,주간상차!B:B,재고차이!E:E)</f>
        <v/>
      </c>
      <c r="E36" s="295" t="n"/>
      <c r="F36" s="296">
        <f>IF(E36="","",ROUNDDOWN(H36,0))</f>
        <v/>
      </c>
      <c r="G36" s="296">
        <f>IF(E36="","",E36-I36)</f>
        <v/>
      </c>
      <c r="H36" s="296">
        <f>IF(E36="","",E36/SUMIF(재고차이!A:A,주간상차!A:A,재고차이!E:E))</f>
        <v/>
      </c>
      <c r="I36" s="296">
        <f>IF(E36="","",F36*D36)</f>
        <v/>
      </c>
    </row>
    <row r="37">
      <c r="A37" s="24" t="n">
        <v>4219</v>
      </c>
      <c r="B37" s="21">
        <f>VLOOKUP(A37,재고차이!A:B,2,0)</f>
        <v/>
      </c>
      <c r="C37" s="21">
        <f>VLOOKUP(A37,재고차이!A:C,3,0)</f>
        <v/>
      </c>
      <c r="D37" s="21">
        <f>SUMIF(재고차이!B:B,주간상차!B:B,재고차이!E:E)</f>
        <v/>
      </c>
      <c r="E37" s="295" t="n"/>
      <c r="F37" s="296">
        <f>IF(E37="","",ROUNDDOWN(H37,0))</f>
        <v/>
      </c>
      <c r="G37" s="296">
        <f>IF(E37="","",E37-I37)</f>
        <v/>
      </c>
      <c r="H37" s="296">
        <f>IF(E37="","",E37/SUMIF(재고차이!A:A,주간상차!A:A,재고차이!E:E))</f>
        <v/>
      </c>
      <c r="I37" s="296">
        <f>IF(E37="","",F37*D37)</f>
        <v/>
      </c>
    </row>
    <row r="38">
      <c r="A38" s="24" t="n">
        <v>4259</v>
      </c>
      <c r="B38" s="21">
        <f>VLOOKUP(A38,재고차이!A:B,2,0)</f>
        <v/>
      </c>
      <c r="C38" s="21">
        <f>VLOOKUP(A38,재고차이!A:C,3,0)</f>
        <v/>
      </c>
      <c r="D38" s="21">
        <f>SUMIF(재고차이!B:B,주간상차!B:B,재고차이!E:E)</f>
        <v/>
      </c>
      <c r="E38" s="295" t="n"/>
      <c r="F38" s="296">
        <f>IF(E38="","",ROUNDDOWN(H38,0))</f>
        <v/>
      </c>
      <c r="G38" s="296">
        <f>IF(E38="","",E38-I38)</f>
        <v/>
      </c>
      <c r="H38" s="296">
        <f>IF(E38="","",E38/SUMIF(재고차이!A:A,주간상차!A:A,재고차이!E:E))</f>
        <v/>
      </c>
      <c r="I38" s="296">
        <f>IF(E38="","",F38*D38)</f>
        <v/>
      </c>
    </row>
    <row r="39">
      <c r="A39" s="24" t="n">
        <v>4230</v>
      </c>
      <c r="B39" s="21">
        <f>VLOOKUP(A39,재고차이!A:B,2,0)</f>
        <v/>
      </c>
      <c r="C39" s="21">
        <f>VLOOKUP(A39,재고차이!A:C,3,0)</f>
        <v/>
      </c>
      <c r="D39" s="21">
        <f>SUMIF(재고차이!B:B,주간상차!B:B,재고차이!E:E)</f>
        <v/>
      </c>
      <c r="E39" s="295" t="n"/>
      <c r="F39" s="296">
        <f>IF(E39="","",ROUNDDOWN(H39,0))</f>
        <v/>
      </c>
      <c r="G39" s="296">
        <f>IF(E39="","",E39-I39)</f>
        <v/>
      </c>
      <c r="H39" s="296">
        <f>IF(E39="","",E39/SUMIF(재고차이!A:A,주간상차!A:A,재고차이!E:E))</f>
        <v/>
      </c>
      <c r="I39" s="296">
        <f>IF(E39="","",F39*D39)</f>
        <v/>
      </c>
    </row>
    <row r="40">
      <c r="A40" s="24" t="n">
        <v>4290</v>
      </c>
      <c r="B40" s="21" t="inlineStr">
        <is>
          <t>KM4290</t>
        </is>
      </c>
      <c r="C40" s="21" t="inlineStr">
        <is>
          <t>S)갈배 사이다 500PET 4X6</t>
        </is>
      </c>
      <c r="D40" s="21">
        <f>SUMIF(재고차이!B:B,주간상차!B:B,재고차이!E:E)</f>
        <v/>
      </c>
      <c r="E40" s="295" t="n"/>
      <c r="F40" s="296">
        <f>IF(E40="","",ROUNDDOWN(H40,0))</f>
        <v/>
      </c>
      <c r="G40" s="296">
        <f>IF(E40="","",E40-I40)</f>
        <v/>
      </c>
      <c r="H40" s="296">
        <f>IF(E40="","",E40/SUMIF(재고차이!A:A,주간상차!A:A,재고차이!E:E))</f>
        <v/>
      </c>
      <c r="I40" s="296">
        <f>IF(E40="","",F40*D40)</f>
        <v/>
      </c>
    </row>
    <row r="41">
      <c r="A41" s="24" t="n">
        <v>4383</v>
      </c>
      <c r="B41" s="21">
        <f>VLOOKUP(A41,재고차이!A:B,2,0)</f>
        <v/>
      </c>
      <c r="C41" s="21">
        <f>VLOOKUP(A41,재고차이!A:C,3,0)</f>
        <v/>
      </c>
      <c r="D41" s="21">
        <f>SUMIF(재고차이!B:B,주간상차!B:B,재고차이!E:E)</f>
        <v/>
      </c>
      <c r="E41" s="295" t="n"/>
      <c r="F41" s="296">
        <f>IF(E41="","",ROUNDDOWN(H41,0))</f>
        <v/>
      </c>
      <c r="G41" s="296">
        <f>IF(E41="","",E41-I41)</f>
        <v/>
      </c>
      <c r="H41" s="296">
        <f>IF(E41="","",E41/SUMIF(재고차이!A:A,주간상차!A:A,재고차이!E:E))</f>
        <v/>
      </c>
      <c r="I41" s="296">
        <f>IF(E41="","",F41*D41)</f>
        <v/>
      </c>
    </row>
    <row r="42">
      <c r="A42" s="24" t="n">
        <v>4384</v>
      </c>
      <c r="B42" s="21">
        <f>VLOOKUP(A42,재고차이!A:B,2,0)</f>
        <v/>
      </c>
      <c r="C42" s="21">
        <f>VLOOKUP(A42,재고차이!A:C,3,0)</f>
        <v/>
      </c>
      <c r="D42" s="21">
        <f>SUMIF(재고차이!B:B,주간상차!B:B,재고차이!E:E)</f>
        <v/>
      </c>
      <c r="E42" s="295" t="n"/>
      <c r="F42" s="296">
        <f>IF(E42="","",ROUNDDOWN(H42,0))</f>
        <v/>
      </c>
      <c r="G42" s="296">
        <f>IF(E42="","",E42-I42)</f>
        <v/>
      </c>
      <c r="H42" s="296">
        <f>IF(E42="","",E42/SUMIF(재고차이!A:A,주간상차!A:A,재고차이!E:E))</f>
        <v/>
      </c>
      <c r="I42" s="296">
        <f>IF(E42="","",F42*D42)</f>
        <v/>
      </c>
    </row>
    <row r="43">
      <c r="A43" s="10" t="n">
        <v>4432</v>
      </c>
      <c r="B43" s="21">
        <f>VLOOKUP(A43,재고차이!A:B,2,0)</f>
        <v/>
      </c>
      <c r="C43" s="21">
        <f>VLOOKUP(A43,재고차이!A:C,3,0)</f>
        <v/>
      </c>
      <c r="D43" s="21">
        <f>SUMIF(재고차이!B:B,주간상차!B:B,재고차이!E:E)</f>
        <v/>
      </c>
      <c r="E43" s="295" t="n"/>
      <c r="F43" s="296">
        <f>IF(E43="","",ROUNDDOWN(H43,0))</f>
        <v/>
      </c>
      <c r="G43" s="296">
        <f>IF(E43="","",E43-I43)</f>
        <v/>
      </c>
      <c r="H43" s="296">
        <f>E43/D43</f>
        <v/>
      </c>
      <c r="I43" s="296">
        <f>IF(E43="","",F43*D43)</f>
        <v/>
      </c>
    </row>
    <row r="44">
      <c r="A44" s="24" t="n">
        <v>4441</v>
      </c>
      <c r="B44" s="21">
        <f>VLOOKUP(A44,재고차이!A:B,2,0)</f>
        <v/>
      </c>
      <c r="C44" s="21">
        <f>VLOOKUP(A44,재고차이!A:C,3,0)</f>
        <v/>
      </c>
      <c r="D44" s="21">
        <f>SUMIF(재고차이!B:B,주간상차!B:B,재고차이!E:E)</f>
        <v/>
      </c>
      <c r="E44" s="295" t="n"/>
      <c r="F44" s="296">
        <f>IF(E44="","",ROUNDDOWN(H44,0))</f>
        <v/>
      </c>
      <c r="G44" s="296">
        <f>IF(E44="","",E44-I44)</f>
        <v/>
      </c>
      <c r="H44" s="296">
        <f>IF(E44="","",E44/SUMIF(재고차이!A:A,주간상차!A:A,재고차이!E:E))</f>
        <v/>
      </c>
      <c r="I44" s="296">
        <f>IF(E44="","",F44*D44)</f>
        <v/>
      </c>
    </row>
    <row r="45">
      <c r="A45" s="10" t="n">
        <v>4463</v>
      </c>
      <c r="B45" s="21">
        <f>VLOOKUP(A45,재고차이!A:B,2,0)</f>
        <v/>
      </c>
      <c r="C45" s="21">
        <f>VLOOKUP(A45,재고차이!A:C,3,0)</f>
        <v/>
      </c>
      <c r="D45" s="21">
        <f>SUMIF(재고차이!B:B,주간상차!B:B,재고차이!E:E)</f>
        <v/>
      </c>
      <c r="E45" s="295" t="n"/>
      <c r="F45" s="296">
        <f>IF(E45="","",ROUNDDOWN(H45,0))</f>
        <v/>
      </c>
      <c r="G45" s="296">
        <f>IF(E45="","",E45-I45)</f>
        <v/>
      </c>
      <c r="H45" s="296">
        <f>IF(E45="","",E45/SUMIF(재고차이!A:A,주간상차!A:A,재고차이!E:E))</f>
        <v/>
      </c>
      <c r="I45" s="296">
        <f>IF(E45="","",F45*D45)</f>
        <v/>
      </c>
    </row>
    <row r="46">
      <c r="A46" s="10" t="n">
        <v>4823</v>
      </c>
      <c r="B46" s="21">
        <f>VLOOKUP(A46,재고차이!A:B,2,0)</f>
        <v/>
      </c>
      <c r="C46" s="21">
        <f>VLOOKUP(A46,재고차이!A:C,3,0)</f>
        <v/>
      </c>
      <c r="D46" s="21">
        <f>SUMIF(재고차이!B:B,주간상차!B:B,재고차이!E:E)</f>
        <v/>
      </c>
      <c r="E46" s="295" t="n"/>
      <c r="F46" s="296">
        <f>IF(E46="","",ROUNDDOWN(H46,0))</f>
        <v/>
      </c>
      <c r="G46" s="296">
        <f>IF(E46="","",E46-I46)</f>
        <v/>
      </c>
      <c r="H46" s="296">
        <f>IF(E46="","",E46/SUMIF(재고차이!A:A,주간상차!A:A,재고차이!E:E))</f>
        <v/>
      </c>
      <c r="I46" s="296">
        <f>IF(E46="","",F46*D46)</f>
        <v/>
      </c>
    </row>
    <row r="47">
      <c r="A47" s="24" t="n">
        <v>4833</v>
      </c>
      <c r="B47" s="21">
        <f>VLOOKUP(A47,재고차이!A:B,2,0)</f>
        <v/>
      </c>
      <c r="C47" s="21">
        <f>VLOOKUP(A47,재고차이!A:C,3,0)</f>
        <v/>
      </c>
      <c r="D47" s="21">
        <f>SUMIF(재고차이!B:B,주간상차!B:B,재고차이!E:E)</f>
        <v/>
      </c>
      <c r="E47" s="295" t="n"/>
      <c r="F47" s="296">
        <f>IF(E47="","",ROUNDDOWN(H47,0))</f>
        <v/>
      </c>
      <c r="G47" s="296">
        <f>IF(E47="","",E47-I47)</f>
        <v/>
      </c>
      <c r="H47" s="296">
        <f>IF(E47="","",E47/SUMIF(재고차이!A:A,주간상차!A:A,재고차이!E:E))</f>
        <v/>
      </c>
      <c r="I47" s="296">
        <f>IF(E47="","",F47*D47)</f>
        <v/>
      </c>
    </row>
    <row r="48">
      <c r="A48" s="10" t="n">
        <v>4872</v>
      </c>
      <c r="B48" s="21">
        <f>VLOOKUP(A48,재고차이!A:B,2,0)</f>
        <v/>
      </c>
      <c r="C48" s="21">
        <f>VLOOKUP(A48,재고차이!A:C,3,0)</f>
        <v/>
      </c>
      <c r="D48" s="21">
        <f>SUMIF(재고차이!B:B,주간상차!B:B,재고차이!E:E)</f>
        <v/>
      </c>
      <c r="E48" s="295" t="n"/>
      <c r="F48" s="296">
        <f>IF(E48="","",ROUNDDOWN(H48,0))</f>
        <v/>
      </c>
      <c r="G48" s="296">
        <f>IF(E48="","",E48-I48)</f>
        <v/>
      </c>
      <c r="H48" s="296">
        <f>IF(E48="","",E48/SUMIF(재고차이!A:A,주간상차!A:A,재고차이!E:E))</f>
        <v/>
      </c>
      <c r="I48" s="296">
        <f>IF(E48="","",F48*D48)</f>
        <v/>
      </c>
    </row>
    <row r="49">
      <c r="A49" s="10" t="n">
        <v>4879</v>
      </c>
      <c r="B49" s="21">
        <f>VLOOKUP(A49,재고차이!A:B,2,0)</f>
        <v/>
      </c>
      <c r="C49" s="21">
        <f>VLOOKUP(A49,재고차이!A:C,3,0)</f>
        <v/>
      </c>
      <c r="D49" s="21">
        <f>SUMIF(재고차이!B:B,주간상차!B:B,재고차이!E:E)</f>
        <v/>
      </c>
      <c r="E49" s="295" t="n"/>
      <c r="F49" s="296">
        <f>IF(E49="","",ROUNDDOWN(H49,0))</f>
        <v/>
      </c>
      <c r="G49" s="296">
        <f>IF(E49="","",E49-I49)</f>
        <v/>
      </c>
      <c r="H49" s="296">
        <f>IF(E49="","",E49/SUMIF(재고차이!A:A,주간상차!A:A,재고차이!E:E))</f>
        <v/>
      </c>
      <c r="I49" s="296">
        <f>IF(E49="","",F49*D49)</f>
        <v/>
      </c>
    </row>
    <row r="50">
      <c r="A50" s="24" t="n">
        <v>4881</v>
      </c>
      <c r="B50" s="21">
        <f>VLOOKUP(A50,재고차이!A:B,2,0)</f>
        <v/>
      </c>
      <c r="C50" s="21">
        <f>VLOOKUP(A50,재고차이!A:C,3,0)</f>
        <v/>
      </c>
      <c r="D50" s="21">
        <f>SUMIF(재고차이!B:B,주간상차!B:B,재고차이!E:E)</f>
        <v/>
      </c>
      <c r="E50" s="295" t="n"/>
      <c r="F50" s="296">
        <f>IF(E50="","",ROUNDDOWN(H50,0))</f>
        <v/>
      </c>
      <c r="G50" s="296">
        <f>IF(E50="","",E50-I50)</f>
        <v/>
      </c>
      <c r="H50" s="296">
        <f>IF(E50="","",E50/SUMIF(재고차이!A:A,주간상차!A:A,재고차이!E:E))</f>
        <v/>
      </c>
      <c r="I50" s="296">
        <f>IF(E50="","",F50*D50)</f>
        <v/>
      </c>
    </row>
    <row r="51">
      <c r="A51" s="10" t="n">
        <v>4899</v>
      </c>
      <c r="B51" s="21">
        <f>VLOOKUP(A51,재고차이!A:B,2,0)</f>
        <v/>
      </c>
      <c r="C51" s="21">
        <f>VLOOKUP(A51,재고차이!A:C,3,0)</f>
        <v/>
      </c>
      <c r="D51" s="21">
        <f>SUMIF(재고차이!B:B,주간상차!B:B,재고차이!E:E)</f>
        <v/>
      </c>
      <c r="E51" s="295" t="n"/>
      <c r="F51" s="296">
        <f>IF(E51="","",ROUNDDOWN(H51,0))</f>
        <v/>
      </c>
      <c r="G51" s="296">
        <f>IF(E51="","",E51-I51)</f>
        <v/>
      </c>
      <c r="H51" s="296">
        <f>IF(E51="","",E51/SUMIF(재고차이!A:A,주간상차!A:A,재고차이!E:E))</f>
        <v/>
      </c>
      <c r="I51" s="296">
        <f>IF(E51="","",F51*D51)</f>
        <v/>
      </c>
    </row>
    <row r="52">
      <c r="A52" s="24" t="n">
        <v>4929</v>
      </c>
      <c r="B52" s="21" t="inlineStr">
        <is>
          <t>KM4929</t>
        </is>
      </c>
      <c r="C52" s="21" t="inlineStr">
        <is>
          <t>S)갈아만든 배 340CAN 4X6</t>
        </is>
      </c>
      <c r="D52" s="21">
        <f>SUMIF(재고차이!B:B,주간상차!B:B,재고차이!E:E)</f>
        <v/>
      </c>
      <c r="E52" s="295" t="n"/>
      <c r="F52" s="296">
        <f>IF(E52="","",ROUNDDOWN(H52,0))</f>
        <v/>
      </c>
      <c r="G52" s="296">
        <f>IF(E52="","",E52-I52)</f>
        <v/>
      </c>
      <c r="H52" s="296">
        <f>IF(E52="","",E52/SUMIF(재고차이!A:A,주간상차!A:A,재고차이!E:E))</f>
        <v/>
      </c>
      <c r="I52" s="296">
        <f>IF(E52="","",F52*D52)</f>
        <v/>
      </c>
    </row>
    <row r="53">
      <c r="A53" s="183" t="n">
        <v>4935</v>
      </c>
      <c r="B53" s="21" t="inlineStr">
        <is>
          <t>KM4935</t>
        </is>
      </c>
      <c r="C53" s="21" t="inlineStr">
        <is>
          <t>S)갈배 사이다 제로 500PET 4X6</t>
        </is>
      </c>
      <c r="D53" s="21">
        <f>SUMIF(재고차이!B:B,주간상차!B:B,재고차이!E:E)</f>
        <v/>
      </c>
      <c r="E53" s="295" t="n"/>
      <c r="F53" s="296">
        <f>IF(E53="","",ROUNDDOWN(H53,0))</f>
        <v/>
      </c>
      <c r="G53" s="296">
        <f>IF(E53="","",E53-I53)</f>
        <v/>
      </c>
      <c r="H53" s="296">
        <f>IF(E53="","",E53/SUMIF(재고차이!A:A,주간상차!A:A,재고차이!E:E))</f>
        <v/>
      </c>
      <c r="I53" s="296">
        <f>IF(E53="","",F53*D53)</f>
        <v/>
      </c>
    </row>
    <row r="54">
      <c r="A54" s="10" t="n">
        <v>4947</v>
      </c>
      <c r="B54" s="21">
        <f>VLOOKUP(A54,재고차이!A:B,2,0)</f>
        <v/>
      </c>
      <c r="C54" s="21">
        <f>VLOOKUP(A54,재고차이!A:C,3,0)</f>
        <v/>
      </c>
      <c r="D54" s="21">
        <f>SUMIF(재고차이!B:B,주간상차!B:B,재고차이!E:E)</f>
        <v/>
      </c>
      <c r="E54" s="295" t="n"/>
      <c r="F54" s="296">
        <f>IF(E54="","",ROUNDDOWN(H54,0))</f>
        <v/>
      </c>
      <c r="G54" s="296">
        <f>IF(E54="","",E54-I54)</f>
        <v/>
      </c>
      <c r="H54" s="296">
        <f>IF(E54="","",E54/SUMIF(재고차이!A:A,주간상차!A:A,재고차이!E:E))</f>
        <v/>
      </c>
      <c r="I54" s="296">
        <f>IF(E54="","",F54*D54)</f>
        <v/>
      </c>
    </row>
    <row r="55">
      <c r="A55" s="10" t="n">
        <v>4951</v>
      </c>
      <c r="B55" s="21">
        <f>VLOOKUP(A55,재고차이!A:B,2,0)</f>
        <v/>
      </c>
      <c r="C55" s="21">
        <f>VLOOKUP(A55,재고차이!A:C,3,0)</f>
        <v/>
      </c>
      <c r="D55" s="21">
        <f>SUMIF(재고차이!B:B,주간상차!B:B,재고차이!E:E)</f>
        <v/>
      </c>
      <c r="E55" s="295" t="n"/>
      <c r="F55" s="296">
        <f>IF(E55="","",ROUNDDOWN(H55,0))</f>
        <v/>
      </c>
      <c r="G55" s="296">
        <f>IF(E55="","",E55-I55)</f>
        <v/>
      </c>
      <c r="H55" s="296">
        <f>IF(E55="","",E55/SUMIF(재고차이!A:A,주간상차!A:A,재고차이!E:E))</f>
        <v/>
      </c>
      <c r="I55" s="296">
        <f>IF(E55="","",F55*D55)</f>
        <v/>
      </c>
    </row>
    <row r="56">
      <c r="A56" s="183" t="n">
        <v>4969</v>
      </c>
      <c r="B56" s="21" t="inlineStr">
        <is>
          <t>KC4969</t>
        </is>
      </c>
      <c r="C56" s="21" t="inlineStr">
        <is>
          <t>S)과일촌 아침에사과 500PET 4X6</t>
        </is>
      </c>
      <c r="D56" s="21">
        <f>SUMIF(재고차이!B:B,주간상차!B:B,재고차이!E:E)</f>
        <v/>
      </c>
      <c r="E56" s="295" t="n"/>
      <c r="F56" s="296">
        <f>IF(E56="","",ROUNDDOWN(H56,0))</f>
        <v/>
      </c>
      <c r="G56" s="296">
        <f>IF(E56="","",E56-I56)</f>
        <v/>
      </c>
      <c r="H56" s="296">
        <f>IF(E56="","",E56/SUMIF(재고차이!A:A,주간상차!A:A,재고차이!E:E))</f>
        <v/>
      </c>
      <c r="I56" s="296">
        <f>IF(E56="","",F56*D56)</f>
        <v/>
      </c>
    </row>
    <row r="57">
      <c r="A57" s="24" t="n">
        <v>5191</v>
      </c>
      <c r="B57" s="21">
        <f>VLOOKUP(A57,재고차이!A:B,2,0)</f>
        <v/>
      </c>
      <c r="C57" s="21">
        <f>VLOOKUP(A57,재고차이!A:C,3,0)</f>
        <v/>
      </c>
      <c r="D57" s="21">
        <f>SUMIF(재고차이!B:B,주간상차!B:B,재고차이!E:E)</f>
        <v/>
      </c>
      <c r="E57" s="295" t="n"/>
      <c r="F57" s="296">
        <f>IF(E57="","",ROUNDDOWN(H57,0))</f>
        <v/>
      </c>
      <c r="G57" s="296">
        <f>IF(E57="","",E57-I57)</f>
        <v/>
      </c>
      <c r="H57" s="296">
        <f>IF(E57="","",E57/SUMIF(재고차이!A:A,주간상차!A:A,재고차이!E:E))</f>
        <v/>
      </c>
      <c r="I57" s="296">
        <f>IF(E57="","",F57*D57)</f>
        <v/>
      </c>
    </row>
    <row r="58">
      <c r="A58" s="24" t="n">
        <v>5192</v>
      </c>
      <c r="B58" s="21">
        <f>VLOOKUP(A58,재고차이!A:B,2,0)</f>
        <v/>
      </c>
      <c r="C58" s="21">
        <f>VLOOKUP(A58,재고차이!A:C,3,0)</f>
        <v/>
      </c>
      <c r="D58" s="21">
        <f>SUMIF(재고차이!B:B,주간상차!B:B,재고차이!E:E)</f>
        <v/>
      </c>
      <c r="E58" s="295" t="n"/>
      <c r="F58" s="296">
        <f>IF(E58="","",ROUNDDOWN(H58,0))</f>
        <v/>
      </c>
      <c r="G58" s="296">
        <f>IF(E58="","",E58-I58)</f>
        <v/>
      </c>
      <c r="H58" s="296">
        <f>IF(E58="","",E58/SUMIF(재고차이!A:A,주간상차!A:A,재고차이!E:E))</f>
        <v/>
      </c>
      <c r="I58" s="296">
        <f>IF(E58="","",F58*D58)</f>
        <v/>
      </c>
    </row>
    <row r="59">
      <c r="A59" s="10" t="n">
        <v>5194</v>
      </c>
      <c r="B59" s="21">
        <f>VLOOKUP(A59,재고차이!A:B,2,0)</f>
        <v/>
      </c>
      <c r="C59" s="21">
        <f>VLOOKUP(A59,재고차이!A:C,3,0)</f>
        <v/>
      </c>
      <c r="D59" s="21">
        <f>SUMIF(재고차이!B:B,주간상차!B:B,재고차이!E:E)</f>
        <v/>
      </c>
      <c r="E59" s="295" t="n"/>
      <c r="F59" s="296">
        <f>IF(E59="","",ROUNDDOWN(H59,0))</f>
        <v/>
      </c>
      <c r="G59" s="296">
        <f>IF(E59="","",E59-I59)</f>
        <v/>
      </c>
      <c r="H59" s="296">
        <f>IF(E59="","",E59/SUMIF(재고차이!A:A,주간상차!A:A,재고차이!E:E))</f>
        <v/>
      </c>
      <c r="I59" s="296">
        <f>IF(E59="","",F59*D59)</f>
        <v/>
      </c>
    </row>
    <row r="60">
      <c r="A60" s="10" t="n">
        <v>5201</v>
      </c>
      <c r="B60" s="21">
        <f>VLOOKUP(A60,재고차이!A:B,2,0)</f>
        <v/>
      </c>
      <c r="C60" s="21">
        <f>VLOOKUP(A60,재고차이!A:C,3,0)</f>
        <v/>
      </c>
      <c r="D60" s="21">
        <f>SUMIF(재고차이!B:B,주간상차!B:B,재고차이!E:E)</f>
        <v/>
      </c>
      <c r="E60" s="295" t="n"/>
      <c r="F60" s="296">
        <f>IF(E60="","",ROUNDDOWN(H60,0))</f>
        <v/>
      </c>
      <c r="G60" s="296">
        <f>IF(E60="","",E60-I60)</f>
        <v/>
      </c>
      <c r="H60" s="296">
        <f>E60/D60</f>
        <v/>
      </c>
      <c r="I60" s="296">
        <f>IF(E60="","",F60*D60)</f>
        <v/>
      </c>
    </row>
    <row r="61">
      <c r="A61" s="10" t="n">
        <v>5312</v>
      </c>
      <c r="B61" s="21">
        <f>VLOOKUP(A61,재고차이!A:B,2,0)</f>
        <v/>
      </c>
      <c r="C61" s="21">
        <f>VLOOKUP(A61,재고차이!A:C,3,0)</f>
        <v/>
      </c>
      <c r="D61" s="21">
        <f>SUMIF(재고차이!B:B,주간상차!B:B,재고차이!E:E)</f>
        <v/>
      </c>
      <c r="E61" s="295" t="n"/>
      <c r="F61" s="296">
        <f>IF(E61="","",ROUNDDOWN(H61,0))</f>
        <v/>
      </c>
      <c r="G61" s="296">
        <f>IF(E61="","",E61-I61)</f>
        <v/>
      </c>
      <c r="H61" s="296">
        <f>IF(E61="","",E61/SUMIF(재고차이!A:A,주간상차!A:A,재고차이!E:E))</f>
        <v/>
      </c>
      <c r="I61" s="296">
        <f>IF(E61="","",F61*D61)</f>
        <v/>
      </c>
    </row>
    <row r="62">
      <c r="A62" s="183" t="n">
        <v>5375</v>
      </c>
      <c r="B62" s="21" t="inlineStr">
        <is>
          <t>GS5375</t>
        </is>
      </c>
      <c r="C62" s="21" t="inlineStr">
        <is>
          <t>영진 구론산 탄산 오리지날 150NRB 3X10</t>
        </is>
      </c>
      <c r="D62" s="21">
        <f>SUMIF(재고차이!B:B,주간상차!B:B,재고차이!E:E)</f>
        <v/>
      </c>
      <c r="E62" s="295" t="n"/>
      <c r="F62" s="296">
        <f>IF(E62="","",ROUNDDOWN(H62,0))</f>
        <v/>
      </c>
      <c r="G62" s="296">
        <f>IF(E62="","",E62-I62)</f>
        <v/>
      </c>
      <c r="H62" s="296">
        <f>IF(E62="","",E62/SUMIF(재고차이!A:A,주간상차!A:A,재고차이!E:E))</f>
        <v/>
      </c>
      <c r="I62" s="296">
        <f>IF(E62="","",F62*D62)</f>
        <v/>
      </c>
    </row>
    <row r="63">
      <c r="A63" s="24" t="n">
        <v>5570</v>
      </c>
      <c r="B63" s="21">
        <f>VLOOKUP(A63,재고차이!A:B,2,0)</f>
        <v/>
      </c>
      <c r="C63" s="21">
        <f>VLOOKUP(A63,재고차이!A:C,3,0)</f>
        <v/>
      </c>
      <c r="D63" s="21">
        <f>SUMIF(재고차이!B:B,주간상차!B:B,재고차이!E:E)</f>
        <v/>
      </c>
      <c r="E63" s="295" t="n"/>
      <c r="F63" s="296">
        <f>IF(E63="","",ROUNDDOWN(H63,0))</f>
        <v/>
      </c>
      <c r="G63" s="296">
        <f>IF(E63="","",E63-I63)</f>
        <v/>
      </c>
      <c r="H63" s="296">
        <f>IF(E63="","",E63/SUMIF(재고차이!A:A,주간상차!A:A,재고차이!E:E))</f>
        <v/>
      </c>
      <c r="I63" s="296">
        <f>IF(E63="","",F63*D63)</f>
        <v/>
      </c>
    </row>
    <row r="64">
      <c r="A64" s="24" t="n">
        <v>5571</v>
      </c>
      <c r="B64" s="21">
        <f>VLOOKUP(A64,재고차이!A:B,2,0)</f>
        <v/>
      </c>
      <c r="C64" s="21">
        <f>VLOOKUP(A64,재고차이!A:C,3,0)</f>
        <v/>
      </c>
      <c r="D64" s="21">
        <f>SUMIF(재고차이!B:B,주간상차!B:B,재고차이!E:E)</f>
        <v/>
      </c>
      <c r="E64" s="295" t="n"/>
      <c r="F64" s="296">
        <f>IF(E64="","",ROUNDDOWN(H64,0))</f>
        <v/>
      </c>
      <c r="G64" s="296">
        <f>IF(E64="","",E64-I64)</f>
        <v/>
      </c>
      <c r="H64" s="296">
        <f>IF(E64="","",E64/SUMIF(재고차이!A:A,주간상차!A:A,재고차이!E:E))</f>
        <v/>
      </c>
      <c r="I64" s="296">
        <f>IF(E64="","",F64*D64)</f>
        <v/>
      </c>
    </row>
    <row r="65">
      <c r="A65" s="24" t="n">
        <v>5628</v>
      </c>
      <c r="B65" s="21">
        <f>VLOOKUP(A65,재고차이!A:B,2,0)</f>
        <v/>
      </c>
      <c r="C65" s="21">
        <f>VLOOKUP(A65,재고차이!A:C,3,0)</f>
        <v/>
      </c>
      <c r="D65" s="21">
        <f>SUMIF(재고차이!B:B,주간상차!B:B,재고차이!E:E)</f>
        <v/>
      </c>
      <c r="E65" s="295" t="n"/>
      <c r="F65" s="296">
        <f>IF(E65="","",ROUNDDOWN(H65,0))</f>
        <v/>
      </c>
      <c r="G65" s="296">
        <f>IF(E65="","",E65-I65)</f>
        <v/>
      </c>
      <c r="H65" s="296">
        <f>IF(E65="","",E65/SUMIF(재고차이!A:A,주간상차!A:A,재고차이!E:E))</f>
        <v/>
      </c>
      <c r="I65" s="296">
        <f>IF(E65="","",F65*D65)</f>
        <v/>
      </c>
    </row>
    <row r="66">
      <c r="A66" s="24" t="n">
        <v>5636</v>
      </c>
      <c r="B66" s="21">
        <f>VLOOKUP(A66,재고차이!A:B,2,0)</f>
        <v/>
      </c>
      <c r="C66" s="21">
        <f>VLOOKUP(A66,재고차이!A:C,3,0)</f>
        <v/>
      </c>
      <c r="D66" s="21">
        <f>SUMIF(재고차이!B:B,주간상차!B:B,재고차이!E:E)</f>
        <v/>
      </c>
      <c r="E66" s="295" t="n"/>
      <c r="F66" s="296">
        <f>IF(E66="","",ROUNDDOWN(H66,0))</f>
        <v/>
      </c>
      <c r="G66" s="296">
        <f>IF(E66="","",E66-I66)</f>
        <v/>
      </c>
      <c r="H66" s="296">
        <f>IF(E66="","",E66/SUMIF(재고차이!A:A,주간상차!A:A,재고차이!E:E))</f>
        <v/>
      </c>
      <c r="I66" s="296">
        <f>IF(E66="","",F66*D66)</f>
        <v/>
      </c>
    </row>
    <row r="67">
      <c r="A67" s="24" t="n">
        <v>5639</v>
      </c>
      <c r="B67" s="21">
        <f>VLOOKUP(A67,재고차이!A:B,2,0)</f>
        <v/>
      </c>
      <c r="C67" s="21">
        <f>VLOOKUP(A67,재고차이!A:C,3,0)</f>
        <v/>
      </c>
      <c r="D67" s="21">
        <f>SUMIF(재고차이!B:B,주간상차!B:B,재고차이!E:E)</f>
        <v/>
      </c>
      <c r="E67" s="295" t="n"/>
      <c r="F67" s="296">
        <f>IF(E67="","",ROUNDDOWN(H67,0))</f>
        <v/>
      </c>
      <c r="G67" s="296">
        <f>IF(E67="","",E67-I67)</f>
        <v/>
      </c>
      <c r="H67" s="296">
        <f>IF(E67="","",E67/SUMIF(재고차이!A:A,주간상차!A:A,재고차이!E:E))</f>
        <v/>
      </c>
      <c r="I67" s="296">
        <f>IF(E67="","",F67*D67)</f>
        <v/>
      </c>
    </row>
    <row r="68">
      <c r="A68" s="10" t="n">
        <v>5641</v>
      </c>
      <c r="B68" s="21">
        <f>VLOOKUP(A68,재고차이!A:B,2,0)</f>
        <v/>
      </c>
      <c r="C68" s="21">
        <f>VLOOKUP(A68,재고차이!A:C,3,0)</f>
        <v/>
      </c>
      <c r="D68" s="21">
        <f>SUMIF(재고차이!B:B,주간상차!B:B,재고차이!E:E)</f>
        <v/>
      </c>
      <c r="E68" s="295" t="n"/>
      <c r="F68" s="296">
        <f>IF(E68="","",ROUNDDOWN(H68,0))</f>
        <v/>
      </c>
      <c r="G68" s="296">
        <f>IF(E68="","",E68-I68)</f>
        <v/>
      </c>
      <c r="H68" s="296">
        <f>IF(E68="","",E68/SUMIF(재고차이!A:A,주간상차!A:A,재고차이!E:E))</f>
        <v/>
      </c>
      <c r="I68" s="296">
        <f>IF(E68="","",F68*D68)</f>
        <v/>
      </c>
    </row>
    <row r="69">
      <c r="A69" s="24" t="n">
        <v>5643</v>
      </c>
      <c r="B69" s="21">
        <f>VLOOKUP(A69,재고차이!A:B,2,0)</f>
        <v/>
      </c>
      <c r="C69" s="21">
        <f>VLOOKUP(A69,재고차이!A:C,3,0)</f>
        <v/>
      </c>
      <c r="D69" s="21">
        <f>SUMIF(재고차이!B:B,주간상차!B:B,재고차이!E:E)</f>
        <v/>
      </c>
      <c r="E69" s="295" t="n"/>
      <c r="F69" s="296">
        <f>IF(E69="","",ROUNDDOWN(H69,0))</f>
        <v/>
      </c>
      <c r="G69" s="296">
        <f>IF(E69="","",E69-I69)</f>
        <v/>
      </c>
      <c r="H69" s="296">
        <f>IF(E69="","",E69/SUMIF(재고차이!A:A,주간상차!A:A,재고차이!E:E))</f>
        <v/>
      </c>
      <c r="I69" s="296">
        <f>IF(E69="","",F69*D69)</f>
        <v/>
      </c>
    </row>
    <row r="70">
      <c r="A70" s="24" t="n">
        <v>5651</v>
      </c>
      <c r="B70" s="21" t="inlineStr">
        <is>
          <t>PC5651</t>
        </is>
      </c>
      <c r="C70" s="21" t="inlineStr">
        <is>
          <t>강원평창수(올림픽) 500PET X20</t>
        </is>
      </c>
      <c r="D70" s="21">
        <f>SUMIF(재고차이!B:B,주간상차!B:B,재고차이!E:E)</f>
        <v/>
      </c>
      <c r="E70" s="295" t="n"/>
      <c r="F70" s="296">
        <f>IF(E70="","",ROUNDDOWN(H70,0))</f>
        <v/>
      </c>
      <c r="G70" s="296">
        <f>IF(E70="","",E70-I70)</f>
        <v/>
      </c>
      <c r="H70" s="296">
        <f>IF(E70="","",E70/SUMIF(재고차이!A:A,주간상차!A:A,재고차이!E:E))</f>
        <v/>
      </c>
      <c r="I70" s="296">
        <f>IF(E70="","",F70*D70)</f>
        <v/>
      </c>
    </row>
    <row r="71">
      <c r="A71" s="24" t="n">
        <v>5654</v>
      </c>
      <c r="B71" s="21">
        <f>VLOOKUP(A71,재고차이!A:B,2,0)</f>
        <v/>
      </c>
      <c r="C71" s="21">
        <f>VLOOKUP(A71,재고차이!A:C,3,0)</f>
        <v/>
      </c>
      <c r="D71" s="21">
        <f>SUMIF(재고차이!B:B,주간상차!B:B,재고차이!E:E)</f>
        <v/>
      </c>
      <c r="E71" s="295" t="n"/>
      <c r="F71" s="296">
        <f>IF(E71="","",ROUNDDOWN(H71,0))</f>
        <v/>
      </c>
      <c r="G71" s="296">
        <f>IF(E71="","",E71-I71)</f>
        <v/>
      </c>
      <c r="H71" s="296">
        <f>IF(E71="","",E71/SUMIF(재고차이!A:A,주간상차!A:A,재고차이!E:E))</f>
        <v/>
      </c>
      <c r="I71" s="296">
        <f>IF(E71="","",F71*D71)</f>
        <v/>
      </c>
    </row>
    <row r="72">
      <c r="A72" s="24" t="n">
        <v>5656</v>
      </c>
      <c r="B72" s="21">
        <f>VLOOKUP(A72,재고차이!A:B,2,0)</f>
        <v/>
      </c>
      <c r="C72" s="21">
        <f>VLOOKUP(A72,재고차이!A:C,3,0)</f>
        <v/>
      </c>
      <c r="D72" s="21">
        <f>SUMIF(재고차이!B:B,주간상차!B:B,재고차이!E:E)</f>
        <v/>
      </c>
      <c r="E72" s="295" t="n"/>
      <c r="F72" s="296">
        <f>IF(E72="","",ROUNDDOWN(H72,0))</f>
        <v/>
      </c>
      <c r="G72" s="296">
        <f>IF(E72="","",E72-I72)</f>
        <v/>
      </c>
      <c r="H72" s="296">
        <f>IF(E72="","",E72/SUMIF(재고차이!A:A,주간상차!A:A,재고차이!E:E))</f>
        <v/>
      </c>
      <c r="I72" s="296">
        <f>IF(E72="","",F72*D72)</f>
        <v/>
      </c>
    </row>
    <row r="73">
      <c r="A73" s="24" t="n">
        <v>5662</v>
      </c>
      <c r="B73" s="21">
        <f>VLOOKUP(A73,재고차이!A:B,2,0)</f>
        <v/>
      </c>
      <c r="C73" s="21">
        <f>VLOOKUP(A73,재고차이!A:C,3,0)</f>
        <v/>
      </c>
      <c r="D73" s="21">
        <f>SUMIF(재고차이!B:B,주간상차!B:B,재고차이!E:E)</f>
        <v/>
      </c>
      <c r="E73" s="295" t="n"/>
      <c r="F73" s="296">
        <f>IF(E73="","",ROUNDDOWN(H73,0))</f>
        <v/>
      </c>
      <c r="G73" s="296">
        <f>IF(E73="","",E73-I73)</f>
        <v/>
      </c>
      <c r="H73" s="296">
        <f>IF(E73="","",E73/SUMIF(재고차이!A:A,주간상차!A:A,재고차이!E:E))</f>
        <v/>
      </c>
      <c r="I73" s="296">
        <f>IF(E73="","",F73*D73)</f>
        <v/>
      </c>
    </row>
    <row r="74">
      <c r="A74" s="24" t="n">
        <v>5664</v>
      </c>
      <c r="B74" s="21">
        <f>VLOOKUP(A74,재고차이!A:B,2,0)</f>
        <v/>
      </c>
      <c r="C74" s="21">
        <f>VLOOKUP(A74,재고차이!A:C,3,0)</f>
        <v/>
      </c>
      <c r="D74" s="21">
        <f>SUMIF(재고차이!B:B,주간상차!B:B,재고차이!E:E)</f>
        <v/>
      </c>
      <c r="E74" s="295" t="n"/>
      <c r="F74" s="296">
        <f>IF(E74="","",ROUNDDOWN(H74,0))</f>
        <v/>
      </c>
      <c r="G74" s="296">
        <f>IF(E74="","",E74-I74)</f>
        <v/>
      </c>
      <c r="H74" s="296">
        <f>IF(E74="","",E74/SUMIF(재고차이!A:A,주간상차!A:A,재고차이!E:E))</f>
        <v/>
      </c>
      <c r="I74" s="296">
        <f>IF(E74="","",F74*D74)</f>
        <v/>
      </c>
    </row>
    <row r="75">
      <c r="A75" s="24" t="n">
        <v>5668</v>
      </c>
      <c r="B75" s="21">
        <f>VLOOKUP(A75,재고차이!A:B,2,0)</f>
        <v/>
      </c>
      <c r="C75" s="21">
        <f>VLOOKUP(A75,재고차이!A:C,3,0)</f>
        <v/>
      </c>
      <c r="D75" s="21">
        <f>SUMIF(재고차이!B:B,주간상차!B:B,재고차이!E:E)</f>
        <v/>
      </c>
      <c r="E75" s="295" t="n"/>
      <c r="F75" s="296">
        <f>IF(E75="","",ROUNDDOWN(H75,0))</f>
        <v/>
      </c>
      <c r="G75" s="296">
        <f>IF(E75="","",E75-I75)</f>
        <v/>
      </c>
      <c r="H75" s="296">
        <f>IF(E75="","",E75/SUMIF(재고차이!A:A,주간상차!A:A,재고차이!E:E))</f>
        <v/>
      </c>
      <c r="I75" s="296">
        <f>IF(E75="","",F75*D75)</f>
        <v/>
      </c>
      <c r="J75" s="5" t="n"/>
      <c r="K75" s="5" t="n"/>
      <c r="L75" s="5" t="n"/>
    </row>
    <row r="76">
      <c r="A76" s="24" t="n">
        <v>5672</v>
      </c>
      <c r="B76" s="21">
        <f>VLOOKUP(A76,재고차이!A:B,2,0)</f>
        <v/>
      </c>
      <c r="C76" s="21">
        <f>VLOOKUP(A76,재고차이!A:C,3,0)</f>
        <v/>
      </c>
      <c r="D76" s="21">
        <f>SUMIF(재고차이!B:B,주간상차!B:B,재고차이!E:E)</f>
        <v/>
      </c>
      <c r="E76" s="295" t="n"/>
      <c r="F76" s="296">
        <f>IF(E76="","",ROUNDDOWN(H76,0))</f>
        <v/>
      </c>
      <c r="G76" s="296">
        <f>IF(E76="","",E76-I76)</f>
        <v/>
      </c>
      <c r="H76" s="296">
        <f>IF(E76="","",E76/SUMIF(재고차이!A:A,주간상차!A:A,재고차이!E:E))</f>
        <v/>
      </c>
      <c r="I76" s="296">
        <f>IF(E76="","",F76*D76)</f>
        <v/>
      </c>
      <c r="J76" s="5" t="n"/>
      <c r="K76" s="5" t="n"/>
      <c r="L76" s="5" t="n"/>
    </row>
    <row r="77">
      <c r="A77" s="24" t="n">
        <v>5673</v>
      </c>
      <c r="B77" s="21">
        <f>VLOOKUP(A77,재고차이!A:B,2,0)</f>
        <v/>
      </c>
      <c r="C77" s="21">
        <f>VLOOKUP(A77,재고차이!A:C,3,0)</f>
        <v/>
      </c>
      <c r="D77" s="21">
        <f>SUMIF(재고차이!B:B,주간상차!B:B,재고차이!E:E)</f>
        <v/>
      </c>
      <c r="E77" s="295" t="n"/>
      <c r="F77" s="296">
        <f>IF(E77="","",ROUNDDOWN(H77,0))</f>
        <v/>
      </c>
      <c r="G77" s="296">
        <f>IF(E77="","",E77-I77)</f>
        <v/>
      </c>
      <c r="H77" s="296">
        <f>IF(E77="","",E77/SUMIF(재고차이!A:A,주간상차!A:A,재고차이!E:E))</f>
        <v/>
      </c>
      <c r="I77" s="296">
        <f>IF(E77="","",F77*D77)</f>
        <v/>
      </c>
      <c r="J77" s="5" t="n"/>
      <c r="K77" s="5" t="n"/>
      <c r="L77" s="5" t="n"/>
    </row>
    <row r="78">
      <c r="A78" s="24" t="n">
        <v>5676</v>
      </c>
      <c r="B78" s="21">
        <f>VLOOKUP(A78,재고차이!A:B,2,0)</f>
        <v/>
      </c>
      <c r="C78" s="21">
        <f>VLOOKUP(A78,재고차이!A:C,3,0)</f>
        <v/>
      </c>
      <c r="D78" s="21">
        <f>SUMIF(재고차이!B:B,주간상차!B:B,재고차이!E:E)</f>
        <v/>
      </c>
      <c r="E78" s="295" t="n"/>
      <c r="F78" s="296">
        <f>IF(E78="","",ROUNDDOWN(H78,0))</f>
        <v/>
      </c>
      <c r="G78" s="296">
        <f>IF(E78="","",E78-I78)</f>
        <v/>
      </c>
      <c r="H78" s="296">
        <f>IF(E78="","",E78/SUMIF(재고차이!A:A,주간상차!A:A,재고차이!E:E))</f>
        <v/>
      </c>
      <c r="I78" s="296">
        <f>IF(E78="","",F78*D78)</f>
        <v/>
      </c>
      <c r="J78" s="5" t="n"/>
      <c r="K78" s="5" t="n"/>
      <c r="L78" s="5" t="n"/>
    </row>
    <row r="79">
      <c r="A79" s="24" t="n">
        <v>5679</v>
      </c>
      <c r="B79" s="21">
        <f>VLOOKUP(A79,재고차이!A:B,2,0)</f>
        <v/>
      </c>
      <c r="C79" s="21">
        <f>VLOOKUP(A79,재고차이!A:C,3,0)</f>
        <v/>
      </c>
      <c r="D79" s="21">
        <f>SUMIF(재고차이!B:B,주간상차!B:B,재고차이!E:E)</f>
        <v/>
      </c>
      <c r="E79" s="295" t="n"/>
      <c r="F79" s="296">
        <f>IF(E79="","",ROUNDDOWN(H79,0))</f>
        <v/>
      </c>
      <c r="G79" s="296">
        <f>IF(E79="","",E79-I79)</f>
        <v/>
      </c>
      <c r="H79" s="296">
        <f>IF(E79="","",E79/SUMIF(재고차이!A:A,주간상차!A:A,재고차이!E:E))</f>
        <v/>
      </c>
      <c r="I79" s="296">
        <f>IF(E79="","",F79*D79)</f>
        <v/>
      </c>
      <c r="J79" s="5" t="n"/>
      <c r="K79" s="5" t="n"/>
      <c r="L79" s="5" t="n"/>
    </row>
    <row r="80">
      <c r="A80" s="10" t="n">
        <v>5748</v>
      </c>
      <c r="B80" s="21">
        <f>VLOOKUP(A80,재고차이!A:B,2,0)</f>
        <v/>
      </c>
      <c r="C80" s="21">
        <f>VLOOKUP(A80,재고차이!A:C,3,0)</f>
        <v/>
      </c>
      <c r="D80" s="21">
        <f>SUMIF(재고차이!B:B,주간상차!B:B,재고차이!E:E)</f>
        <v/>
      </c>
      <c r="E80" s="295" t="n"/>
      <c r="F80" s="296">
        <f>IF(E80="","",ROUNDDOWN(H80,0))</f>
        <v/>
      </c>
      <c r="G80" s="296">
        <f>IF(E80="","",E80-I80)</f>
        <v/>
      </c>
      <c r="H80" s="296">
        <f>IF(E80="","",E80/SUMIF(재고차이!A:A,주간상차!A:A,재고차이!E:E))</f>
        <v/>
      </c>
      <c r="I80" s="296">
        <f>IF(E80="","",F80*D80)</f>
        <v/>
      </c>
      <c r="J80" s="5" t="n"/>
      <c r="K80" s="5" t="n"/>
      <c r="L80" s="5" t="n"/>
    </row>
    <row r="81">
      <c r="A81" s="24" t="n">
        <v>5749</v>
      </c>
      <c r="B81" s="21">
        <f>VLOOKUP(A81,재고차이!A:B,2,0)</f>
        <v/>
      </c>
      <c r="C81" s="21">
        <f>VLOOKUP(A81,재고차이!A:C,3,0)</f>
        <v/>
      </c>
      <c r="D81" s="21">
        <f>SUMIF(재고차이!B:B,주간상차!B:B,재고차이!E:E)</f>
        <v/>
      </c>
      <c r="E81" s="295" t="n"/>
      <c r="F81" s="296">
        <f>IF(E81="","",ROUNDDOWN(H81,0))</f>
        <v/>
      </c>
      <c r="G81" s="296">
        <f>IF(E81="","",E81-I81)</f>
        <v/>
      </c>
      <c r="H81" s="296">
        <f>IF(E81="","",E81/SUMIF(재고차이!A:A,주간상차!A:A,재고차이!E:E))</f>
        <v/>
      </c>
      <c r="I81" s="296">
        <f>IF(E81="","",F81*D81)</f>
        <v/>
      </c>
      <c r="J81" s="5" t="n"/>
      <c r="K81" s="5" t="n"/>
      <c r="L81" s="5" t="n"/>
    </row>
    <row r="82">
      <c r="A82" s="24" t="n">
        <v>5769</v>
      </c>
      <c r="B82" s="21">
        <f>VLOOKUP(A82,재고차이!A:B,2,0)</f>
        <v/>
      </c>
      <c r="C82" s="21">
        <f>VLOOKUP(A82,재고차이!A:C,3,0)</f>
        <v/>
      </c>
      <c r="D82" s="21">
        <f>SUMIF(재고차이!B:B,주간상차!B:B,재고차이!E:E)</f>
        <v/>
      </c>
      <c r="E82" s="295" t="n"/>
      <c r="F82" s="296">
        <f>IF(E82="","",ROUNDDOWN(H82,0))</f>
        <v/>
      </c>
      <c r="G82" s="296">
        <f>IF(E82="","",E82-I82)</f>
        <v/>
      </c>
      <c r="H82" s="296">
        <f>IF(E82="","",E82/SUMIF(재고차이!A:A,주간상차!A:A,재고차이!E:E))</f>
        <v/>
      </c>
      <c r="I82" s="296">
        <f>IF(E82="","",F82*D82)</f>
        <v/>
      </c>
      <c r="J82" s="5" t="n"/>
      <c r="K82" s="5" t="n"/>
      <c r="L82" s="5" t="n"/>
    </row>
    <row r="83">
      <c r="A83" s="10" t="n">
        <v>5771</v>
      </c>
      <c r="B83" s="21">
        <f>VLOOKUP(A83,재고차이!A:B,2,0)</f>
        <v/>
      </c>
      <c r="C83" s="21">
        <f>VLOOKUP(A83,재고차이!A:C,3,0)</f>
        <v/>
      </c>
      <c r="D83" s="21">
        <f>SUMIF(재고차이!B:B,주간상차!B:B,재고차이!E:E)</f>
        <v/>
      </c>
      <c r="E83" s="295" t="n"/>
      <c r="F83" s="296">
        <f>IF(E83="","",ROUNDDOWN(H83,0))</f>
        <v/>
      </c>
      <c r="G83" s="296">
        <f>IF(E83="","",E83-I83)</f>
        <v/>
      </c>
      <c r="H83" s="296">
        <f>IF(E83="","",E83/SUMIF(재고차이!A:A,주간상차!A:A,재고차이!E:E))</f>
        <v/>
      </c>
      <c r="I83" s="296">
        <f>IF(E83="","",F83*D83)</f>
        <v/>
      </c>
      <c r="J83" s="5" t="n"/>
      <c r="K83" s="5" t="n"/>
      <c r="L83" s="5" t="n"/>
    </row>
    <row r="84">
      <c r="A84" s="24" t="n">
        <v>5774</v>
      </c>
      <c r="B84" s="21">
        <f>VLOOKUP(A84,재고차이!A:B,2,0)</f>
        <v/>
      </c>
      <c r="C84" s="21">
        <f>VLOOKUP(A84,재고차이!A:C,3,0)</f>
        <v/>
      </c>
      <c r="D84" s="21">
        <f>SUMIF(재고차이!B:B,주간상차!B:B,재고차이!E:E)</f>
        <v/>
      </c>
      <c r="E84" s="295" t="n"/>
      <c r="F84" s="296">
        <f>IF(E84="","",ROUNDDOWN(H84,0))</f>
        <v/>
      </c>
      <c r="G84" s="296">
        <f>IF(E84="","",E84-I84)</f>
        <v/>
      </c>
      <c r="H84" s="296">
        <f>IF(E84="","",E84/SUMIF(재고차이!A:A,주간상차!A:A,재고차이!E:E))</f>
        <v/>
      </c>
      <c r="I84" s="296">
        <f>IF(E84="","",F84*D84)</f>
        <v/>
      </c>
      <c r="J84" s="5" t="n"/>
      <c r="K84" s="5" t="n"/>
      <c r="L84" s="5" t="n"/>
    </row>
    <row r="85">
      <c r="A85" s="10" t="n">
        <v>5777</v>
      </c>
      <c r="B85" s="21">
        <f>VLOOKUP(A85,재고차이!A:B,2,0)</f>
        <v/>
      </c>
      <c r="C85" s="21">
        <f>VLOOKUP(A85,재고차이!A:C,3,0)</f>
        <v/>
      </c>
      <c r="D85" s="21">
        <f>SUMIF(재고차이!B:B,주간상차!B:B,재고차이!E:E)</f>
        <v/>
      </c>
      <c r="E85" s="295" t="n"/>
      <c r="F85" s="296">
        <f>IF(E85="","",ROUNDDOWN(H85,0))</f>
        <v/>
      </c>
      <c r="G85" s="296">
        <f>IF(E85="","",E85-I85)</f>
        <v/>
      </c>
      <c r="H85" s="296">
        <f>IF(E85="","",E85/SUMIF(재고차이!A:A,주간상차!A:A,재고차이!E:E))</f>
        <v/>
      </c>
      <c r="I85" s="296">
        <f>IF(E85="","",F85*D85)</f>
        <v/>
      </c>
      <c r="J85" s="5" t="n"/>
      <c r="K85" s="5" t="n"/>
      <c r="L85" s="5" t="n"/>
    </row>
    <row r="86">
      <c r="A86" s="10" t="n">
        <v>5782</v>
      </c>
      <c r="B86" s="21">
        <f>VLOOKUP(A86,재고차이!A:B,2,0)</f>
        <v/>
      </c>
      <c r="C86" s="21">
        <f>VLOOKUP(A86,재고차이!A:C,3,0)</f>
        <v/>
      </c>
      <c r="D86" s="21">
        <f>SUMIF(재고차이!B:B,주간상차!B:B,재고차이!E:E)</f>
        <v/>
      </c>
      <c r="E86" s="295" t="n"/>
      <c r="F86" s="296">
        <f>IF(E86="","",ROUNDDOWN(H86,0))</f>
        <v/>
      </c>
      <c r="G86" s="296">
        <f>IF(E86="","",E86-I86)</f>
        <v/>
      </c>
      <c r="H86" s="296">
        <f>E86/D86</f>
        <v/>
      </c>
      <c r="I86" s="296">
        <f>IF(E86="","",F86*D86)</f>
        <v/>
      </c>
      <c r="J86" s="5" t="n"/>
      <c r="K86" s="5" t="n"/>
      <c r="L86" s="5" t="n"/>
    </row>
    <row r="87">
      <c r="A87" s="24" t="n">
        <v>6098</v>
      </c>
      <c r="B87" s="21">
        <f>VLOOKUP(A87,재고차이!A:B,2,0)</f>
        <v/>
      </c>
      <c r="C87" s="21">
        <f>VLOOKUP(A87,재고차이!A:C,3,0)</f>
        <v/>
      </c>
      <c r="D87" s="21">
        <f>SUMIF(재고차이!B:B,주간상차!B:B,재고차이!E:E)</f>
        <v/>
      </c>
      <c r="E87" s="295" t="n"/>
      <c r="F87" s="296">
        <f>IF(E87="","",ROUNDDOWN(H87,0))</f>
        <v/>
      </c>
      <c r="G87" s="296">
        <f>IF(E87="","",E87-I87)</f>
        <v/>
      </c>
      <c r="H87" s="296">
        <f>IF(E87="","",E87/SUMIF(재고차이!A:A,주간상차!A:A,재고차이!E:E))</f>
        <v/>
      </c>
      <c r="I87" s="296">
        <f>IF(E87="","",F87*D87)</f>
        <v/>
      </c>
      <c r="J87" s="5" t="n"/>
      <c r="K87" s="5" t="n"/>
      <c r="L87" s="5" t="n"/>
    </row>
    <row r="88">
      <c r="A88" s="24" t="n">
        <v>6103</v>
      </c>
      <c r="B88" s="21">
        <f>VLOOKUP(A88,재고차이!A:B,2,0)</f>
        <v/>
      </c>
      <c r="C88" s="21">
        <f>VLOOKUP(A88,재고차이!A:C,3,0)</f>
        <v/>
      </c>
      <c r="D88" s="21">
        <f>SUMIF(재고차이!B:B,주간상차!B:B,재고차이!E:E)</f>
        <v/>
      </c>
      <c r="E88" s="295" t="n"/>
      <c r="F88" s="296">
        <f>IF(E88="","",ROUNDDOWN(H88,0))</f>
        <v/>
      </c>
      <c r="G88" s="296">
        <f>IF(E88="","",E88-I88)</f>
        <v/>
      </c>
      <c r="H88" s="296">
        <f>IF(E88="","",E88/SUMIF(재고차이!A:A,주간상차!A:A,재고차이!E:E))</f>
        <v/>
      </c>
      <c r="I88" s="296">
        <f>IF(E88="","",F88*D88)</f>
        <v/>
      </c>
      <c r="J88" s="5" t="n"/>
      <c r="K88" s="5" t="n"/>
      <c r="L88" s="5" t="n"/>
    </row>
    <row r="89">
      <c r="A89" s="24" t="n">
        <v>6108</v>
      </c>
      <c r="B89" s="21">
        <f>VLOOKUP(A89,재고차이!A:B,2,0)</f>
        <v/>
      </c>
      <c r="C89" s="21">
        <f>VLOOKUP(A89,재고차이!A:C,3,0)</f>
        <v/>
      </c>
      <c r="D89" s="21">
        <f>SUMIF(재고차이!B:B,주간상차!B:B,재고차이!E:E)</f>
        <v/>
      </c>
      <c r="E89" s="295" t="n"/>
      <c r="F89" s="296">
        <f>IF(E89="","",ROUNDDOWN(H89,0))</f>
        <v/>
      </c>
      <c r="G89" s="296">
        <f>IF(E89="","",E89-I89)</f>
        <v/>
      </c>
      <c r="H89" s="296">
        <f>IF(E89="","",E89/SUMIF(재고차이!A:A,주간상차!A:A,재고차이!E:E))</f>
        <v/>
      </c>
      <c r="I89" s="296">
        <f>IF(E89="","",F89*D89)</f>
        <v/>
      </c>
      <c r="J89" s="5" t="n"/>
      <c r="K89" s="5" t="n"/>
      <c r="L89" s="5" t="n"/>
    </row>
    <row r="90">
      <c r="A90" s="10" t="n">
        <v>6111</v>
      </c>
      <c r="B90" s="21">
        <f>VLOOKUP(A90,재고차이!A:B,2,0)</f>
        <v/>
      </c>
      <c r="C90" s="21">
        <f>VLOOKUP(A90,재고차이!A:C,3,0)</f>
        <v/>
      </c>
      <c r="D90" s="21">
        <f>SUMIF(재고차이!B:B,주간상차!B:B,재고차이!E:E)</f>
        <v/>
      </c>
      <c r="E90" s="295" t="n"/>
      <c r="F90" s="296">
        <f>IF(E90="","",ROUNDDOWN(H90,0))</f>
        <v/>
      </c>
      <c r="G90" s="296">
        <f>IF(E90="","",E90-I90)</f>
        <v/>
      </c>
      <c r="H90" s="296">
        <f>IF(E90="","",E90/SUMIF(재고차이!A:A,주간상차!A:A,재고차이!E:E))</f>
        <v/>
      </c>
      <c r="I90" s="296">
        <f>IF(E90="","",F90*D90)</f>
        <v/>
      </c>
      <c r="J90" s="5" t="n"/>
      <c r="K90" s="5" t="n"/>
      <c r="L90" s="5" t="n"/>
    </row>
    <row r="91">
      <c r="A91" s="24" t="n">
        <v>6114</v>
      </c>
      <c r="B91" s="21">
        <f>VLOOKUP(A91,재고차이!A:B,2,0)</f>
        <v/>
      </c>
      <c r="C91" s="21">
        <f>VLOOKUP(A91,재고차이!A:C,3,0)</f>
        <v/>
      </c>
      <c r="D91" s="21">
        <f>SUMIF(재고차이!B:B,주간상차!B:B,재고차이!E:E)</f>
        <v/>
      </c>
      <c r="E91" s="295" t="n"/>
      <c r="F91" s="296">
        <f>IF(E91="","",ROUNDDOWN(H91,0))</f>
        <v/>
      </c>
      <c r="G91" s="296">
        <f>IF(E91="","",E91-I91)</f>
        <v/>
      </c>
      <c r="H91" s="296">
        <f>IF(E91="","",E91/SUMIF(재고차이!A:A,주간상차!A:A,재고차이!E:E))</f>
        <v/>
      </c>
      <c r="I91" s="296">
        <f>IF(E91="","",F91*D91)</f>
        <v/>
      </c>
      <c r="J91" s="5" t="n"/>
      <c r="K91" s="5" t="n"/>
      <c r="L91" s="5" t="n"/>
    </row>
    <row r="92">
      <c r="A92" s="24" t="n">
        <v>6117</v>
      </c>
      <c r="B92" s="21">
        <f>VLOOKUP(A92,재고차이!A:B,2,0)</f>
        <v/>
      </c>
      <c r="C92" s="21">
        <f>VLOOKUP(A92,재고차이!A:C,3,0)</f>
        <v/>
      </c>
      <c r="D92" s="21">
        <f>SUMIF(재고차이!B:B,주간상차!B:B,재고차이!E:E)</f>
        <v/>
      </c>
      <c r="E92" s="295" t="n"/>
      <c r="F92" s="296">
        <f>IF(E92="","",ROUNDDOWN(H92,0))</f>
        <v/>
      </c>
      <c r="G92" s="296">
        <f>IF(E92="","",E92-I92)</f>
        <v/>
      </c>
      <c r="H92" s="296">
        <f>IF(E92="","",E92/SUMIF(재고차이!A:A,주간상차!A:A,재고차이!E:E))</f>
        <v/>
      </c>
      <c r="I92" s="296">
        <f>IF(E92="","",F92*D92)</f>
        <v/>
      </c>
      <c r="J92" s="5" t="n"/>
      <c r="K92" s="5" t="n"/>
      <c r="L92" s="5" t="n"/>
    </row>
    <row r="93">
      <c r="A93" s="24" t="n">
        <v>6120</v>
      </c>
      <c r="B93" s="21">
        <f>VLOOKUP(A93,재고차이!A:B,2,0)</f>
        <v/>
      </c>
      <c r="C93" s="21">
        <f>VLOOKUP(A93,재고차이!A:C,3,0)</f>
        <v/>
      </c>
      <c r="D93" s="21">
        <f>SUMIF(재고차이!B:B,주간상차!B:B,재고차이!E:E)</f>
        <v/>
      </c>
      <c r="E93" s="295" t="n"/>
      <c r="F93" s="296">
        <f>IF(E93="","",ROUNDDOWN(H93,0))</f>
        <v/>
      </c>
      <c r="G93" s="296">
        <f>IF(E93="","",E93-I93)</f>
        <v/>
      </c>
      <c r="H93" s="296">
        <f>IF(E93="","",E93/SUMIF(재고차이!A:A,주간상차!A:A,재고차이!E:E))</f>
        <v/>
      </c>
      <c r="I93" s="296">
        <f>IF(E93="","",F93*D93)</f>
        <v/>
      </c>
      <c r="J93" s="5" t="n"/>
      <c r="K93" s="5" t="n"/>
      <c r="L93" s="5" t="n"/>
    </row>
    <row r="94">
      <c r="A94" s="24" t="n">
        <v>6134</v>
      </c>
      <c r="B94" s="21">
        <f>VLOOKUP(A94,재고차이!A:B,2,0)</f>
        <v/>
      </c>
      <c r="C94" s="21">
        <f>VLOOKUP(A94,재고차이!A:C,3,0)</f>
        <v/>
      </c>
      <c r="D94" s="21">
        <f>SUMIF(재고차이!B:B,주간상차!B:B,재고차이!E:E)</f>
        <v/>
      </c>
      <c r="E94" s="295" t="n"/>
      <c r="F94" s="296">
        <f>IF(E94="","",ROUNDDOWN(H94,0))</f>
        <v/>
      </c>
      <c r="G94" s="296">
        <f>IF(E94="","",E94-I94)</f>
        <v/>
      </c>
      <c r="H94" s="296">
        <f>IF(E94="","",E94/SUMIF(재고차이!A:A,주간상차!A:A,재고차이!E:E))</f>
        <v/>
      </c>
      <c r="I94" s="296">
        <f>IF(E94="","",F94*D94)</f>
        <v/>
      </c>
      <c r="J94" s="5" t="n"/>
      <c r="K94" s="5" t="n"/>
      <c r="L94" s="5" t="n"/>
    </row>
    <row r="95">
      <c r="A95" s="24" t="n">
        <v>6277</v>
      </c>
      <c r="B95" s="21">
        <f>VLOOKUP(A95,재고차이!A:B,2,0)</f>
        <v/>
      </c>
      <c r="C95" s="21">
        <f>VLOOKUP(A95,재고차이!A:C,3,0)</f>
        <v/>
      </c>
      <c r="D95" s="21">
        <f>SUMIF(재고차이!B:B,주간상차!B:B,재고차이!E:E)</f>
        <v/>
      </c>
      <c r="E95" s="295" t="n"/>
      <c r="F95" s="296">
        <f>IF(E95="","",ROUNDDOWN(H95,0))</f>
        <v/>
      </c>
      <c r="G95" s="296">
        <f>IF(E95="","",E95-I95)</f>
        <v/>
      </c>
      <c r="H95" s="296">
        <f>IF(E95="","",E95/SUMIF(재고차이!A:A,주간상차!A:A,재고차이!E:E))</f>
        <v/>
      </c>
      <c r="I95" s="296">
        <f>IF(E95="","",F95*D95)</f>
        <v/>
      </c>
      <c r="J95" s="5" t="n"/>
      <c r="K95" s="5" t="n"/>
      <c r="L95" s="5" t="n"/>
    </row>
    <row r="96">
      <c r="A96" s="24" t="n">
        <v>6280</v>
      </c>
      <c r="B96" s="21">
        <f>VLOOKUP(A96,재고차이!A:B,2,0)</f>
        <v/>
      </c>
      <c r="C96" s="21">
        <f>VLOOKUP(A96,재고차이!A:C,3,0)</f>
        <v/>
      </c>
      <c r="D96" s="21">
        <f>SUMIF(재고차이!B:B,주간상차!B:B,재고차이!E:E)</f>
        <v/>
      </c>
      <c r="E96" s="295" t="n"/>
      <c r="F96" s="296">
        <f>IF(E96="","",ROUNDDOWN(H96,0))</f>
        <v/>
      </c>
      <c r="G96" s="296">
        <f>IF(E96="","",E96-I96)</f>
        <v/>
      </c>
      <c r="H96" s="296">
        <f>IF(E96="","",E96/SUMIF(재고차이!A:A,주간상차!A:A,재고차이!E:E))</f>
        <v/>
      </c>
      <c r="I96" s="296">
        <f>IF(E96="","",F96*D96)</f>
        <v/>
      </c>
      <c r="J96" s="5" t="n"/>
      <c r="K96" s="5" t="n"/>
      <c r="L96" s="5" t="n"/>
    </row>
    <row r="97">
      <c r="A97" s="24" t="n">
        <v>6285</v>
      </c>
      <c r="B97" s="21">
        <f>VLOOKUP(A97,재고차이!A:B,2,0)</f>
        <v/>
      </c>
      <c r="C97" s="21">
        <f>VLOOKUP(A97,재고차이!A:C,3,0)</f>
        <v/>
      </c>
      <c r="D97" s="21">
        <f>SUMIF(재고차이!B:B,주간상차!B:B,재고차이!E:E)</f>
        <v/>
      </c>
      <c r="E97" s="295" t="n"/>
      <c r="F97" s="296">
        <f>IF(E97="","",ROUNDDOWN(H97,0))</f>
        <v/>
      </c>
      <c r="G97" s="296">
        <f>IF(E97="","",E97-I97)</f>
        <v/>
      </c>
      <c r="H97" s="296">
        <f>IF(E97="","",E97/SUMIF(재고차이!A:A,주간상차!A:A,재고차이!E:E))</f>
        <v/>
      </c>
      <c r="I97" s="296">
        <f>IF(E97="","",F97*D97)</f>
        <v/>
      </c>
      <c r="J97" s="5" t="n"/>
      <c r="K97" s="5" t="n"/>
      <c r="L97" s="5" t="n"/>
    </row>
    <row r="98">
      <c r="A98" s="10" t="n">
        <v>6349</v>
      </c>
      <c r="B98" s="21">
        <f>VLOOKUP(A98,재고차이!A:B,2,0)</f>
        <v/>
      </c>
      <c r="C98" s="21">
        <f>VLOOKUP(A98,재고차이!A:C,3,0)</f>
        <v/>
      </c>
      <c r="D98" s="21">
        <f>SUMIF(재고차이!B:B,주간상차!B:B,재고차이!E:E)</f>
        <v/>
      </c>
      <c r="E98" s="295" t="n"/>
      <c r="F98" s="296">
        <f>IF(E98="","",ROUNDDOWN(H98,0))</f>
        <v/>
      </c>
      <c r="G98" s="296">
        <f>IF(E98="","",E98-I98)</f>
        <v/>
      </c>
      <c r="H98" s="296">
        <f>IF(E98="","",E98/SUMIF(재고차이!A:A,주간상차!A:A,재고차이!E:E))</f>
        <v/>
      </c>
      <c r="I98" s="296">
        <f>IF(E98="","",F98*D98)</f>
        <v/>
      </c>
      <c r="J98" s="5" t="n"/>
      <c r="K98" s="5" t="n"/>
      <c r="L98" s="5" t="n"/>
    </row>
    <row r="99">
      <c r="A99" s="10" t="n">
        <v>6509</v>
      </c>
      <c r="B99" s="21">
        <f>VLOOKUP(A99,재고차이!A:B,2,0)</f>
        <v/>
      </c>
      <c r="C99" s="21">
        <f>VLOOKUP(A99,재고차이!A:C,3,0)</f>
        <v/>
      </c>
      <c r="D99" s="21">
        <f>SUMIF(재고차이!B:B,주간상차!B:B,재고차이!E:E)</f>
        <v/>
      </c>
      <c r="E99" s="295" t="n"/>
      <c r="F99" s="296">
        <f>IF(E99="","",ROUNDDOWN(H99,0))</f>
        <v/>
      </c>
      <c r="G99" s="296">
        <f>IF(E99="","",E99-I99)</f>
        <v/>
      </c>
      <c r="H99" s="296">
        <f>IF(E99="","",E99/SUMIF(재고차이!A:A,주간상차!A:A,재고차이!E:E))</f>
        <v/>
      </c>
      <c r="I99" s="296">
        <f>IF(E99="","",F99*D99)</f>
        <v/>
      </c>
      <c r="J99" s="5" t="n"/>
      <c r="K99" s="5" t="n"/>
      <c r="L99" s="5" t="n"/>
    </row>
    <row r="100">
      <c r="A100" s="10" t="n">
        <v>6676</v>
      </c>
      <c r="B100" s="21">
        <f>VLOOKUP(A100,재고차이!A:B,2,0)</f>
        <v/>
      </c>
      <c r="C100" s="21">
        <f>VLOOKUP(A100,재고차이!A:C,3,0)</f>
        <v/>
      </c>
      <c r="D100" s="21">
        <f>SUMIF(재고차이!B:B,주간상차!B:B,재고차이!E:E)</f>
        <v/>
      </c>
      <c r="E100" s="295" t="n"/>
      <c r="F100" s="296">
        <f>IF(E100="","",ROUNDDOWN(H100,0))</f>
        <v/>
      </c>
      <c r="G100" s="296">
        <f>IF(E100="","",E100-I100)</f>
        <v/>
      </c>
      <c r="H100" s="296">
        <f>E100/D100</f>
        <v/>
      </c>
      <c r="I100" s="296">
        <f>IF(E100="","",F100*D100)</f>
        <v/>
      </c>
      <c r="J100" s="5" t="n"/>
      <c r="K100" s="5" t="n"/>
      <c r="L100" s="5" t="n"/>
    </row>
    <row r="101">
      <c r="A101" s="10" t="n">
        <v>6705</v>
      </c>
      <c r="B101" s="21">
        <f>VLOOKUP(A101,재고차이!A:B,2,0)</f>
        <v/>
      </c>
      <c r="C101" s="21">
        <f>VLOOKUP(A101,재고차이!A:C,3,0)</f>
        <v/>
      </c>
      <c r="D101" s="21">
        <f>SUMIF(재고차이!B:B,주간상차!B:B,재고차이!E:E)</f>
        <v/>
      </c>
      <c r="E101" s="295" t="n"/>
      <c r="F101" s="296">
        <f>IF(E101="","",ROUNDDOWN(H101,0))</f>
        <v/>
      </c>
      <c r="G101" s="296">
        <f>IF(E101="","",E101-I101)</f>
        <v/>
      </c>
      <c r="H101" s="296">
        <f>IF(E101="","",E101/SUMIF(재고차이!A:A,주간상차!A:A,재고차이!E:E))</f>
        <v/>
      </c>
      <c r="I101" s="296">
        <f>IF(E101="","",F101*D101)</f>
        <v/>
      </c>
      <c r="J101" s="5" t="n"/>
      <c r="K101" s="5" t="n"/>
      <c r="L101" s="5" t="n"/>
    </row>
    <row r="102">
      <c r="A102" s="24" t="n">
        <v>6706</v>
      </c>
      <c r="B102" s="21">
        <f>VLOOKUP(A102,재고차이!A:B,2,0)</f>
        <v/>
      </c>
      <c r="C102" s="21">
        <f>VLOOKUP(A102,재고차이!A:C,3,0)</f>
        <v/>
      </c>
      <c r="D102" s="21">
        <f>SUMIF(재고차이!B:B,주간상차!B:B,재고차이!E:E)</f>
        <v/>
      </c>
      <c r="E102" s="295" t="n"/>
      <c r="F102" s="296">
        <f>IF(E102="","",ROUNDDOWN(H102,0))</f>
        <v/>
      </c>
      <c r="G102" s="296">
        <f>IF(E102="","",E102-I102)</f>
        <v/>
      </c>
      <c r="H102" s="296">
        <f>IF(E102="","",E102/SUMIF(재고차이!A:A,주간상차!A:A,재고차이!E:E))</f>
        <v/>
      </c>
      <c r="I102" s="296">
        <f>IF(E102="","",F102*D102)</f>
        <v/>
      </c>
      <c r="J102" s="5" t="n"/>
      <c r="K102" s="5" t="n"/>
      <c r="L102" s="5" t="n"/>
    </row>
    <row r="103">
      <c r="A103" s="10" t="n">
        <v>6871</v>
      </c>
      <c r="B103" s="21">
        <f>VLOOKUP(A103,재고차이!A:B,2,0)</f>
        <v/>
      </c>
      <c r="C103" s="21">
        <f>VLOOKUP(A103,재고차이!A:C,3,0)</f>
        <v/>
      </c>
      <c r="D103" s="21">
        <f>SUMIF(재고차이!B:B,주간상차!B:B,재고차이!E:E)</f>
        <v/>
      </c>
      <c r="E103" s="295" t="n">
        <v>96</v>
      </c>
      <c r="F103" s="296">
        <f>IF(E103="","",ROUNDDOWN(H103,0))</f>
        <v/>
      </c>
      <c r="G103" s="296">
        <f>IF(E103="","",E103-I103)</f>
        <v/>
      </c>
      <c r="H103" s="296">
        <f>IF(E103="","",E103/SUMIF(재고차이!A:A,주간상차!A:A,재고차이!E:E))</f>
        <v/>
      </c>
      <c r="I103" s="296">
        <f>IF(E103="","",F103*D103)</f>
        <v/>
      </c>
      <c r="J103" s="5" t="n"/>
      <c r="K103" s="5" t="n"/>
      <c r="L103" s="5" t="n"/>
    </row>
    <row r="104">
      <c r="A104" s="24" t="n">
        <v>7877</v>
      </c>
      <c r="B104" s="21">
        <f>VLOOKUP(A104,재고차이!A:B,2,0)</f>
        <v/>
      </c>
      <c r="C104" s="21">
        <f>VLOOKUP(A104,재고차이!A:C,3,0)</f>
        <v/>
      </c>
      <c r="D104" s="21">
        <f>SUMIF(재고차이!B:B,주간상차!B:B,재고차이!E:E)</f>
        <v/>
      </c>
      <c r="E104" s="295" t="n"/>
      <c r="F104" s="296">
        <f>IF(E104="","",ROUNDDOWN(H104,0))</f>
        <v/>
      </c>
      <c r="G104" s="296">
        <f>IF(E104="","",E104-I104)</f>
        <v/>
      </c>
      <c r="H104" s="296">
        <f>IF(E104="","",E104/SUMIF(재고차이!A:A,주간상차!A:A,재고차이!E:E))</f>
        <v/>
      </c>
      <c r="I104" s="296">
        <f>IF(E104="","",F104*D104)</f>
        <v/>
      </c>
      <c r="J104" s="5" t="n"/>
      <c r="K104" s="5" t="n"/>
      <c r="L104" s="5" t="n"/>
    </row>
    <row r="105">
      <c r="A105" s="10" t="n">
        <v>7923</v>
      </c>
      <c r="B105" s="21">
        <f>VLOOKUP(A105,재고차이!A:B,2,0)</f>
        <v/>
      </c>
      <c r="C105" s="21">
        <f>VLOOKUP(A105,재고차이!A:C,3,0)</f>
        <v/>
      </c>
      <c r="D105" s="21">
        <f>SUMIF(재고차이!B:B,주간상차!B:B,재고차이!E:E)</f>
        <v/>
      </c>
      <c r="E105" s="295" t="n"/>
      <c r="F105" s="296">
        <f>IF(E105="","",ROUNDDOWN(H105,0))</f>
        <v/>
      </c>
      <c r="G105" s="296">
        <f>IF(E105="","",E105-I105)</f>
        <v/>
      </c>
      <c r="H105" s="297">
        <f>E105/D105</f>
        <v/>
      </c>
      <c r="I105" s="296">
        <f>IF(E105="","",F105*D105)</f>
        <v/>
      </c>
      <c r="J105" s="5" t="n"/>
      <c r="K105" s="5" t="n"/>
      <c r="L105" s="5" t="n"/>
    </row>
    <row r="106">
      <c r="A106" s="10" t="n">
        <v>7928</v>
      </c>
      <c r="B106" s="21">
        <f>VLOOKUP(A106,재고차이!A:B,2,0)</f>
        <v/>
      </c>
      <c r="C106" s="21">
        <f>VLOOKUP(A106,재고차이!A:C,3,0)</f>
        <v/>
      </c>
      <c r="D106" s="21">
        <f>SUMIF(재고차이!B:B,주간상차!B:B,재고차이!E:E)</f>
        <v/>
      </c>
      <c r="E106" s="10" t="n"/>
      <c r="F106" s="296">
        <f>IF(E106="","",ROUNDDOWN(H106,0))</f>
        <v/>
      </c>
      <c r="G106" s="296">
        <f>IF(E106="","",E106-I106)</f>
        <v/>
      </c>
      <c r="H106" s="296">
        <f>IF(E106="","",E106/SUMIF(재고차이!A:A,주간상차!A:A,재고차이!E:E))</f>
        <v/>
      </c>
      <c r="I106" s="296">
        <f>IF(E106="","",F106*D106)</f>
        <v/>
      </c>
      <c r="J106" s="5" t="n"/>
      <c r="K106" s="5" t="n"/>
      <c r="L106" s="5" t="n"/>
    </row>
    <row r="107">
      <c r="A107" s="24" t="n">
        <v>7944</v>
      </c>
      <c r="B107" s="21">
        <f>VLOOKUP(A107,재고차이!A:B,2,0)</f>
        <v/>
      </c>
      <c r="C107" s="21">
        <f>VLOOKUP(A107,재고차이!A:C,3,0)</f>
        <v/>
      </c>
      <c r="D107" s="21">
        <f>SUMIF(재고차이!B:B,주간상차!B:B,재고차이!E:E)</f>
        <v/>
      </c>
      <c r="E107" s="295" t="n"/>
      <c r="F107" s="296">
        <f>IF(E107="","",ROUNDDOWN(H107,0))</f>
        <v/>
      </c>
      <c r="G107" s="296">
        <f>IF(E107="","",E107-I107)</f>
        <v/>
      </c>
      <c r="H107" s="296">
        <f>IF(E107="","",E107/SUMIF(재고차이!A:A,주간상차!A:A,재고차이!E:E))</f>
        <v/>
      </c>
      <c r="I107" s="296">
        <f>IF(E107="","",F107*D107)</f>
        <v/>
      </c>
      <c r="J107" s="5" t="n"/>
      <c r="K107" s="5" t="n"/>
      <c r="L107" s="5" t="n"/>
    </row>
    <row r="108">
      <c r="A108" s="24" t="n">
        <v>7949</v>
      </c>
      <c r="B108" s="21">
        <f>VLOOKUP(A108,재고차이!A:B,2,0)</f>
        <v/>
      </c>
      <c r="C108" s="21">
        <f>VLOOKUP(A108,재고차이!A:C,3,0)</f>
        <v/>
      </c>
      <c r="D108" s="21">
        <f>SUMIF(재고차이!B:B,주간상차!B:B,재고차이!E:E)</f>
        <v/>
      </c>
      <c r="E108" s="295" t="n"/>
      <c r="F108" s="296">
        <f>IF(E108="","",ROUNDDOWN(H108,0))</f>
        <v/>
      </c>
      <c r="G108" s="296">
        <f>IF(E108="","",E108-I108)</f>
        <v/>
      </c>
      <c r="H108" s="296">
        <f>IF(E108="","",E108/SUMIF(재고차이!A:A,주간상차!A:A,재고차이!E:E))</f>
        <v/>
      </c>
      <c r="I108" s="296">
        <f>IF(E108="","",F108*D108)</f>
        <v/>
      </c>
      <c r="J108" s="5" t="n"/>
      <c r="K108" s="5" t="n"/>
      <c r="L108" s="5" t="n"/>
    </row>
    <row r="109">
      <c r="A109" s="10" t="n">
        <v>7984</v>
      </c>
      <c r="B109" s="21">
        <f>VLOOKUP(A109,재고차이!A:B,2,0)</f>
        <v/>
      </c>
      <c r="C109" s="21">
        <f>VLOOKUP(A109,재고차이!A:C,3,0)</f>
        <v/>
      </c>
      <c r="D109" s="21">
        <f>SUMIF(재고차이!B:B,주간상차!B:B,재고차이!E:E)</f>
        <v/>
      </c>
      <c r="E109" s="295" t="n"/>
      <c r="F109" s="296">
        <f>IF(E109="","",ROUNDDOWN(H109,0))</f>
        <v/>
      </c>
      <c r="G109" s="296">
        <f>IF(E109="","",E109-I109)</f>
        <v/>
      </c>
      <c r="H109" s="296">
        <f>IF(E109="","",E109/SUMIF(재고차이!A:A,주간상차!A:A,재고차이!E:E))</f>
        <v/>
      </c>
      <c r="I109" s="296">
        <f>IF(E109="","",F109*D109)</f>
        <v/>
      </c>
      <c r="J109" s="5" t="n"/>
      <c r="K109" s="5" t="n"/>
      <c r="L109" s="5" t="n"/>
    </row>
    <row r="110">
      <c r="A110" s="10" t="n">
        <v>7988</v>
      </c>
      <c r="B110" s="21">
        <f>VLOOKUP(A110,재고차이!A:B,2,0)</f>
        <v/>
      </c>
      <c r="C110" s="21">
        <f>VLOOKUP(A110,재고차이!A:C,3,0)</f>
        <v/>
      </c>
      <c r="D110" s="21">
        <f>SUMIF(재고차이!B:B,주간상차!B:B,재고차이!E:E)</f>
        <v/>
      </c>
      <c r="E110" s="295" t="n"/>
      <c r="F110" s="296">
        <f>IF(E110="","",ROUNDDOWN(H110,0))</f>
        <v/>
      </c>
      <c r="G110" s="296">
        <f>IF(E110="","",E110-I110)</f>
        <v/>
      </c>
      <c r="H110" s="296">
        <f>IF(E110="","",E110/SUMIF(재고차이!A:A,주간상차!A:A,재고차이!E:E))</f>
        <v/>
      </c>
      <c r="I110" s="296">
        <f>IF(E110="","",F110*D110)</f>
        <v/>
      </c>
      <c r="J110" s="5" t="n"/>
      <c r="K110" s="5" t="n"/>
      <c r="L110" s="5" t="n"/>
    </row>
    <row r="111">
      <c r="A111" s="24" t="n">
        <v>7994</v>
      </c>
      <c r="B111" s="21">
        <f>VLOOKUP(A111,재고차이!A:B,2,0)</f>
        <v/>
      </c>
      <c r="C111" s="21">
        <f>VLOOKUP(A111,재고차이!A:C,3,0)</f>
        <v/>
      </c>
      <c r="D111" s="21">
        <f>SUMIF(재고차이!B:B,주간상차!B:B,재고차이!E:E)</f>
        <v/>
      </c>
      <c r="E111" s="295" t="n"/>
      <c r="F111" s="296">
        <f>IF(E111="","",ROUNDDOWN(H111,0))</f>
        <v/>
      </c>
      <c r="G111" s="296">
        <f>IF(E111="","",E111-I111)</f>
        <v/>
      </c>
      <c r="H111" s="296">
        <f>IF(E111="","",E111/SUMIF(재고차이!A:A,주간상차!A:A,재고차이!E:E))</f>
        <v/>
      </c>
      <c r="I111" s="296">
        <f>IF(E111="","",F111*D111)</f>
        <v/>
      </c>
      <c r="J111" s="5" t="n"/>
      <c r="K111" s="5" t="n"/>
      <c r="L111" s="5" t="n"/>
      <c r="P111" s="298" t="n"/>
    </row>
    <row r="112">
      <c r="A112" s="24" t="n">
        <v>8051</v>
      </c>
      <c r="B112" s="21">
        <f>VLOOKUP(A112,재고차이!A:B,2,0)</f>
        <v/>
      </c>
      <c r="C112" s="21">
        <f>VLOOKUP(A112,재고차이!A:C,3,0)</f>
        <v/>
      </c>
      <c r="D112" s="21">
        <f>SUMIF(재고차이!B:B,주간상차!B:B,재고차이!E:E)</f>
        <v/>
      </c>
      <c r="E112" s="295" t="n"/>
      <c r="F112" s="296">
        <f>IF(E112="","",ROUNDDOWN(H112,0))</f>
        <v/>
      </c>
      <c r="G112" s="296">
        <f>IF(E112="","",E112-I112)</f>
        <v/>
      </c>
      <c r="H112" s="296">
        <f>IF(E112="","",E112/SUMIF(재고차이!A:A,주간상차!A:A,재고차이!E:E))</f>
        <v/>
      </c>
      <c r="I112" s="296">
        <f>IF(E112="","",F112*D112)</f>
        <v/>
      </c>
      <c r="J112" s="5" t="n"/>
      <c r="K112" s="5" t="n"/>
      <c r="L112" s="5" t="n"/>
    </row>
    <row r="113">
      <c r="A113" s="24" t="n">
        <v>8052</v>
      </c>
      <c r="B113" s="21">
        <f>VLOOKUP(A113,재고차이!A:B,2,0)</f>
        <v/>
      </c>
      <c r="C113" s="21">
        <f>VLOOKUP(A113,재고차이!A:C,3,0)</f>
        <v/>
      </c>
      <c r="D113" s="21">
        <f>SUMIF(재고차이!B:B,주간상차!B:B,재고차이!E:E)</f>
        <v/>
      </c>
      <c r="E113" s="295" t="n"/>
      <c r="F113" s="296">
        <f>IF(E113="","",ROUNDDOWN(H113,0))</f>
        <v/>
      </c>
      <c r="G113" s="296">
        <f>IF(E113="","",E113-I113)</f>
        <v/>
      </c>
      <c r="H113" s="296">
        <f>IF(E113="","",E113/SUMIF(재고차이!A:A,주간상차!A:A,재고차이!E:E))</f>
        <v/>
      </c>
      <c r="I113" s="296">
        <f>IF(E113="","",F113*D113)</f>
        <v/>
      </c>
      <c r="J113" s="5" t="n"/>
      <c r="K113" s="5" t="n"/>
      <c r="L113" s="5" t="n"/>
    </row>
    <row r="114">
      <c r="A114" s="24" t="n">
        <v>8058</v>
      </c>
      <c r="B114" s="21">
        <f>VLOOKUP(A114,재고차이!A:B,2,0)</f>
        <v/>
      </c>
      <c r="C114" s="21">
        <f>VLOOKUP(A114,재고차이!A:C,3,0)</f>
        <v/>
      </c>
      <c r="D114" s="21">
        <f>SUMIF(재고차이!B:B,주간상차!B:B,재고차이!E:E)</f>
        <v/>
      </c>
      <c r="E114" s="295" t="n"/>
      <c r="F114" s="296">
        <f>IF(E114="","",ROUNDDOWN(H114,0))</f>
        <v/>
      </c>
      <c r="G114" s="296">
        <f>IF(E114="","",E114-I114)</f>
        <v/>
      </c>
      <c r="H114" s="296">
        <f>IF(E114="","",E114/SUMIF(재고차이!A:A,주간상차!A:A,재고차이!E:E))</f>
        <v/>
      </c>
      <c r="I114" s="296">
        <f>IF(E114="","",F114*D114)</f>
        <v/>
      </c>
      <c r="J114" s="5" t="n"/>
      <c r="K114" s="5" t="n"/>
      <c r="L114" s="5" t="n"/>
    </row>
    <row r="115">
      <c r="A115" s="24" t="n">
        <v>8065</v>
      </c>
      <c r="B115" s="21">
        <f>VLOOKUP(A115,재고차이!A:B,2,0)</f>
        <v/>
      </c>
      <c r="C115" s="21">
        <f>VLOOKUP(A115,재고차이!A:C,3,0)</f>
        <v/>
      </c>
      <c r="D115" s="21">
        <f>SUMIF(재고차이!B:B,주간상차!B:B,재고차이!E:E)</f>
        <v/>
      </c>
      <c r="E115" s="295" t="n"/>
      <c r="F115" s="296">
        <f>IF(E115="","",ROUNDDOWN(H115,0))</f>
        <v/>
      </c>
      <c r="G115" s="296">
        <f>IF(E115="","",E115-I115)</f>
        <v/>
      </c>
      <c r="H115" s="296">
        <f>IF(E115="","",E115/SUMIF(재고차이!A:A,주간상차!A:A,재고차이!E:E))</f>
        <v/>
      </c>
      <c r="I115" s="296">
        <f>IF(E115="","",F115*D115)</f>
        <v/>
      </c>
      <c r="J115" s="5" t="n"/>
      <c r="K115" s="5" t="n"/>
      <c r="L115" s="5" t="n"/>
    </row>
    <row r="116">
      <c r="A116" s="24" t="n">
        <v>8066</v>
      </c>
      <c r="B116" s="21">
        <f>VLOOKUP(A116,재고차이!A:B,2,0)</f>
        <v/>
      </c>
      <c r="C116" s="21">
        <f>VLOOKUP(A116,재고차이!A:C,3,0)</f>
        <v/>
      </c>
      <c r="D116" s="21">
        <f>SUMIF(재고차이!B:B,주간상차!B:B,재고차이!E:E)</f>
        <v/>
      </c>
      <c r="E116" s="295" t="n"/>
      <c r="F116" s="296">
        <f>IF(E116="","",ROUNDDOWN(H116,0))</f>
        <v/>
      </c>
      <c r="G116" s="296">
        <f>IF(E116="","",E116-I116)</f>
        <v/>
      </c>
      <c r="H116" s="296">
        <f>IF(E116="","",E116/SUMIF(재고차이!A:A,주간상차!A:A,재고차이!E:E))</f>
        <v/>
      </c>
      <c r="I116" s="296">
        <f>IF(E116="","",F116*D116)</f>
        <v/>
      </c>
      <c r="J116" s="5" t="n"/>
      <c r="K116" s="5" t="n"/>
      <c r="L116" s="5" t="n"/>
      <c r="M116" s="5" t="inlineStr">
        <is>
          <t>월착풀</t>
        </is>
      </c>
    </row>
    <row r="117">
      <c r="A117" s="10" t="n">
        <v>8072</v>
      </c>
      <c r="B117" s="21">
        <f>VLOOKUP(A117,재고차이!A:B,2,0)</f>
        <v/>
      </c>
      <c r="C117" s="21">
        <f>VLOOKUP(A117,재고차이!A:C,3,0)</f>
        <v/>
      </c>
      <c r="D117" s="21">
        <f>SUMIF(재고차이!B:B,주간상차!B:B,재고차이!E:E)</f>
        <v/>
      </c>
      <c r="E117" s="295" t="n"/>
      <c r="F117" s="296">
        <f>IF(E117="","",ROUNDDOWN(H117,0))</f>
        <v/>
      </c>
      <c r="G117" s="296">
        <f>IF(E117="","",E117-I117)</f>
        <v/>
      </c>
      <c r="H117" s="296">
        <f>IF(E117="","",E117/SUMIF(재고차이!A:A,주간상차!A:A,재고차이!E:E))</f>
        <v/>
      </c>
      <c r="I117" s="296">
        <f>IF(E117="","",F117*D117)</f>
        <v/>
      </c>
      <c r="J117" s="5" t="n"/>
      <c r="K117" s="5" t="n"/>
      <c r="L117" s="299" t="n"/>
      <c r="N117" s="298">
        <f>F161</f>
        <v/>
      </c>
      <c r="O117" s="5" t="inlineStr">
        <is>
          <t>토 주간풀</t>
        </is>
      </c>
      <c r="P117" s="298">
        <f>N118</f>
        <v/>
      </c>
    </row>
    <row r="118">
      <c r="A118" s="10" t="n">
        <v>8074</v>
      </c>
      <c r="B118" s="21">
        <f>VLOOKUP(A118,재고차이!A:B,2,0)</f>
        <v/>
      </c>
      <c r="C118" s="21">
        <f>VLOOKUP(A118,재고차이!A:C,3,0)</f>
        <v/>
      </c>
      <c r="D118" s="21">
        <f>SUMIF(재고차이!B:B,주간상차!B:B,재고차이!E:E)</f>
        <v/>
      </c>
      <c r="E118" s="295" t="n"/>
      <c r="F118" s="296">
        <f>IF(E118="","",ROUNDDOWN(H118,0))</f>
        <v/>
      </c>
      <c r="G118" s="296">
        <f>IF(E118="","",E118-I118)</f>
        <v/>
      </c>
      <c r="H118" s="296">
        <f>IF(E118="","",E118/SUMIF(재고차이!A:A,주간상차!A:A,재고차이!E:E))</f>
        <v/>
      </c>
      <c r="I118" s="296">
        <f>IF(E118="","",F118*D118)</f>
        <v/>
      </c>
      <c r="J118" s="5" t="n"/>
      <c r="K118" s="5" t="n"/>
      <c r="L118" s="5" t="n"/>
      <c r="M118" s="5" t="inlineStr">
        <is>
          <t>Y3</t>
        </is>
      </c>
      <c r="N118" s="300">
        <f>N117-M117</f>
        <v/>
      </c>
      <c r="O118" s="187" t="n"/>
    </row>
    <row r="119">
      <c r="A119" s="10" t="n">
        <v>8082</v>
      </c>
      <c r="B119" s="21">
        <f>VLOOKUP(A119,재고차이!A:B,2,0)</f>
        <v/>
      </c>
      <c r="C119" s="21">
        <f>VLOOKUP(A119,재고차이!A:C,3,0)</f>
        <v/>
      </c>
      <c r="D119" s="21">
        <f>SUMIF(재고차이!B:B,주간상차!B:B,재고차이!E:E)</f>
        <v/>
      </c>
      <c r="E119" s="295" t="n"/>
      <c r="F119" s="296">
        <f>IF(E119="","",ROUNDDOWN(H119,0))</f>
        <v/>
      </c>
      <c r="G119" s="296">
        <f>IF(E119="","",E119-I119)</f>
        <v/>
      </c>
      <c r="H119" s="296">
        <f>IF(E119="","",E119/SUMIF(재고차이!A:A,주간상차!A:A,재고차이!E:E))</f>
        <v/>
      </c>
      <c r="I119" s="296">
        <f>IF(E119="","",F119*D119)</f>
        <v/>
      </c>
      <c r="J119" s="5" t="n"/>
      <c r="K119" s="5" t="n"/>
      <c r="L119" s="5" t="n"/>
      <c r="M119" s="5" t="inlineStr">
        <is>
          <t>Y2</t>
        </is>
      </c>
      <c r="N119" s="280" t="n"/>
    </row>
    <row r="120">
      <c r="A120" s="10" t="n">
        <v>8086</v>
      </c>
      <c r="B120" s="21">
        <f>VLOOKUP(A120,재고차이!A:B,2,0)</f>
        <v/>
      </c>
      <c r="C120" s="21">
        <f>VLOOKUP(A120,재고차이!A:C,3,0)</f>
        <v/>
      </c>
      <c r="D120" s="21">
        <f>SUMIF(재고차이!B:B,주간상차!B:B,재고차이!E:E)</f>
        <v/>
      </c>
      <c r="E120" s="295" t="n"/>
      <c r="F120" s="296">
        <f>IF(E120="","",ROUNDDOWN(H120,0))</f>
        <v/>
      </c>
      <c r="G120" s="296">
        <f>IF(E120="","",E120-I120)</f>
        <v/>
      </c>
      <c r="H120" s="296">
        <f>IF(E120="","",E120/SUMIF(재고차이!A:A,주간상차!A:A,재고차이!E:E))</f>
        <v/>
      </c>
      <c r="I120" s="296">
        <f>IF(E120="","",F120*D120)</f>
        <v/>
      </c>
      <c r="J120" s="5" t="n"/>
      <c r="K120" s="5" t="n"/>
      <c r="L120" s="5" t="n"/>
      <c r="N120" s="301" t="n"/>
    </row>
    <row r="121">
      <c r="A121" s="24" t="n">
        <v>8090</v>
      </c>
      <c r="B121" s="21">
        <f>VLOOKUP(A121,재고차이!A:B,2,0)</f>
        <v/>
      </c>
      <c r="C121" s="21">
        <f>VLOOKUP(A121,재고차이!A:C,3,0)</f>
        <v/>
      </c>
      <c r="D121" s="21">
        <f>SUMIF(재고차이!B:B,주간상차!B:B,재고차이!E:E)</f>
        <v/>
      </c>
      <c r="E121" s="295" t="n"/>
      <c r="F121" s="296">
        <f>IF(E121="","",ROUNDDOWN(H121,0))</f>
        <v/>
      </c>
      <c r="G121" s="296">
        <f>IF(E121="","",E121-I121)</f>
        <v/>
      </c>
      <c r="H121" s="296">
        <f>IF(E121="","",E121/SUMIF(재고차이!A:A,주간상차!A:A,재고차이!E:E))</f>
        <v/>
      </c>
      <c r="I121" s="296">
        <f>IF(E121="","",F121*D121)</f>
        <v/>
      </c>
      <c r="J121" s="5" t="n"/>
      <c r="K121" s="5" t="n"/>
      <c r="L121" s="5" t="n"/>
      <c r="N121" s="301" t="n"/>
    </row>
    <row r="122">
      <c r="A122" s="24" t="n">
        <v>8091</v>
      </c>
      <c r="B122" s="21">
        <f>VLOOKUP(A122,재고차이!A:B,2,0)</f>
        <v/>
      </c>
      <c r="C122" s="21">
        <f>VLOOKUP(A122,재고차이!A:C,3,0)</f>
        <v/>
      </c>
      <c r="D122" s="21">
        <f>SUMIF(재고차이!B:B,주간상차!B:B,재고차이!E:E)</f>
        <v/>
      </c>
      <c r="E122" s="295" t="n"/>
      <c r="F122" s="296">
        <f>IF(E122="","",ROUNDDOWN(H122,0))</f>
        <v/>
      </c>
      <c r="G122" s="296">
        <f>IF(E122="","",E122-I122)</f>
        <v/>
      </c>
      <c r="H122" s="296">
        <f>IF(E122="","",E122/SUMIF(재고차이!A:A,주간상차!A:A,재고차이!E:E))</f>
        <v/>
      </c>
      <c r="I122" s="296">
        <f>IF(E122="","",F122*D122)</f>
        <v/>
      </c>
      <c r="J122" s="5" t="n"/>
      <c r="K122" s="5" t="n"/>
      <c r="L122" s="5" t="n"/>
    </row>
    <row r="123">
      <c r="A123" s="24" t="n">
        <v>8115</v>
      </c>
      <c r="B123" s="21">
        <f>VLOOKUP(A123,재고차이!A:B,2,0)</f>
        <v/>
      </c>
      <c r="C123" s="21">
        <f>VLOOKUP(A123,재고차이!A:C,3,0)</f>
        <v/>
      </c>
      <c r="D123" s="21">
        <f>SUMIF(재고차이!B:B,주간상차!B:B,재고차이!E:E)</f>
        <v/>
      </c>
      <c r="E123" s="295" t="n"/>
      <c r="F123" s="296">
        <f>IF(E123="","",ROUNDDOWN(H123,0))</f>
        <v/>
      </c>
      <c r="G123" s="296">
        <f>IF(E123="","",E123-I123)</f>
        <v/>
      </c>
      <c r="H123" s="296">
        <f>IF(E123="","",E123/SUMIF(재고차이!A:A,주간상차!A:A,재고차이!E:E))</f>
        <v/>
      </c>
      <c r="I123" s="296">
        <f>IF(E123="","",F123*D123)</f>
        <v/>
      </c>
      <c r="J123" s="5" t="n"/>
      <c r="K123" s="5" t="n"/>
      <c r="L123" s="5" t="n"/>
    </row>
    <row r="124">
      <c r="A124" s="24" t="n">
        <v>8167</v>
      </c>
      <c r="B124" s="21">
        <f>VLOOKUP(A124,재고차이!A:B,2,0)</f>
        <v/>
      </c>
      <c r="C124" s="21">
        <f>VLOOKUP(A124,재고차이!A:C,3,0)</f>
        <v/>
      </c>
      <c r="D124" s="21">
        <f>SUMIF(재고차이!B:B,주간상차!B:B,재고차이!E:E)</f>
        <v/>
      </c>
      <c r="E124" s="295" t="n"/>
      <c r="F124" s="296">
        <f>IF(E124="","",ROUNDDOWN(H124,0))</f>
        <v/>
      </c>
      <c r="G124" s="296">
        <f>IF(E124="","",E124-I124)</f>
        <v/>
      </c>
      <c r="H124" s="296">
        <f>IF(E124="","",E124/SUMIF(재고차이!A:A,주간상차!A:A,재고차이!E:E))</f>
        <v/>
      </c>
      <c r="I124" s="296">
        <f>IF(E124="","",F124*D124)</f>
        <v/>
      </c>
      <c r="J124" s="5" t="n"/>
      <c r="K124" s="5" t="n"/>
      <c r="L124" s="5" t="n"/>
    </row>
    <row r="125">
      <c r="A125" s="24" t="n">
        <v>8188</v>
      </c>
      <c r="B125" s="21">
        <f>VLOOKUP(A125,재고차이!A:B,2,0)</f>
        <v/>
      </c>
      <c r="C125" s="21">
        <f>VLOOKUP(A125,재고차이!A:C,3,0)</f>
        <v/>
      </c>
      <c r="D125" s="21">
        <f>SUMIF(재고차이!B:B,주간상차!B:B,재고차이!E:E)</f>
        <v/>
      </c>
      <c r="E125" s="295" t="n"/>
      <c r="F125" s="296">
        <f>IF(E125="","",ROUNDDOWN(H125,0))</f>
        <v/>
      </c>
      <c r="G125" s="296">
        <f>IF(E125="","",E125-I125)</f>
        <v/>
      </c>
      <c r="H125" s="296">
        <f>IF(E125="","",E125/SUMIF(재고차이!A:A,주간상차!A:A,재고차이!E:E))</f>
        <v/>
      </c>
      <c r="I125" s="296">
        <f>IF(E125="","",F125*D125)</f>
        <v/>
      </c>
      <c r="J125" s="5" t="n"/>
      <c r="K125" s="5" t="n"/>
      <c r="L125" s="5" t="n"/>
    </row>
    <row r="126">
      <c r="A126" s="24" t="n">
        <v>8202</v>
      </c>
      <c r="B126" s="21">
        <f>VLOOKUP(A126,재고차이!A:B,2,0)</f>
        <v/>
      </c>
      <c r="C126" s="21">
        <f>VLOOKUP(A126,재고차이!A:C,3,0)</f>
        <v/>
      </c>
      <c r="D126" s="21">
        <f>SUMIF(재고차이!B:B,주간상차!B:B,재고차이!E:E)</f>
        <v/>
      </c>
      <c r="E126" s="295" t="n"/>
      <c r="F126" s="296">
        <f>IF(E126="","",ROUNDDOWN(H126,0))</f>
        <v/>
      </c>
      <c r="G126" s="296">
        <f>IF(E126="","",E126-I126)</f>
        <v/>
      </c>
      <c r="H126" s="296">
        <f>IF(E126="","",E126/SUMIF(재고차이!A:A,주간상차!A:A,재고차이!E:E))</f>
        <v/>
      </c>
      <c r="I126" s="296">
        <f>IF(E126="","",F126*D126)</f>
        <v/>
      </c>
      <c r="J126" s="5" t="n"/>
      <c r="K126" s="5" t="n"/>
      <c r="L126" s="5" t="n"/>
    </row>
    <row r="127">
      <c r="A127" s="24" t="n">
        <v>8204</v>
      </c>
      <c r="B127" s="21">
        <f>VLOOKUP(A127,재고차이!A:B,2,0)</f>
        <v/>
      </c>
      <c r="C127" s="21">
        <f>VLOOKUP(A127,재고차이!A:C,3,0)</f>
        <v/>
      </c>
      <c r="D127" s="21">
        <f>SUMIF(재고차이!B:B,주간상차!B:B,재고차이!E:E)</f>
        <v/>
      </c>
      <c r="E127" s="295" t="n"/>
      <c r="F127" s="296">
        <f>IF(E127="","",ROUNDDOWN(H127,0))</f>
        <v/>
      </c>
      <c r="G127" s="296">
        <f>IF(E127="","",E127-I127)</f>
        <v/>
      </c>
      <c r="H127" s="296">
        <f>IF(E127="","",E127/SUMIF(재고차이!A:A,주간상차!A:A,재고차이!E:E))</f>
        <v/>
      </c>
      <c r="I127" s="296">
        <f>IF(E127="","",F127*D127)</f>
        <v/>
      </c>
      <c r="J127" s="5" t="n"/>
      <c r="K127" s="5" t="n"/>
      <c r="L127" s="5" t="n"/>
    </row>
    <row r="128">
      <c r="A128" s="24" t="n">
        <v>8222</v>
      </c>
      <c r="B128" s="21">
        <f>VLOOKUP(A128,재고차이!A:B,2,0)</f>
        <v/>
      </c>
      <c r="C128" s="21">
        <f>VLOOKUP(A128,재고차이!A:C,3,0)</f>
        <v/>
      </c>
      <c r="D128" s="21">
        <f>SUMIF(재고차이!B:B,주간상차!B:B,재고차이!E:E)</f>
        <v/>
      </c>
      <c r="E128" s="295" t="n"/>
      <c r="F128" s="296">
        <f>IF(E128="","",ROUNDDOWN(H128,0))</f>
        <v/>
      </c>
      <c r="G128" s="296">
        <f>IF(E128="","",E128-I128)</f>
        <v/>
      </c>
      <c r="H128" s="296">
        <f>IF(E128="","",E128/SUMIF(재고차이!A:A,주간상차!A:A,재고차이!E:E))</f>
        <v/>
      </c>
      <c r="I128" s="296">
        <f>IF(E128="","",F128*D128)</f>
        <v/>
      </c>
      <c r="J128" s="5" t="n"/>
      <c r="K128" s="5" t="n"/>
      <c r="L128" s="5" t="n"/>
    </row>
    <row r="129">
      <c r="A129" s="24" t="n">
        <v>8223</v>
      </c>
      <c r="B129" s="21">
        <f>VLOOKUP(A129,재고차이!A:B,2,0)</f>
        <v/>
      </c>
      <c r="C129" s="21">
        <f>VLOOKUP(A129,재고차이!A:C,3,0)</f>
        <v/>
      </c>
      <c r="D129" s="21">
        <f>SUMIF(재고차이!B:B,주간상차!B:B,재고차이!E:E)</f>
        <v/>
      </c>
      <c r="E129" s="295" t="n"/>
      <c r="F129" s="296">
        <f>IF(E129="","",ROUNDDOWN(H129,0))</f>
        <v/>
      </c>
      <c r="G129" s="296">
        <f>IF(E129="","",E129-I129)</f>
        <v/>
      </c>
      <c r="H129" s="296">
        <f>IF(E129="","",E129/SUMIF(재고차이!A:A,주간상차!A:A,재고차이!E:E))</f>
        <v/>
      </c>
      <c r="I129" s="296">
        <f>IF(E129="","",F129*D129)</f>
        <v/>
      </c>
      <c r="J129" s="5" t="n"/>
      <c r="K129" s="5" t="n"/>
      <c r="L129" s="5" t="n"/>
    </row>
    <row r="130">
      <c r="A130" s="24" t="n">
        <v>8224</v>
      </c>
      <c r="B130" s="21">
        <f>VLOOKUP(A130,재고차이!A:B,2,0)</f>
        <v/>
      </c>
      <c r="C130" s="21">
        <f>VLOOKUP(A130,재고차이!A:C,3,0)</f>
        <v/>
      </c>
      <c r="D130" s="21">
        <f>SUMIF(재고차이!B:B,주간상차!B:B,재고차이!E:E)</f>
        <v/>
      </c>
      <c r="E130" s="295" t="n"/>
      <c r="F130" s="296">
        <f>IF(E130="","",ROUNDDOWN(H130,0))</f>
        <v/>
      </c>
      <c r="G130" s="296">
        <f>IF(E130="","",E130-I130)</f>
        <v/>
      </c>
      <c r="H130" s="296">
        <f>IF(E130="","",E130/SUMIF(재고차이!A:A,주간상차!A:A,재고차이!E:E))</f>
        <v/>
      </c>
      <c r="I130" s="296">
        <f>IF(E130="","",F130*D130)</f>
        <v/>
      </c>
      <c r="J130" s="5" t="n"/>
      <c r="K130" s="5" t="n"/>
      <c r="L130" s="5" t="n"/>
    </row>
    <row r="131">
      <c r="A131" s="10" t="n">
        <v>8259</v>
      </c>
      <c r="B131" s="21" t="inlineStr">
        <is>
          <t>GG8259</t>
        </is>
      </c>
      <c r="C131" s="21" t="inlineStr">
        <is>
          <t>조지아 오리지널 200CAN 5X6</t>
        </is>
      </c>
      <c r="D131" s="21">
        <f>SUMIF(재고차이!B:B,주간상차!B:B,재고차이!E:E)</f>
        <v/>
      </c>
      <c r="E131" s="295" t="n"/>
      <c r="F131" s="296">
        <f>IF(E131="","",ROUNDDOWN(H131,0))</f>
        <v/>
      </c>
      <c r="G131" s="296">
        <f>IF(E131="","",E131-I131)</f>
        <v/>
      </c>
      <c r="H131" s="296">
        <f>IF(E131="","",E131/SUMIF(재고차이!A:A,주간상차!A:A,재고차이!E:E))</f>
        <v/>
      </c>
      <c r="I131" s="296">
        <f>IF(E131="","",F131*D131)</f>
        <v/>
      </c>
      <c r="J131" s="5" t="n"/>
      <c r="K131" s="5" t="n"/>
      <c r="L131" s="5" t="n"/>
    </row>
    <row r="132">
      <c r="A132" s="24" t="n">
        <v>8265</v>
      </c>
      <c r="B132" s="21">
        <f>VLOOKUP(A132,재고차이!A:B,2,0)</f>
        <v/>
      </c>
      <c r="C132" s="21">
        <f>VLOOKUP(A132,재고차이!A:C,3,0)</f>
        <v/>
      </c>
      <c r="D132" s="21">
        <f>SUMIF(재고차이!B:B,주간상차!B:B,재고차이!E:E)</f>
        <v/>
      </c>
      <c r="E132" s="295" t="n"/>
      <c r="F132" s="296">
        <f>IF(E132="","",ROUNDDOWN(H132,0))</f>
        <v/>
      </c>
      <c r="G132" s="296">
        <f>IF(E132="","",E132-I132)</f>
        <v/>
      </c>
      <c r="H132" s="296">
        <f>IF(E132="","",E132/SUMIF(재고차이!A:A,주간상차!A:A,재고차이!E:E))</f>
        <v/>
      </c>
      <c r="I132" s="296">
        <f>IF(E132="","",F132*D132)</f>
        <v/>
      </c>
      <c r="J132" s="5" t="n"/>
      <c r="K132" s="5" t="n"/>
      <c r="L132" s="5" t="n"/>
    </row>
    <row r="133">
      <c r="A133" s="24" t="n">
        <v>8266</v>
      </c>
      <c r="B133" s="21">
        <f>VLOOKUP(A133,재고차이!A:B,2,0)</f>
        <v/>
      </c>
      <c r="C133" s="21">
        <f>VLOOKUP(A133,재고차이!A:C,3,0)</f>
        <v/>
      </c>
      <c r="D133" s="21">
        <f>SUMIF(재고차이!B:B,주간상차!B:B,재고차이!E:E)</f>
        <v/>
      </c>
      <c r="E133" s="295" t="n"/>
      <c r="F133" s="296">
        <f>IF(E133="","",ROUNDDOWN(H133,0))</f>
        <v/>
      </c>
      <c r="G133" s="296">
        <f>IF(E133="","",E133-I133)</f>
        <v/>
      </c>
      <c r="H133" s="296">
        <f>IF(E133="","",E133/SUMIF(재고차이!A:A,주간상차!A:A,재고차이!E:E))</f>
        <v/>
      </c>
      <c r="I133" s="296">
        <f>IF(E133="","",F133*D133)</f>
        <v/>
      </c>
      <c r="J133" s="5" t="n"/>
      <c r="K133" s="5" t="n"/>
      <c r="L133" s="5" t="n"/>
    </row>
    <row r="134">
      <c r="A134" s="24" t="n">
        <v>8268</v>
      </c>
      <c r="B134" s="21">
        <f>VLOOKUP(A134,재고차이!A:B,2,0)</f>
        <v/>
      </c>
      <c r="C134" s="21">
        <f>VLOOKUP(A134,재고차이!A:C,3,0)</f>
        <v/>
      </c>
      <c r="D134" s="21">
        <f>SUMIF(재고차이!B:B,주간상차!B:B,재고차이!E:E)</f>
        <v/>
      </c>
      <c r="E134" s="295" t="n"/>
      <c r="F134" s="296">
        <f>IF(E134="","",ROUNDDOWN(H134,0))</f>
        <v/>
      </c>
      <c r="G134" s="296">
        <f>IF(E134="","",E134-I134)</f>
        <v/>
      </c>
      <c r="H134" s="296">
        <f>IF(E134="","",E134/SUMIF(재고차이!A:A,주간상차!A:A,재고차이!E:E))</f>
        <v/>
      </c>
      <c r="I134" s="296">
        <f>IF(E134="","",F134*D134)</f>
        <v/>
      </c>
      <c r="J134" s="5" t="n"/>
      <c r="K134" s="5" t="n"/>
      <c r="L134" s="5" t="n"/>
    </row>
    <row r="135">
      <c r="A135" s="24" t="n">
        <v>8269</v>
      </c>
      <c r="B135" s="21">
        <f>VLOOKUP(A135,재고차이!A:B,2,0)</f>
        <v/>
      </c>
      <c r="C135" s="21">
        <f>VLOOKUP(A135,재고차이!A:C,3,0)</f>
        <v/>
      </c>
      <c r="D135" s="21">
        <f>SUMIF(재고차이!B:B,주간상차!B:B,재고차이!E:E)</f>
        <v/>
      </c>
      <c r="E135" s="295" t="n"/>
      <c r="F135" s="296">
        <f>IF(E135="","",ROUNDDOWN(H135,0))</f>
        <v/>
      </c>
      <c r="G135" s="296">
        <f>IF(E135="","",E135-I135)</f>
        <v/>
      </c>
      <c r="H135" s="296">
        <f>IF(E135="","",E135/SUMIF(재고차이!A:A,주간상차!A:A,재고차이!E:E))</f>
        <v/>
      </c>
      <c r="I135" s="296">
        <f>IF(E135="","",F135*D135)</f>
        <v/>
      </c>
      <c r="J135" s="5" t="n"/>
      <c r="K135" s="5" t="n"/>
      <c r="L135" s="5" t="n"/>
    </row>
    <row r="136">
      <c r="A136" s="10" t="n">
        <v>8273</v>
      </c>
      <c r="B136" s="21">
        <f>VLOOKUP(A136,재고차이!A:B,2,0)</f>
        <v/>
      </c>
      <c r="C136" s="21">
        <f>VLOOKUP(A136,재고차이!A:C,3,0)</f>
        <v/>
      </c>
      <c r="D136" s="21">
        <f>SUMIF(재고차이!B:B,주간상차!B:B,재고차이!E:E)</f>
        <v/>
      </c>
      <c r="E136" s="295" t="n"/>
      <c r="F136" s="296">
        <f>IF(E136="","",ROUNDDOWN(H136,0))</f>
        <v/>
      </c>
      <c r="G136" s="296">
        <f>IF(E136="","",E136-I136)</f>
        <v/>
      </c>
      <c r="H136" s="296">
        <f>IF(E136="","",E136/SUMIF(재고차이!A:A,주간상차!A:A,재고차이!E:E))</f>
        <v/>
      </c>
      <c r="I136" s="296">
        <f>IF(E136="","",F136*D136)</f>
        <v/>
      </c>
      <c r="J136" s="5" t="n"/>
      <c r="K136" s="5" t="n"/>
      <c r="L136" s="5" t="n"/>
    </row>
    <row r="137">
      <c r="A137" s="24" t="n">
        <v>8278</v>
      </c>
      <c r="B137" s="21">
        <f>VLOOKUP(A137,재고차이!A:B,2,0)</f>
        <v/>
      </c>
      <c r="C137" s="21">
        <f>VLOOKUP(A137,재고차이!A:C,3,0)</f>
        <v/>
      </c>
      <c r="D137" s="21">
        <f>SUMIF(재고차이!B:B,주간상차!B:B,재고차이!E:E)</f>
        <v/>
      </c>
      <c r="E137" s="295" t="n"/>
      <c r="F137" s="296">
        <f>IF(E137="","",ROUNDDOWN(H137,0))</f>
        <v/>
      </c>
      <c r="G137" s="296">
        <f>IF(E137="","",E137-I137)</f>
        <v/>
      </c>
      <c r="H137" s="296">
        <f>IF(E137="","",E137/SUMIF(재고차이!A:A,주간상차!A:A,재고차이!E:E))</f>
        <v/>
      </c>
      <c r="I137" s="296">
        <f>IF(E137="","",F137*D137)</f>
        <v/>
      </c>
      <c r="J137" s="5" t="n"/>
      <c r="K137" s="5" t="n"/>
      <c r="L137" s="5" t="n"/>
    </row>
    <row r="138">
      <c r="A138" s="10" t="n">
        <v>8279</v>
      </c>
      <c r="B138" s="21">
        <f>VLOOKUP(A138,재고차이!A:B,2,0)</f>
        <v/>
      </c>
      <c r="C138" s="21">
        <f>VLOOKUP(A138,재고차이!A:C,3,0)</f>
        <v/>
      </c>
      <c r="D138" s="21">
        <f>SUMIF(재고차이!B:B,주간상차!B:B,재고차이!E:E)</f>
        <v/>
      </c>
      <c r="E138" s="295" t="n"/>
      <c r="F138" s="296">
        <f>IF(E138="","",ROUNDDOWN(H138,0))</f>
        <v/>
      </c>
      <c r="G138" s="296">
        <f>IF(E138="","",E138-I138)</f>
        <v/>
      </c>
      <c r="H138" s="296">
        <f>IF(E138="","",E138/SUMIF(재고차이!A:A,주간상차!A:A,재고차이!E:E))</f>
        <v/>
      </c>
      <c r="I138" s="296">
        <f>IF(E138="","",F138*D138)</f>
        <v/>
      </c>
      <c r="J138" s="5" t="n"/>
      <c r="K138" s="5" t="n"/>
      <c r="L138" s="5" t="n"/>
    </row>
    <row r="139">
      <c r="A139" s="24" t="n">
        <v>8285</v>
      </c>
      <c r="B139" s="21">
        <f>VLOOKUP(A139,재고차이!A:B,2,0)</f>
        <v/>
      </c>
      <c r="C139" s="21">
        <f>VLOOKUP(A139,재고차이!A:C,3,0)</f>
        <v/>
      </c>
      <c r="D139" s="21">
        <f>SUMIF(재고차이!B:B,주간상차!B:B,재고차이!E:E)</f>
        <v/>
      </c>
      <c r="E139" s="295" t="n"/>
      <c r="F139" s="296">
        <f>IF(E139="","",ROUNDDOWN(H139,0))</f>
        <v/>
      </c>
      <c r="G139" s="296">
        <f>IF(E139="","",E139-I139)</f>
        <v/>
      </c>
      <c r="H139" s="296">
        <f>IF(E139="","",E139/SUMIF(재고차이!A:A,주간상차!A:A,재고차이!E:E))</f>
        <v/>
      </c>
      <c r="I139" s="296">
        <f>IF(E139="","",F139*D139)</f>
        <v/>
      </c>
      <c r="J139" s="5" t="n"/>
      <c r="K139" s="5" t="n"/>
      <c r="L139" s="5" t="n"/>
    </row>
    <row r="140">
      <c r="A140" s="24" t="n">
        <v>8429</v>
      </c>
      <c r="B140" s="21">
        <f>VLOOKUP(A140,재고차이!A:B,2,0)</f>
        <v/>
      </c>
      <c r="C140" s="21">
        <f>VLOOKUP(A140,재고차이!A:C,3,0)</f>
        <v/>
      </c>
      <c r="D140" s="21">
        <f>SUMIF(재고차이!B:B,주간상차!B:B,재고차이!E:E)</f>
        <v/>
      </c>
      <c r="E140" s="295" t="n"/>
      <c r="F140" s="296">
        <f>IF(E140="","",ROUNDDOWN(H140,0))</f>
        <v/>
      </c>
      <c r="G140" s="296">
        <f>IF(E140="","",E140-I140)</f>
        <v/>
      </c>
      <c r="H140" s="296">
        <f>IF(E140="","",E140/SUMIF(재고차이!A:A,주간상차!A:A,재고차이!E:E))</f>
        <v/>
      </c>
      <c r="I140" s="296">
        <f>IF(E140="","",F140*D140)</f>
        <v/>
      </c>
      <c r="J140" s="5" t="n"/>
      <c r="K140" s="5" t="n"/>
      <c r="L140" s="5" t="n"/>
    </row>
    <row r="141">
      <c r="A141" s="24" t="n">
        <v>8453</v>
      </c>
      <c r="B141" s="21">
        <f>VLOOKUP(A141,재고차이!A:B,2,0)</f>
        <v/>
      </c>
      <c r="C141" s="21">
        <f>VLOOKUP(A141,재고차이!A:C,3,0)</f>
        <v/>
      </c>
      <c r="D141" s="21">
        <f>SUMIF(재고차이!B:B,주간상차!B:B,재고차이!E:E)</f>
        <v/>
      </c>
      <c r="E141" s="295" t="n"/>
      <c r="F141" s="296">
        <f>IF(E141="","",ROUNDDOWN(H141,0))</f>
        <v/>
      </c>
      <c r="G141" s="296">
        <f>IF(E141="","",E141-I141)</f>
        <v/>
      </c>
      <c r="H141" s="296">
        <f>IF(E141="","",E141/SUMIF(재고차이!A:A,주간상차!A:A,재고차이!E:E))</f>
        <v/>
      </c>
      <c r="I141" s="296">
        <f>IF(E141="","",F141*D141)</f>
        <v/>
      </c>
      <c r="J141" s="5" t="n"/>
      <c r="K141" s="5" t="n"/>
      <c r="L141" s="5" t="n"/>
    </row>
    <row r="142">
      <c r="A142" s="24" t="n">
        <v>8521</v>
      </c>
      <c r="B142" s="21">
        <f>VLOOKUP(A142,재고차이!A:B,2,0)</f>
        <v/>
      </c>
      <c r="C142" s="21">
        <f>VLOOKUP(A142,재고차이!A:C,3,0)</f>
        <v/>
      </c>
      <c r="D142" s="21">
        <f>SUMIF(재고차이!B:B,주간상차!B:B,재고차이!E:E)</f>
        <v/>
      </c>
      <c r="E142" s="295" t="n"/>
      <c r="F142" s="296">
        <f>IF(E142="","",ROUNDDOWN(H142,0))</f>
        <v/>
      </c>
      <c r="G142" s="296">
        <f>IF(E142="","",E142-I142)</f>
        <v/>
      </c>
      <c r="H142" s="296">
        <f>IF(E142="","",E142/SUMIF(재고차이!A:A,주간상차!A:A,재고차이!E:E))</f>
        <v/>
      </c>
      <c r="I142" s="296">
        <f>IF(E142="","",F142*D142)</f>
        <v/>
      </c>
      <c r="J142" s="5" t="n"/>
      <c r="K142" s="5" t="n"/>
      <c r="L142" s="5" t="n"/>
    </row>
    <row r="143">
      <c r="A143" s="10" t="n">
        <v>8541</v>
      </c>
      <c r="B143" s="21">
        <f>VLOOKUP(A143,재고차이!A:B,2,0)</f>
        <v/>
      </c>
      <c r="C143" s="21">
        <f>VLOOKUP(A143,재고차이!A:C,3,0)</f>
        <v/>
      </c>
      <c r="D143" s="21">
        <f>SUMIF(재고차이!B:B,주간상차!B:B,재고차이!E:E)</f>
        <v/>
      </c>
      <c r="E143" s="295" t="n"/>
      <c r="F143" s="296">
        <f>IF(E143="","",ROUNDDOWN(H143,0))</f>
        <v/>
      </c>
      <c r="G143" s="296">
        <f>IF(E143="","",E143-I143)</f>
        <v/>
      </c>
      <c r="H143" s="296">
        <f>IF(E143="","",E143/SUMIF(재고차이!A:A,주간상차!A:A,재고차이!E:E))</f>
        <v/>
      </c>
      <c r="I143" s="296">
        <f>IF(E143="","",F143*D143)</f>
        <v/>
      </c>
      <c r="J143" s="5" t="n"/>
      <c r="K143" s="5" t="n"/>
      <c r="L143" s="5" t="n"/>
    </row>
    <row r="144">
      <c r="A144" s="24" t="n">
        <v>8560</v>
      </c>
      <c r="B144" s="21">
        <f>VLOOKUP(A144,재고차이!A:B,2,0)</f>
        <v/>
      </c>
      <c r="C144" s="21">
        <f>VLOOKUP(A144,재고차이!A:C,3,0)</f>
        <v/>
      </c>
      <c r="D144" s="21">
        <f>SUMIF(재고차이!B:B,주간상차!B:B,재고차이!E:E)</f>
        <v/>
      </c>
      <c r="E144" s="295" t="n"/>
      <c r="F144" s="296">
        <f>IF(E144="","",ROUNDDOWN(H144,0))</f>
        <v/>
      </c>
      <c r="G144" s="296">
        <f>IF(E144="","",E144-I144)</f>
        <v/>
      </c>
      <c r="H144" s="296">
        <f>IF(E144="","",E144/SUMIF(재고차이!A:A,주간상차!A:A,재고차이!E:E))</f>
        <v/>
      </c>
      <c r="I144" s="296">
        <f>IF(E144="","",F144*D144)</f>
        <v/>
      </c>
      <c r="J144" s="5" t="n"/>
      <c r="K144" s="5" t="n"/>
      <c r="L144" s="5" t="n"/>
    </row>
    <row r="145">
      <c r="A145" s="24" t="n">
        <v>8561</v>
      </c>
      <c r="B145" s="21">
        <f>VLOOKUP(A145,재고차이!A:B,2,0)</f>
        <v/>
      </c>
      <c r="C145" s="21">
        <f>VLOOKUP(A145,재고차이!A:C,3,0)</f>
        <v/>
      </c>
      <c r="D145" s="21">
        <f>SUMIF(재고차이!B:B,주간상차!B:B,재고차이!E:E)</f>
        <v/>
      </c>
      <c r="E145" s="295" t="n">
        <v>70</v>
      </c>
      <c r="F145" s="296">
        <f>IF(E145="","",ROUNDDOWN(H145,0))</f>
        <v/>
      </c>
      <c r="G145" s="296">
        <f>IF(E145="","",E145-I145)</f>
        <v/>
      </c>
      <c r="H145" s="296">
        <f>IF(E145="","",E145/SUMIF(재고차이!A:A,주간상차!A:A,재고차이!E:E))</f>
        <v/>
      </c>
      <c r="I145" s="296">
        <f>IF(E145="","",F145*D145)</f>
        <v/>
      </c>
      <c r="J145" s="5" t="n"/>
      <c r="K145" s="5" t="n"/>
      <c r="L145" s="5" t="n"/>
    </row>
    <row r="146">
      <c r="A146" s="24" t="n">
        <v>8571</v>
      </c>
      <c r="B146" s="21">
        <f>VLOOKUP(A146,재고차이!A:B,2,0)</f>
        <v/>
      </c>
      <c r="C146" s="21">
        <f>VLOOKUP(A146,재고차이!A:C,3,0)</f>
        <v/>
      </c>
      <c r="D146" s="21">
        <f>SUMIF(재고차이!B:B,주간상차!B:B,재고차이!E:E)</f>
        <v/>
      </c>
      <c r="E146" s="295" t="n"/>
      <c r="F146" s="296">
        <f>IF(E146="","",ROUNDDOWN(H146,0))</f>
        <v/>
      </c>
      <c r="G146" s="296">
        <f>IF(E146="","",E146-I146)</f>
        <v/>
      </c>
      <c r="H146" s="296">
        <f>IF(E146="","",E146/SUMIF(재고차이!A:A,주간상차!A:A,재고차이!E:E))</f>
        <v/>
      </c>
      <c r="I146" s="296">
        <f>IF(E146="","",F146*D146)</f>
        <v/>
      </c>
      <c r="J146" s="5" t="n"/>
      <c r="K146" s="5" t="n"/>
      <c r="L146" s="5" t="n"/>
    </row>
    <row r="147">
      <c r="A147" s="24" t="n">
        <v>8588</v>
      </c>
      <c r="B147" s="21">
        <f>VLOOKUP(A147,재고차이!A:B,2,0)</f>
        <v/>
      </c>
      <c r="C147" s="21">
        <f>VLOOKUP(A147,재고차이!A:C,3,0)</f>
        <v/>
      </c>
      <c r="D147" s="21">
        <f>SUMIF(재고차이!B:B,주간상차!B:B,재고차이!E:E)</f>
        <v/>
      </c>
      <c r="E147" s="295" t="n"/>
      <c r="F147" s="296">
        <f>IF(E147="","",ROUNDDOWN(H147,0))</f>
        <v/>
      </c>
      <c r="G147" s="296">
        <f>IF(E147="","",E147-I147)</f>
        <v/>
      </c>
      <c r="H147" s="296">
        <f>IF(E147="","",E147/SUMIF(재고차이!A:A,주간상차!A:A,재고차이!E:E))</f>
        <v/>
      </c>
      <c r="I147" s="296">
        <f>IF(E147="","",F147*D147)</f>
        <v/>
      </c>
      <c r="J147" s="5" t="n"/>
      <c r="K147" s="5" t="n"/>
      <c r="L147" s="5" t="n"/>
    </row>
    <row r="148">
      <c r="A148" s="24" t="n">
        <v>8590</v>
      </c>
      <c r="B148" s="21">
        <f>VLOOKUP(A148,재고차이!A:B,2,0)</f>
        <v/>
      </c>
      <c r="C148" s="21">
        <f>VLOOKUP(A148,재고차이!A:C,3,0)</f>
        <v/>
      </c>
      <c r="D148" s="21">
        <f>SUMIF(재고차이!B:B,주간상차!B:B,재고차이!E:E)</f>
        <v/>
      </c>
      <c r="E148" s="295" t="n"/>
      <c r="F148" s="296">
        <f>IF(E148="","",ROUNDDOWN(H148,0))</f>
        <v/>
      </c>
      <c r="G148" s="296">
        <f>IF(E148="","",E148-I148)</f>
        <v/>
      </c>
      <c r="H148" s="296">
        <f>IF(E148="","",E148/SUMIF(재고차이!A:A,주간상차!A:A,재고차이!E:E))</f>
        <v/>
      </c>
      <c r="I148" s="296">
        <f>IF(E148="","",F148*D148)</f>
        <v/>
      </c>
      <c r="J148" s="5" t="n"/>
      <c r="K148" s="5" t="n"/>
      <c r="L148" s="5" t="n"/>
    </row>
    <row r="149">
      <c r="A149" s="24" t="n">
        <v>8811</v>
      </c>
      <c r="B149" s="21">
        <f>VLOOKUP(A149,재고차이!A:B,2,0)</f>
        <v/>
      </c>
      <c r="C149" s="21">
        <f>VLOOKUP(A149,재고차이!A:C,3,0)</f>
        <v/>
      </c>
      <c r="D149" s="21">
        <f>SUMIF(재고차이!B:B,주간상차!B:B,재고차이!E:E)</f>
        <v/>
      </c>
      <c r="E149" s="295" t="n"/>
      <c r="F149" s="296">
        <f>IF(E149="","",ROUNDDOWN(H149,0))</f>
        <v/>
      </c>
      <c r="G149" s="296">
        <f>IF(E149="","",E149-I149)</f>
        <v/>
      </c>
      <c r="H149" s="296">
        <f>IF(E149="","",E149/SUMIF(재고차이!A:A,주간상차!A:A,재고차이!E:E))</f>
        <v/>
      </c>
      <c r="I149" s="296">
        <f>IF(E149="","",F149*D149)</f>
        <v/>
      </c>
      <c r="J149" s="5" t="n"/>
      <c r="K149" s="5" t="n"/>
      <c r="L149" s="5" t="n"/>
    </row>
    <row r="150">
      <c r="A150" s="24" t="n">
        <v>8812</v>
      </c>
      <c r="B150" s="21">
        <f>VLOOKUP(A150,재고차이!A:B,2,0)</f>
        <v/>
      </c>
      <c r="C150" s="21">
        <f>VLOOKUP(A150,재고차이!A:C,3,0)</f>
        <v/>
      </c>
      <c r="D150" s="21">
        <f>SUMIF(재고차이!B:B,주간상차!B:B,재고차이!E:E)</f>
        <v/>
      </c>
      <c r="E150" s="295" t="n"/>
      <c r="F150" s="296">
        <f>IF(E150="","",ROUNDDOWN(H150,0))</f>
        <v/>
      </c>
      <c r="G150" s="296">
        <f>IF(E150="","",E150-I150)</f>
        <v/>
      </c>
      <c r="H150" s="296">
        <f>IF(E150="","",E150/SUMIF(재고차이!A:A,주간상차!A:A,재고차이!E:E))</f>
        <v/>
      </c>
      <c r="I150" s="296">
        <f>IF(E150="","",F150*D150)</f>
        <v/>
      </c>
      <c r="J150" s="5" t="n"/>
      <c r="K150" s="5" t="n"/>
      <c r="L150" s="5" t="n"/>
    </row>
    <row r="151">
      <c r="A151" s="24" t="n">
        <v>8815</v>
      </c>
      <c r="B151" s="21">
        <f>VLOOKUP(A151,재고차이!A:B,2,0)</f>
        <v/>
      </c>
      <c r="C151" s="21">
        <f>VLOOKUP(A151,재고차이!A:C,3,0)</f>
        <v/>
      </c>
      <c r="D151" s="21">
        <f>SUMIF(재고차이!B:B,주간상차!B:B,재고차이!E:E)</f>
        <v/>
      </c>
      <c r="E151" s="295" t="n"/>
      <c r="F151" s="296">
        <f>IF(E151="","",ROUNDDOWN(H151,0))</f>
        <v/>
      </c>
      <c r="G151" s="296">
        <f>IF(E151="","",E151-I151)</f>
        <v/>
      </c>
      <c r="H151" s="296">
        <f>IF(E151="","",E151/SUMIF(재고차이!A:A,주간상차!A:A,재고차이!E:E))</f>
        <v/>
      </c>
      <c r="I151" s="296">
        <f>IF(E151="","",F151*D151)</f>
        <v/>
      </c>
      <c r="J151" s="5" t="n"/>
      <c r="K151" s="5" t="n"/>
      <c r="L151" s="5" t="n"/>
    </row>
    <row r="152">
      <c r="A152" s="24" t="n">
        <v>8816</v>
      </c>
      <c r="B152" s="21">
        <f>VLOOKUP(A152,재고차이!A:B,2,0)</f>
        <v/>
      </c>
      <c r="C152" s="21">
        <f>VLOOKUP(A152,재고차이!A:C,3,0)</f>
        <v/>
      </c>
      <c r="D152" s="21">
        <f>SUMIF(재고차이!B:B,주간상차!B:B,재고차이!E:E)</f>
        <v/>
      </c>
      <c r="E152" s="295" t="n"/>
      <c r="F152" s="296">
        <f>IF(E152="","",ROUNDDOWN(H152,0))</f>
        <v/>
      </c>
      <c r="G152" s="296">
        <f>IF(E152="","",E152-I152)</f>
        <v/>
      </c>
      <c r="H152" s="296">
        <f>IF(E152="","",E152/SUMIF(재고차이!A:A,주간상차!A:A,재고차이!E:E))</f>
        <v/>
      </c>
      <c r="I152" s="296">
        <f>IF(E152="","",F152*D152)</f>
        <v/>
      </c>
      <c r="J152" s="5" t="n"/>
      <c r="K152" s="5" t="n"/>
      <c r="L152" s="5" t="n"/>
    </row>
    <row r="153">
      <c r="A153" s="10" t="n">
        <v>9120</v>
      </c>
      <c r="B153" s="21">
        <f>VLOOKUP(A153,재고차이!A:B,2,0)</f>
        <v/>
      </c>
      <c r="C153" s="21">
        <f>VLOOKUP(A153,재고차이!A:C,3,0)</f>
        <v/>
      </c>
      <c r="D153" s="21">
        <f>SUMIF(재고차이!B:B,주간상차!B:B,재고차이!E:E)</f>
        <v/>
      </c>
      <c r="E153" s="295" t="n"/>
      <c r="F153" s="296">
        <f>IF(E153="","",ROUNDDOWN(H153,0))</f>
        <v/>
      </c>
      <c r="G153" s="296">
        <f>IF(E153="","",E153-I153)</f>
        <v/>
      </c>
      <c r="H153" s="296">
        <f>IF(E153="","",E153/SUMIF(재고차이!A:A,주간상차!A:A,재고차이!E:E))</f>
        <v/>
      </c>
      <c r="I153" s="296">
        <f>IF(E153="","",F153*D153)</f>
        <v/>
      </c>
      <c r="J153" s="5" t="n"/>
      <c r="K153" s="5" t="n"/>
      <c r="L153" s="5" t="n"/>
    </row>
    <row r="154">
      <c r="A154" s="10" t="inlineStr">
        <is>
          <t>FT4181</t>
        </is>
      </c>
      <c r="B154" s="21">
        <f>VLOOKUP(A154,재고차이!A:B,2,0)</f>
        <v/>
      </c>
      <c r="C154" s="21">
        <f>VLOOKUP(A154,재고차이!A:C,3,0)</f>
        <v/>
      </c>
      <c r="D154" s="21">
        <f>SUMIF(재고차이!B:B,주간상차!B:B,재고차이!E:E)</f>
        <v/>
      </c>
      <c r="E154" s="295" t="n"/>
      <c r="F154" s="296">
        <f>IF(E154="","",ROUNDDOWN(H154,0))</f>
        <v/>
      </c>
      <c r="G154" s="296">
        <f>IF(E154="","",E154-I154)</f>
        <v/>
      </c>
      <c r="H154" s="296">
        <f>IF(E154="","",E154/SUMIF(재고차이!A:A,주간상차!A:A,재고차이!E:E))</f>
        <v/>
      </c>
      <c r="I154" s="296">
        <f>IF(E154="","",F154*D154)</f>
        <v/>
      </c>
      <c r="J154" s="5" t="n"/>
      <c r="K154" s="5" t="n"/>
      <c r="L154" s="5" t="n"/>
    </row>
    <row r="155">
      <c r="A155" s="24" t="inlineStr">
        <is>
          <t>GG8143</t>
        </is>
      </c>
      <c r="B155" s="21">
        <f>VLOOKUP(A155,재고차이!A:B,2,0)</f>
        <v/>
      </c>
      <c r="C155" s="21">
        <f>VLOOKUP(A155,재고차이!A:C,3,0)</f>
        <v/>
      </c>
      <c r="D155" s="21">
        <f>SUMIF(재고차이!B:B,주간상차!B:B,재고차이!E:E)</f>
        <v/>
      </c>
      <c r="E155" s="295" t="n"/>
      <c r="F155" s="296">
        <f>IF(E155="","",ROUNDDOWN(H155,0))</f>
        <v/>
      </c>
      <c r="G155" s="296">
        <f>IF(E155="","",E155-I155)</f>
        <v/>
      </c>
      <c r="H155" s="296">
        <f>IF(E155="","",E155/SUMIF(재고차이!A:A,주간상차!A:A,재고차이!E:E))</f>
        <v/>
      </c>
      <c r="I155" s="296">
        <f>IF(E155="","",F155*D155)</f>
        <v/>
      </c>
      <c r="J155" s="5" t="n"/>
      <c r="K155" s="5" t="n"/>
      <c r="L155" s="5" t="n"/>
    </row>
    <row r="156">
      <c r="A156" s="24" t="inlineStr">
        <is>
          <t>gs0012</t>
        </is>
      </c>
      <c r="B156" s="21" t="inlineStr">
        <is>
          <t>GS0012</t>
        </is>
      </c>
      <c r="C156" s="21" t="inlineStr">
        <is>
          <t>영진 구론산 오리지날액 150NRB 3X10</t>
        </is>
      </c>
      <c r="D156" s="21">
        <f>SUMIF(재고차이!B:B,주간상차!B:B,재고차이!E:E)</f>
        <v/>
      </c>
      <c r="E156" s="295" t="n"/>
      <c r="F156" s="296">
        <f>IF(E156="","",ROUNDDOWN(H156,0))</f>
        <v/>
      </c>
      <c r="G156" s="296">
        <f>IF(E156="","",E156-I156)</f>
        <v/>
      </c>
      <c r="H156" s="296">
        <f>IF(E156="","",E156/SUMIF(재고차이!A:A,주간상차!A:A,재고차이!E:E))</f>
        <v/>
      </c>
      <c r="I156" s="296">
        <f>IF(E156="","",F156*D156)</f>
        <v/>
      </c>
      <c r="J156" s="5" t="n"/>
      <c r="K156" s="5" t="n"/>
      <c r="L156" s="5" t="n"/>
    </row>
    <row r="157">
      <c r="A157" s="183" t="inlineStr">
        <is>
          <t>IH0001</t>
        </is>
      </c>
      <c r="B157" s="21">
        <f>VLOOKUP(A157,재고차이!A:B,2,0)</f>
        <v/>
      </c>
      <c r="C157" s="21">
        <f>VLOOKUP(A157,재고차이!A:C,3,0)</f>
        <v/>
      </c>
      <c r="D157" s="21">
        <f>SUMIF(재고차이!B:B,주간상차!B:B,재고차이!E:E)</f>
        <v/>
      </c>
      <c r="E157" s="295" t="n"/>
      <c r="F157" s="296">
        <f>IF(E157="","",ROUNDDOWN(H157,0))</f>
        <v/>
      </c>
      <c r="G157" s="296">
        <f>IF(E157="","",E157-I157)</f>
        <v/>
      </c>
      <c r="H157" s="296">
        <f>IF(E157="","",E157/SUMIF(재고차이!A:A,주간상차!A:A,재고차이!E:E))</f>
        <v/>
      </c>
      <c r="I157" s="296">
        <f>IF(E157="","",F157*D157)</f>
        <v/>
      </c>
      <c r="J157" s="5" t="n"/>
      <c r="K157" s="5" t="n"/>
      <c r="L157" s="5" t="n"/>
    </row>
    <row r="158">
      <c r="A158" s="183" t="inlineStr">
        <is>
          <t>KC1005</t>
        </is>
      </c>
      <c r="B158" s="21" t="inlineStr">
        <is>
          <t>KC1005</t>
        </is>
      </c>
      <c r="C158" s="21">
        <f>VLOOKUP(A158,재고차이!A:C,3,0)</f>
        <v/>
      </c>
      <c r="D158" s="21" t="n">
        <v>72</v>
      </c>
      <c r="E158" s="295" t="n"/>
      <c r="F158" s="296">
        <f>IF(E158="","",ROUNDDOWN(H158,0))</f>
        <v/>
      </c>
      <c r="G158" s="296">
        <f>IF(E158="","",E158-I158)</f>
        <v/>
      </c>
      <c r="H158" s="296" t="n"/>
      <c r="I158" s="296" t="n"/>
      <c r="J158" s="5" t="n"/>
      <c r="K158" s="5" t="n"/>
      <c r="L158" s="5" t="n"/>
    </row>
    <row r="159">
      <c r="A159" s="183" t="inlineStr">
        <is>
          <t>PA0002</t>
        </is>
      </c>
      <c r="B159" s="21">
        <f>VLOOKUP(A159,재고차이!A:B,2,0)</f>
        <v/>
      </c>
      <c r="C159" s="21">
        <f>VLOOKUP(A159,재고차이!A:C,3,0)</f>
        <v/>
      </c>
      <c r="D159" s="21">
        <f>SUMIF(재고차이!B:B,주간상차!B:B,재고차이!E:E)</f>
        <v/>
      </c>
      <c r="E159" s="295" t="n"/>
      <c r="F159" s="296">
        <f>IF(E159="","",ROUNDDOWN(H159,0))</f>
        <v/>
      </c>
      <c r="G159" s="296">
        <f>IF(E159="","",E159-I159)</f>
        <v/>
      </c>
      <c r="H159" s="296">
        <f>IF(E159="","",E159/SUMIF(재고차이!A:A,주간상차!A:A,재고차이!E:E))</f>
        <v/>
      </c>
      <c r="I159" s="296">
        <f>IF(E159="","",F159*D159)</f>
        <v/>
      </c>
      <c r="J159" s="5" t="n"/>
      <c r="K159" s="5" t="n"/>
      <c r="L159" s="5" t="n"/>
    </row>
    <row r="160">
      <c r="A160" s="24" t="inlineStr">
        <is>
          <t>SP4181</t>
        </is>
      </c>
      <c r="B160" s="21">
        <f>VLOOKUP(A160,재고차이!A:B,2,0)</f>
        <v/>
      </c>
      <c r="C160" s="21">
        <f>VLOOKUP(A160,재고차이!A:C,3,0)</f>
        <v/>
      </c>
      <c r="D160" s="21">
        <f>SUMIF(재고차이!B:B,주간상차!B:B,재고차이!E:E)</f>
        <v/>
      </c>
      <c r="E160" s="295" t="n"/>
      <c r="F160" s="296">
        <f>IF(E160="","",ROUNDDOWN(H160,0))</f>
        <v/>
      </c>
      <c r="G160" s="296">
        <f>IF(E160="","",E160-I160)</f>
        <v/>
      </c>
      <c r="H160" s="296">
        <f>IF(E160="","",E160/SUMIF(재고차이!A:A,주간상차!A:A,재고차이!E:E))</f>
        <v/>
      </c>
      <c r="I160" s="296">
        <f>IF(E160="","",F160*D160)</f>
        <v/>
      </c>
      <c r="J160" s="5" t="n"/>
      <c r="K160" s="5" t="n"/>
      <c r="L160" s="5" t="n"/>
    </row>
    <row r="161">
      <c r="F161" s="280">
        <f>SUM(F4:F160)</f>
        <v/>
      </c>
      <c r="J161" s="5" t="n"/>
      <c r="K161" s="5" t="n"/>
      <c r="L161" s="5" t="n"/>
    </row>
    <row r="162">
      <c r="J162" s="5" t="n"/>
      <c r="K162" s="5" t="n"/>
      <c r="L162" s="5" t="n"/>
    </row>
    <row r="163">
      <c r="J163" s="5" t="n"/>
      <c r="K163" s="5" t="n"/>
      <c r="L163" s="5" t="n"/>
    </row>
  </sheetData>
  <autoFilter ref="A2:I161">
    <sortState ref="A3:I161">
      <sortCondition ref="A2:A161"/>
    </sortState>
  </autoFilter>
  <pageMargins left="0.7" right="0.7" top="0.75" bottom="0.75" header="0.3" footer="0.3"/>
  <pageSetup orientation="landscape" paperSize="9" scale="18"/>
</worksheet>
</file>

<file path=xl/worksheets/sheet14.xml><?xml version="1.0" encoding="utf-8"?>
<worksheet xmlns="http://schemas.openxmlformats.org/spreadsheetml/2006/main">
  <sheetPr codeName="Sheet13">
    <outlinePr summaryBelow="1" summaryRight="1"/>
    <pageSetUpPr/>
  </sheetPr>
  <dimension ref="A2:L6"/>
  <sheetViews>
    <sheetView workbookViewId="0">
      <selection activeCell="A3" sqref="A3"/>
    </sheetView>
  </sheetViews>
  <sheetFormatPr baseColWidth="8" defaultRowHeight="16.5"/>
  <cols>
    <col width="13.75" bestFit="1" customWidth="1" style="5" min="1" max="1"/>
    <col width="10.875" bestFit="1" customWidth="1" style="5" min="2" max="2"/>
    <col width="9.625" bestFit="1" customWidth="1" style="5" min="3" max="3"/>
    <col width="13.875" customWidth="1" style="5" min="4" max="6"/>
    <col width="3" customWidth="1" style="5" min="7" max="7"/>
    <col width="14" customWidth="1" style="5" min="8" max="8"/>
    <col width="17.5" customWidth="1" style="5" min="9" max="10"/>
    <col width="15.25" customWidth="1" style="5" min="11" max="11"/>
    <col width="19.375" customWidth="1" style="5" min="12" max="12"/>
    <col width="9" customWidth="1" style="5" min="13" max="16384"/>
  </cols>
  <sheetData>
    <row r="2" ht="24.75" customHeight="1" s="237">
      <c r="E2" s="5" t="inlineStr">
        <is>
          <t>재고실사일</t>
        </is>
      </c>
      <c r="F2" s="302" t="n">
        <v>45989</v>
      </c>
    </row>
    <row r="3" ht="44.25" customFormat="1" customHeight="1" s="149">
      <c r="A3" s="147" t="n"/>
      <c r="B3" s="148" t="inlineStr">
        <is>
          <t>Full 파렛트</t>
        </is>
      </c>
      <c r="C3" s="148" t="inlineStr">
        <is>
          <t>공 파렛트</t>
        </is>
      </c>
      <c r="D3" s="148" t="inlineStr">
        <is>
          <t>MIX 파렛트</t>
        </is>
      </c>
      <c r="E3" s="148" t="inlineStr">
        <is>
          <t>가스저장고</t>
        </is>
      </c>
      <c r="F3" s="148" t="inlineStr">
        <is>
          <t>합계</t>
        </is>
      </c>
      <c r="H3" s="148" t="n"/>
      <c r="I3" s="148" t="inlineStr">
        <is>
          <t>SAP_총출고될 수량</t>
        </is>
      </c>
      <c r="J3" s="148" t="inlineStr">
        <is>
          <t>SAP_출고된수량</t>
        </is>
      </c>
      <c r="K3" s="148" t="inlineStr">
        <is>
          <t>SAP_미출고수량(주간상차)</t>
        </is>
      </c>
      <c r="L3" s="148" t="inlineStr">
        <is>
          <t>차이</t>
        </is>
      </c>
    </row>
    <row r="4" ht="43.5" customHeight="1" s="237">
      <c r="A4" s="10" t="inlineStr">
        <is>
          <t>아주 파렛트</t>
        </is>
      </c>
      <c r="B4" s="303">
        <f>1503+629+785</f>
        <v/>
      </c>
      <c r="C4" s="303" t="n">
        <v>1393</v>
      </c>
      <c r="D4" s="303">
        <f>190+100+8+4+7+9</f>
        <v/>
      </c>
      <c r="E4" s="303" t="n"/>
      <c r="F4" s="303">
        <f>SUM(B4:E4)</f>
        <v/>
      </c>
      <c r="H4" s="10" t="inlineStr">
        <is>
          <t>토요일</t>
        </is>
      </c>
      <c r="I4" s="10" t="n">
        <v>1654</v>
      </c>
      <c r="J4" s="10" t="n">
        <v>1615</v>
      </c>
      <c r="K4" s="10" t="n">
        <v>39</v>
      </c>
      <c r="L4" s="10">
        <f>I4-(J4+K4)</f>
        <v/>
      </c>
    </row>
    <row r="5" ht="43.5" customHeight="1" s="237">
      <c r="A5" s="10" t="inlineStr">
        <is>
          <t>940 파렛트</t>
        </is>
      </c>
      <c r="B5" s="303" t="n"/>
      <c r="C5" s="303" t="n"/>
      <c r="D5" s="303" t="n"/>
      <c r="E5" s="303" t="n"/>
      <c r="F5" s="303">
        <f>SUM(B5:E5)</f>
        <v/>
      </c>
      <c r="H5" s="10" t="inlineStr">
        <is>
          <t>일요일</t>
        </is>
      </c>
      <c r="I5" s="10" t="n"/>
      <c r="J5" s="10" t="n"/>
      <c r="K5" s="10" t="n"/>
      <c r="L5" s="10">
        <f>I5-(J5+K5)</f>
        <v/>
      </c>
    </row>
    <row r="6" ht="43.5" customHeight="1" s="237">
      <c r="A6" s="10" t="inlineStr">
        <is>
          <t>1200파렛트</t>
        </is>
      </c>
      <c r="B6" s="303" t="n">
        <v>53</v>
      </c>
      <c r="C6" s="303" t="n"/>
      <c r="D6" s="303">
        <f>11+1</f>
        <v/>
      </c>
      <c r="E6" s="303" t="n"/>
      <c r="F6" s="303">
        <f>SUM(B6:E6)</f>
        <v/>
      </c>
      <c r="H6" s="10" t="n"/>
      <c r="I6" s="10">
        <f>SUM(I4:I5)</f>
        <v/>
      </c>
      <c r="J6" s="10">
        <f>SUM(J4:J5)</f>
        <v/>
      </c>
      <c r="K6" s="10">
        <f>SUM(K4:K5)</f>
        <v/>
      </c>
      <c r="L6" s="10">
        <f>I6-(J6+K6)</f>
        <v/>
      </c>
    </row>
  </sheetData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46"/>
  <sheetViews>
    <sheetView workbookViewId="0">
      <selection activeCell="A1" sqref="A1"/>
    </sheetView>
  </sheetViews>
  <sheetFormatPr baseColWidth="8" defaultRowHeight="15"/>
  <cols>
    <col width="6.75" customWidth="1" style="237" min="1" max="1"/>
    <col width="23.125" customWidth="1" style="237" min="2" max="2"/>
    <col width="19.875" customWidth="1" style="237" min="3" max="3"/>
    <col width="13" customWidth="1" style="237" min="4" max="4"/>
    <col width="13" customWidth="1" style="237" min="5" max="5"/>
  </cols>
  <sheetData>
    <row r="1" ht="20" customHeight="1" s="237">
      <c r="A1" s="304" t="inlineStr">
        <is>
          <t>제품코드</t>
        </is>
      </c>
      <c r="B1" s="304" t="inlineStr">
        <is>
          <t>제품명</t>
        </is>
      </c>
      <c r="C1" s="304" t="inlineStr">
        <is>
          <t>아주/날짜</t>
        </is>
      </c>
      <c r="D1" s="304" t="inlineStr">
        <is>
          <t>일반/날짜</t>
        </is>
      </c>
      <c r="E1" s="304" t="inlineStr">
        <is>
          <t>잔량/날짜</t>
        </is>
      </c>
    </row>
    <row r="2" ht="18" customHeight="1" s="237">
      <c r="A2" s="305" t="n">
        <v>455</v>
      </c>
      <c r="B2" s="306" t="inlineStr">
        <is>
          <t>코크제로 레몬 500PET 4X6</t>
        </is>
      </c>
      <c r="C2" s="307" t="inlineStr">
        <is>
          <t>16(11/25)</t>
        </is>
      </c>
      <c r="D2" s="307" t="inlineStr"/>
      <c r="E2" s="307" t="inlineStr">
        <is>
          <t>31(11/25)</t>
        </is>
      </c>
    </row>
    <row r="3" ht="18" customHeight="1" s="237">
      <c r="A3" s="305" t="n">
        <v>455</v>
      </c>
      <c r="B3" s="306" t="inlineStr">
        <is>
          <t>코크제로 레몬 500PET 4X6</t>
        </is>
      </c>
      <c r="C3" s="307" t="inlineStr">
        <is>
          <t>17(11/26)</t>
        </is>
      </c>
      <c r="D3" s="307" t="inlineStr"/>
      <c r="E3" s="307" t="inlineStr"/>
    </row>
    <row r="4" ht="18" customHeight="1" s="237">
      <c r="A4" s="305" t="n">
        <v>455</v>
      </c>
      <c r="B4" s="306" t="inlineStr">
        <is>
          <t>코크제로 레몬 500PET 4X6</t>
        </is>
      </c>
      <c r="C4" s="307" t="inlineStr">
        <is>
          <t>15(12/10)</t>
        </is>
      </c>
      <c r="D4" s="307" t="inlineStr"/>
      <c r="E4" s="307" t="inlineStr"/>
    </row>
    <row r="5" ht="18" customHeight="1" s="237">
      <c r="A5" s="305" t="n">
        <v>1000</v>
      </c>
      <c r="B5" s="306" t="inlineStr">
        <is>
          <t>미닛 허니&amp;유자 280PET 4X6</t>
        </is>
      </c>
      <c r="C5" s="307" t="inlineStr">
        <is>
          <t>1(11/04)</t>
        </is>
      </c>
      <c r="D5" s="307" t="inlineStr"/>
      <c r="E5" s="307" t="inlineStr">
        <is>
          <t>42(11/04)</t>
        </is>
      </c>
    </row>
    <row r="6" ht="18" customHeight="1" s="237">
      <c r="A6" s="305" t="n">
        <v>1000</v>
      </c>
      <c r="B6" s="306" t="inlineStr">
        <is>
          <t>미닛 허니&amp;유자 280PET 4X6</t>
        </is>
      </c>
      <c r="C6" s="307" t="inlineStr">
        <is>
          <t>16(12/08)</t>
        </is>
      </c>
      <c r="D6" s="307" t="inlineStr"/>
      <c r="E6" s="307" t="inlineStr"/>
    </row>
    <row r="7" ht="18" customHeight="1" s="237">
      <c r="A7" s="305" t="n">
        <v>1001</v>
      </c>
      <c r="B7" s="306" t="inlineStr">
        <is>
          <t>미닛 모과&amp;생강 280PET 4X6</t>
        </is>
      </c>
      <c r="C7" s="307" t="inlineStr">
        <is>
          <t>1(11/28)</t>
        </is>
      </c>
      <c r="D7" s="307" t="inlineStr"/>
      <c r="E7" s="307" t="inlineStr">
        <is>
          <t>97(11/28)</t>
        </is>
      </c>
    </row>
    <row r="8" ht="18" customHeight="1" s="237">
      <c r="A8" s="305" t="n">
        <v>1002</v>
      </c>
      <c r="B8" s="306" t="inlineStr">
        <is>
          <t>미닛 레몬에이드 350PET 4X6</t>
        </is>
      </c>
      <c r="C8" s="307" t="inlineStr"/>
      <c r="D8" s="307" t="inlineStr"/>
      <c r="E8" s="307" t="inlineStr">
        <is>
          <t>9(08/16)</t>
        </is>
      </c>
    </row>
    <row r="9" ht="18" customHeight="1" s="237">
      <c r="A9" s="305" t="n">
        <v>1002</v>
      </c>
      <c r="B9" s="306" t="inlineStr">
        <is>
          <t>미닛 레몬에이드 350PET 4X6</t>
        </is>
      </c>
      <c r="C9" s="307" t="inlineStr">
        <is>
          <t>7(08/17)</t>
        </is>
      </c>
      <c r="D9" s="307" t="inlineStr"/>
      <c r="E9" s="307" t="inlineStr"/>
    </row>
    <row r="10" ht="18" customHeight="1" s="237">
      <c r="A10" s="305" t="n">
        <v>1007</v>
      </c>
      <c r="B10" s="306" t="inlineStr">
        <is>
          <t>S)파워 제로 라임향 600PET 4X6</t>
        </is>
      </c>
      <c r="C10" s="307" t="inlineStr">
        <is>
          <t>81(10/24)</t>
        </is>
      </c>
      <c r="D10" s="307" t="inlineStr"/>
      <c r="E10" s="307" t="inlineStr">
        <is>
          <t>47(10/24)</t>
        </is>
      </c>
    </row>
    <row r="11" ht="18" customHeight="1" s="237">
      <c r="A11" s="305" t="n">
        <v>1007</v>
      </c>
      <c r="B11" s="306" t="inlineStr">
        <is>
          <t>S)파워 제로 라임향 600PET 4X6</t>
        </is>
      </c>
      <c r="C11" s="307" t="inlineStr">
        <is>
          <t>66(10/25)</t>
        </is>
      </c>
      <c r="D11" s="307" t="inlineStr"/>
      <c r="E11" s="307" t="inlineStr"/>
    </row>
    <row r="12" ht="18" customHeight="1" s="237">
      <c r="A12" s="305" t="n">
        <v>1300</v>
      </c>
      <c r="B12" s="306" t="inlineStr">
        <is>
          <t>코카콜라SW 250CAN 5X6</t>
        </is>
      </c>
      <c r="C12" s="307" t="inlineStr">
        <is>
          <t>28(11/26)</t>
        </is>
      </c>
      <c r="D12" s="307" t="inlineStr"/>
      <c r="E12" s="307" t="inlineStr">
        <is>
          <t>8(11/26)</t>
        </is>
      </c>
    </row>
    <row r="13" ht="18" customHeight="1" s="237">
      <c r="A13" s="305" t="n">
        <v>1300</v>
      </c>
      <c r="B13" s="306" t="inlineStr">
        <is>
          <t>코카콜라SW 250CAN 5X6</t>
        </is>
      </c>
      <c r="C13" s="307" t="inlineStr">
        <is>
          <t>8(11/27)</t>
        </is>
      </c>
      <c r="D13" s="307" t="inlineStr"/>
      <c r="E13" s="307" t="inlineStr"/>
    </row>
    <row r="14" ht="18" customHeight="1" s="237">
      <c r="A14" s="305" t="n">
        <v>2531</v>
      </c>
      <c r="B14" s="306" t="inlineStr">
        <is>
          <t>코카콜라 350CAN 4X6</t>
        </is>
      </c>
      <c r="C14" s="307" t="inlineStr">
        <is>
          <t>34(10/22)</t>
        </is>
      </c>
      <c r="D14" s="307" t="inlineStr"/>
      <c r="E14" s="307" t="inlineStr">
        <is>
          <t>9(10/22)</t>
        </is>
      </c>
    </row>
    <row r="15" ht="18" customHeight="1" s="237">
      <c r="A15" s="305" t="n">
        <v>2825</v>
      </c>
      <c r="B15" s="306" t="inlineStr">
        <is>
          <t>S)갈아만든 배 500PET 4X6</t>
        </is>
      </c>
      <c r="C15" s="307" t="inlineStr">
        <is>
          <t>12(09/05)</t>
        </is>
      </c>
      <c r="D15" s="307" t="inlineStr"/>
      <c r="E15" s="307" t="inlineStr">
        <is>
          <t>15(09/05)</t>
        </is>
      </c>
    </row>
    <row r="16" ht="18" customHeight="1" s="237">
      <c r="A16" s="305" t="n">
        <v>2825</v>
      </c>
      <c r="B16" s="306" t="inlineStr">
        <is>
          <t>S)갈아만든 배 500PET 4X6</t>
        </is>
      </c>
      <c r="C16" s="307" t="inlineStr">
        <is>
          <t>10(09/17)</t>
        </is>
      </c>
      <c r="D16" s="307" t="inlineStr"/>
      <c r="E16" s="307" t="inlineStr"/>
    </row>
    <row r="17" ht="18" customHeight="1" s="237">
      <c r="A17" s="305" t="n">
        <v>2826</v>
      </c>
      <c r="B17" s="306" t="inlineStr">
        <is>
          <t>갈아만든 배 1.5PET X6</t>
        </is>
      </c>
      <c r="C17" s="307" t="inlineStr">
        <is>
          <t>6(09/05)</t>
        </is>
      </c>
      <c r="D17" s="307" t="inlineStr"/>
      <c r="E17" s="307" t="inlineStr">
        <is>
          <t>26(09/05)</t>
        </is>
      </c>
    </row>
    <row r="18" ht="18" customHeight="1" s="237">
      <c r="A18" s="305" t="n">
        <v>4112</v>
      </c>
      <c r="B18" s="306" t="inlineStr">
        <is>
          <t>S)코코팜 피치핑크 240CAN 5X6</t>
        </is>
      </c>
      <c r="C18" s="307" t="inlineStr"/>
      <c r="D18" s="307" t="inlineStr"/>
      <c r="E18" s="307" t="inlineStr">
        <is>
          <t>303(09/08)</t>
        </is>
      </c>
    </row>
    <row r="19" ht="18" customHeight="1" s="237">
      <c r="A19" s="305" t="n">
        <v>4112</v>
      </c>
      <c r="B19" s="306" t="inlineStr">
        <is>
          <t>S)코코팜 피치핑크 240CAN 5X6</t>
        </is>
      </c>
      <c r="C19" s="307" t="inlineStr">
        <is>
          <t>1(10/29)</t>
        </is>
      </c>
      <c r="D19" s="307" t="inlineStr"/>
      <c r="E19" s="307" t="inlineStr">
        <is>
          <t>44(10/29)</t>
        </is>
      </c>
    </row>
    <row r="20" ht="18" customHeight="1" s="237">
      <c r="A20" s="305" t="n">
        <v>4125</v>
      </c>
      <c r="B20" s="306" t="inlineStr">
        <is>
          <t>S)코코팜 포도 340CAN 4X6</t>
        </is>
      </c>
      <c r="C20" s="307" t="inlineStr">
        <is>
          <t>1(10/14)</t>
        </is>
      </c>
      <c r="D20" s="307" t="inlineStr"/>
      <c r="E20" s="307" t="inlineStr">
        <is>
          <t>1(10/14)</t>
        </is>
      </c>
    </row>
    <row r="21" ht="18" customHeight="1" s="237">
      <c r="A21" s="305" t="n">
        <v>4125</v>
      </c>
      <c r="B21" s="306" t="inlineStr">
        <is>
          <t>S)코코팜 포도 340CAN 4X6</t>
        </is>
      </c>
      <c r="C21" s="307" t="inlineStr">
        <is>
          <t>4(11/06)</t>
        </is>
      </c>
      <c r="D21" s="307" t="inlineStr"/>
      <c r="E21" s="307" t="inlineStr"/>
    </row>
    <row r="22" ht="18" customHeight="1" s="237">
      <c r="A22" s="305" t="n">
        <v>4177</v>
      </c>
      <c r="B22" s="306" t="inlineStr">
        <is>
          <t>S)환타 오렌지 350CAN 4X6</t>
        </is>
      </c>
      <c r="C22" s="307" t="inlineStr">
        <is>
          <t>1(07/02)</t>
        </is>
      </c>
      <c r="D22" s="307" t="inlineStr"/>
      <c r="E22" s="307" t="inlineStr">
        <is>
          <t>65(07/02)</t>
        </is>
      </c>
    </row>
    <row r="23" ht="18" customHeight="1" s="237">
      <c r="A23" s="305" t="n">
        <v>4177</v>
      </c>
      <c r="B23" s="306" t="inlineStr">
        <is>
          <t>S)환타 오렌지 350CAN 4X6</t>
        </is>
      </c>
      <c r="C23" s="307" t="inlineStr">
        <is>
          <t>5(07/14)</t>
        </is>
      </c>
      <c r="D23" s="307" t="inlineStr"/>
      <c r="E23" s="307" t="inlineStr"/>
    </row>
    <row r="24" ht="18" customHeight="1" s="237">
      <c r="A24" s="305" t="n">
        <v>4179</v>
      </c>
      <c r="B24" s="306" t="inlineStr">
        <is>
          <t>스프라이트(신350C 4X6</t>
        </is>
      </c>
      <c r="C24" s="307" t="inlineStr">
        <is>
          <t>24(10/23)</t>
        </is>
      </c>
      <c r="D24" s="307" t="inlineStr"/>
      <c r="E24" s="307" t="inlineStr">
        <is>
          <t>40(10/23)</t>
        </is>
      </c>
    </row>
    <row r="25" ht="18" customHeight="1" s="237">
      <c r="A25" s="305" t="n">
        <v>4179</v>
      </c>
      <c r="B25" s="306" t="inlineStr">
        <is>
          <t>스프라이트(신350C 4X6</t>
        </is>
      </c>
      <c r="C25" s="307" t="inlineStr">
        <is>
          <t>14(12/01)</t>
        </is>
      </c>
      <c r="D25" s="307" t="inlineStr"/>
      <c r="E25" s="307" t="inlineStr"/>
    </row>
    <row r="26" ht="18" customHeight="1" s="237">
      <c r="A26" s="305" t="n">
        <v>4182</v>
      </c>
      <c r="B26" s="306" t="inlineStr">
        <is>
          <t>환타 제로 오렌지 350CAN 4X6</t>
        </is>
      </c>
      <c r="C26" s="307" t="inlineStr">
        <is>
          <t>9(10/27)</t>
        </is>
      </c>
      <c r="D26" s="307" t="inlineStr"/>
      <c r="E26" s="307" t="inlineStr"/>
    </row>
    <row r="27" ht="18" customHeight="1" s="237">
      <c r="A27" s="305" t="n">
        <v>4182</v>
      </c>
      <c r="B27" s="306" t="inlineStr">
        <is>
          <t>환타 제로 오렌지 350CAN 4X6</t>
        </is>
      </c>
      <c r="C27" s="307" t="inlineStr"/>
      <c r="D27" s="307" t="inlineStr"/>
      <c r="E27" s="307" t="inlineStr">
        <is>
          <t>30(10/28)</t>
        </is>
      </c>
    </row>
    <row r="28" ht="18" customHeight="1" s="237">
      <c r="A28" s="305" t="n">
        <v>4183</v>
      </c>
      <c r="B28" s="306" t="inlineStr">
        <is>
          <t>S)환타 멜론 600PET 4X6</t>
        </is>
      </c>
      <c r="C28" s="307" t="inlineStr">
        <is>
          <t>103(10/27)</t>
        </is>
      </c>
      <c r="D28" s="307" t="inlineStr"/>
      <c r="E28" s="307" t="inlineStr">
        <is>
          <t>29(10/27)</t>
        </is>
      </c>
    </row>
    <row r="29" ht="18" customHeight="1" s="237">
      <c r="A29" s="305" t="n">
        <v>4184</v>
      </c>
      <c r="B29" s="306" t="inlineStr">
        <is>
          <t>S)스프제로 칠 아이스블라스트 350CAN 4X6</t>
        </is>
      </c>
      <c r="C29" s="307" t="inlineStr">
        <is>
          <t>8(10/15)</t>
        </is>
      </c>
      <c r="D29" s="307" t="inlineStr"/>
      <c r="E29" s="307" t="inlineStr">
        <is>
          <t>56(10/15)</t>
        </is>
      </c>
    </row>
    <row r="30" ht="18" customHeight="1" s="237">
      <c r="A30" s="305" t="n">
        <v>4184</v>
      </c>
      <c r="B30" s="306" t="inlineStr">
        <is>
          <t>S)스프제로 칠 아이스블라스트 350CAN 4X6</t>
        </is>
      </c>
      <c r="C30" s="307" t="inlineStr">
        <is>
          <t>28(11/13)</t>
        </is>
      </c>
      <c r="D30" s="307" t="inlineStr"/>
      <c r="E30" s="307" t="inlineStr"/>
    </row>
    <row r="31" ht="18" customHeight="1" s="237">
      <c r="A31" s="305" t="n">
        <v>4259</v>
      </c>
      <c r="B31" s="306" t="inlineStr">
        <is>
          <t>S)봉봉 포도 340CAN 4X6</t>
        </is>
      </c>
      <c r="C31" s="307" t="inlineStr">
        <is>
          <t>6(10/15)</t>
        </is>
      </c>
      <c r="D31" s="307" t="inlineStr"/>
      <c r="E31" s="307" t="inlineStr">
        <is>
          <t>12(10/15)</t>
        </is>
      </c>
    </row>
    <row r="32" ht="18" customHeight="1" s="237">
      <c r="A32" s="305" t="n">
        <v>4259</v>
      </c>
      <c r="B32" s="306" t="inlineStr">
        <is>
          <t>S)봉봉 포도 340CAN 4X6</t>
        </is>
      </c>
      <c r="C32" s="307" t="inlineStr">
        <is>
          <t>3(10/16)</t>
        </is>
      </c>
      <c r="D32" s="307" t="inlineStr"/>
      <c r="E32" s="307" t="inlineStr"/>
    </row>
    <row r="33" ht="18" customHeight="1" s="237">
      <c r="A33" s="305" t="n">
        <v>4281</v>
      </c>
      <c r="B33" s="306" t="inlineStr">
        <is>
          <t>S)코코팜 화이트 240CAN 5X6</t>
        </is>
      </c>
      <c r="C33" s="307" t="inlineStr">
        <is>
          <t>1(10/02)</t>
        </is>
      </c>
      <c r="D33" s="307" t="inlineStr"/>
      <c r="E33" s="307" t="inlineStr">
        <is>
          <t>41(10/02)</t>
        </is>
      </c>
    </row>
    <row r="34" ht="18" customHeight="1" s="237">
      <c r="A34" s="305" t="n">
        <v>4281</v>
      </c>
      <c r="B34" s="306" t="inlineStr">
        <is>
          <t>S)코코팜 화이트 240CAN 5X6</t>
        </is>
      </c>
      <c r="C34" s="307" t="inlineStr">
        <is>
          <t>2(11/13)</t>
        </is>
      </c>
      <c r="D34" s="307" t="inlineStr"/>
      <c r="E34" s="307" t="inlineStr"/>
    </row>
    <row r="35" ht="18" customHeight="1" s="237">
      <c r="A35" s="305" t="n">
        <v>4290</v>
      </c>
      <c r="B35" s="306" t="inlineStr">
        <is>
          <t>S)갈배 사이다 500PET 4X6</t>
        </is>
      </c>
      <c r="C35" s="307" t="inlineStr">
        <is>
          <t>10(11/23)</t>
        </is>
      </c>
      <c r="D35" s="307" t="inlineStr"/>
      <c r="E35" s="307" t="inlineStr">
        <is>
          <t>31(11/23)</t>
        </is>
      </c>
    </row>
    <row r="36" ht="18" customHeight="1" s="237">
      <c r="A36" s="305" t="n">
        <v>4432</v>
      </c>
      <c r="B36" s="306" t="inlineStr">
        <is>
          <t>S)코크제로 500PET 4X6</t>
        </is>
      </c>
      <c r="C36" s="307" t="inlineStr">
        <is>
          <t>68(09/02)</t>
        </is>
      </c>
      <c r="D36" s="307" t="inlineStr"/>
      <c r="E36" s="307" t="inlineStr">
        <is>
          <t>55(09/02)</t>
        </is>
      </c>
    </row>
    <row r="37" ht="18" customHeight="1" s="237">
      <c r="A37" s="305" t="n">
        <v>4432</v>
      </c>
      <c r="B37" s="306" t="inlineStr">
        <is>
          <t>S)코크제로 500PET 4X6</t>
        </is>
      </c>
      <c r="C37" s="307" t="inlineStr">
        <is>
          <t>64(09/03)</t>
        </is>
      </c>
      <c r="D37" s="307" t="inlineStr"/>
      <c r="E37" s="307" t="inlineStr"/>
    </row>
    <row r="38" ht="18" customHeight="1" s="237">
      <c r="A38" s="305" t="n">
        <v>4823</v>
      </c>
      <c r="B38" s="306" t="inlineStr">
        <is>
          <t>환타오렌지250CAN 5X6 M</t>
        </is>
      </c>
      <c r="C38" s="307" t="inlineStr">
        <is>
          <t>9(11/17)</t>
        </is>
      </c>
      <c r="D38" s="307" t="inlineStr"/>
      <c r="E38" s="307" t="inlineStr">
        <is>
          <t>63(11/17)</t>
        </is>
      </c>
    </row>
    <row r="39" ht="18" customHeight="1" s="237">
      <c r="A39" s="305" t="n">
        <v>4872</v>
      </c>
      <c r="B39" s="306" t="inlineStr">
        <is>
          <t>조지아오리지널240C 5X6</t>
        </is>
      </c>
      <c r="C39" s="307" t="inlineStr">
        <is>
          <t>10(12/10)</t>
        </is>
      </c>
      <c r="D39" s="307" t="inlineStr"/>
      <c r="E39" s="307" t="inlineStr"/>
    </row>
    <row r="40" ht="18" customHeight="1" s="237">
      <c r="A40" s="305" t="n">
        <v>4872</v>
      </c>
      <c r="B40" s="306" t="inlineStr">
        <is>
          <t>조지아오리지널240C 5X6</t>
        </is>
      </c>
      <c r="C40" s="307" t="inlineStr">
        <is>
          <t>24(12/11)</t>
        </is>
      </c>
      <c r="D40" s="307" t="inlineStr"/>
      <c r="E40" s="307" t="inlineStr">
        <is>
          <t>111(12/11)</t>
        </is>
      </c>
    </row>
    <row r="41" ht="18" customHeight="1" s="237">
      <c r="A41" s="305" t="n">
        <v>4879</v>
      </c>
      <c r="B41" s="306" t="inlineStr">
        <is>
          <t>조지아카페라테240C 5X6</t>
        </is>
      </c>
      <c r="C41" s="307" t="inlineStr">
        <is>
          <t>5(12/02)</t>
        </is>
      </c>
      <c r="D41" s="307" t="inlineStr"/>
      <c r="E41" s="307" t="inlineStr">
        <is>
          <t>56(12/02)</t>
        </is>
      </c>
    </row>
    <row r="42" ht="18" customHeight="1" s="237">
      <c r="A42" s="305" t="n">
        <v>4899</v>
      </c>
      <c r="B42" s="306" t="inlineStr">
        <is>
          <t>조지아맥스 240C 5X6</t>
        </is>
      </c>
      <c r="C42" s="307" t="inlineStr">
        <is>
          <t>12(11/17)</t>
        </is>
      </c>
      <c r="D42" s="307" t="inlineStr"/>
      <c r="E42" s="307" t="inlineStr">
        <is>
          <t>12(11/17)</t>
        </is>
      </c>
    </row>
    <row r="43" ht="18" customHeight="1" s="237">
      <c r="A43" s="305" t="n">
        <v>4929</v>
      </c>
      <c r="B43" s="306" t="inlineStr">
        <is>
          <t>S)갈아만든 배 340CAN 4X6</t>
        </is>
      </c>
      <c r="C43" s="307" t="inlineStr"/>
      <c r="D43" s="307" t="inlineStr"/>
      <c r="E43" s="307" t="inlineStr">
        <is>
          <t>93(10/21)</t>
        </is>
      </c>
    </row>
    <row r="44" ht="18" customHeight="1" s="237">
      <c r="A44" s="305" t="n">
        <v>4929</v>
      </c>
      <c r="B44" s="306" t="inlineStr">
        <is>
          <t>S)갈아만든 배 340CAN 4X6</t>
        </is>
      </c>
      <c r="C44" s="307" t="inlineStr">
        <is>
          <t>9(10/22)</t>
        </is>
      </c>
      <c r="D44" s="307" t="inlineStr"/>
      <c r="E44" s="307" t="inlineStr"/>
    </row>
    <row r="45" ht="18" customHeight="1" s="237">
      <c r="A45" s="305" t="n">
        <v>4929</v>
      </c>
      <c r="B45" s="306" t="inlineStr">
        <is>
          <t>S)갈아만든 배 340CAN 4X6</t>
        </is>
      </c>
      <c r="C45" s="307" t="inlineStr">
        <is>
          <t>14(10/27)</t>
        </is>
      </c>
      <c r="D45" s="307" t="inlineStr"/>
      <c r="E45" s="307" t="inlineStr"/>
    </row>
    <row r="46" ht="18" customHeight="1" s="237">
      <c r="A46" s="305" t="n">
        <v>4929</v>
      </c>
      <c r="B46" s="306" t="inlineStr">
        <is>
          <t>S)갈아만든 배 340CAN 4X6</t>
        </is>
      </c>
      <c r="C46" s="307" t="inlineStr">
        <is>
          <t>16(11/03)</t>
        </is>
      </c>
      <c r="D46" s="307" t="inlineStr"/>
      <c r="E46" s="307" t="inlineStr"/>
    </row>
    <row r="47" ht="18" customHeight="1" s="237">
      <c r="A47" s="305" t="n">
        <v>4969</v>
      </c>
      <c r="B47" s="306" t="inlineStr">
        <is>
          <t>S)과일촌 아침에사과 500PET 4X6</t>
        </is>
      </c>
      <c r="C47" s="307" t="inlineStr">
        <is>
          <t>49(10/20)</t>
        </is>
      </c>
      <c r="D47" s="307" t="inlineStr"/>
      <c r="E47" s="307" t="inlineStr">
        <is>
          <t>42(10/20)</t>
        </is>
      </c>
    </row>
    <row r="48" ht="18" customHeight="1" s="237">
      <c r="A48" s="305" t="n">
        <v>5191</v>
      </c>
      <c r="B48" s="306" t="inlineStr">
        <is>
          <t>코카콜라 490CAN 6X4</t>
        </is>
      </c>
      <c r="C48" s="307" t="inlineStr">
        <is>
          <t>27(11/18)</t>
        </is>
      </c>
      <c r="D48" s="307" t="inlineStr"/>
      <c r="E48" s="307" t="inlineStr">
        <is>
          <t>64(11/18)</t>
        </is>
      </c>
    </row>
    <row r="49" ht="18" customHeight="1" s="237">
      <c r="A49" s="305" t="n">
        <v>5191</v>
      </c>
      <c r="B49" s="306" t="inlineStr">
        <is>
          <t>코카콜라 490CAN 6X4</t>
        </is>
      </c>
      <c r="C49" s="307" t="inlineStr">
        <is>
          <t>14(12/09)</t>
        </is>
      </c>
      <c r="D49" s="307" t="inlineStr"/>
      <c r="E49" s="307" t="inlineStr"/>
    </row>
    <row r="50" ht="18" customHeight="1" s="237">
      <c r="A50" s="305" t="n">
        <v>5192</v>
      </c>
      <c r="B50" s="306" t="inlineStr">
        <is>
          <t>코크제로 490ml CAN 6X4</t>
        </is>
      </c>
      <c r="C50" s="307" t="inlineStr">
        <is>
          <t>17(11/18)</t>
        </is>
      </c>
      <c r="D50" s="307" t="inlineStr"/>
      <c r="E50" s="307" t="inlineStr">
        <is>
          <t>16(11/18)</t>
        </is>
      </c>
    </row>
    <row r="51" ht="18" customHeight="1" s="237">
      <c r="A51" s="305" t="n">
        <v>5192</v>
      </c>
      <c r="B51" s="306" t="inlineStr">
        <is>
          <t>코크제로 490ml CAN 6X4</t>
        </is>
      </c>
      <c r="C51" s="307" t="inlineStr">
        <is>
          <t>4(12/09)</t>
        </is>
      </c>
      <c r="D51" s="307" t="inlineStr"/>
      <c r="E51" s="307" t="inlineStr"/>
    </row>
    <row r="52" ht="18" customHeight="1" s="237">
      <c r="A52" s="305" t="n">
        <v>5194</v>
      </c>
      <c r="B52" s="306" t="inlineStr">
        <is>
          <t>S)코크제로 레몬 350CAN 4X6</t>
        </is>
      </c>
      <c r="C52" s="307" t="inlineStr">
        <is>
          <t>18(05/19)</t>
        </is>
      </c>
      <c r="D52" s="307" t="inlineStr"/>
      <c r="E52" s="307" t="inlineStr">
        <is>
          <t>8(05/19)</t>
        </is>
      </c>
    </row>
    <row r="53" ht="18" customHeight="1" s="237">
      <c r="A53" s="305" t="n">
        <v>5201</v>
      </c>
      <c r="B53" s="306" t="inlineStr">
        <is>
          <t>S)코크제로 제로 500PET 4X6</t>
        </is>
      </c>
      <c r="C53" s="307" t="inlineStr">
        <is>
          <t>1(11/25)</t>
        </is>
      </c>
      <c r="D53" s="307" t="inlineStr"/>
      <c r="E53" s="307" t="inlineStr">
        <is>
          <t>2(11/25)</t>
        </is>
      </c>
    </row>
    <row r="54" ht="18" customHeight="1" s="237">
      <c r="A54" s="305" t="n">
        <v>5201</v>
      </c>
      <c r="B54" s="306" t="inlineStr">
        <is>
          <t>S)코크제로 제로 500PET 4X6</t>
        </is>
      </c>
      <c r="C54" s="307" t="inlineStr">
        <is>
          <t>59(12/02)</t>
        </is>
      </c>
      <c r="D54" s="307" t="inlineStr"/>
      <c r="E54" s="307" t="inlineStr"/>
    </row>
    <row r="55" ht="18" customHeight="1" s="237">
      <c r="A55" s="305" t="n">
        <v>5312</v>
      </c>
      <c r="B55" s="306" t="inlineStr">
        <is>
          <t>환타 파인 250CAN 5X6</t>
        </is>
      </c>
      <c r="C55" s="307" t="inlineStr">
        <is>
          <t>4(09/19)</t>
        </is>
      </c>
      <c r="D55" s="307" t="inlineStr"/>
      <c r="E55" s="307" t="inlineStr">
        <is>
          <t>121(09/19)</t>
        </is>
      </c>
    </row>
    <row r="56" ht="18" customHeight="1" s="237">
      <c r="A56" s="305" t="n">
        <v>5375</v>
      </c>
      <c r="B56" s="306" t="inlineStr">
        <is>
          <t>영진 구론산 탄산 오리지날 150NRB 3X10</t>
        </is>
      </c>
      <c r="C56" s="307" t="inlineStr">
        <is>
          <t>40(11/13)</t>
        </is>
      </c>
      <c r="D56" s="307" t="inlineStr"/>
      <c r="E56" s="307" t="inlineStr">
        <is>
          <t>106(11/13)</t>
        </is>
      </c>
    </row>
    <row r="57" ht="18" customHeight="1" s="237">
      <c r="A57" s="305" t="n">
        <v>5628</v>
      </c>
      <c r="B57" s="306" t="inlineStr">
        <is>
          <t>몬스터 에너지 제로슈거 355CAN 4X6</t>
        </is>
      </c>
      <c r="C57" s="307" t="inlineStr">
        <is>
          <t>26(09/04)</t>
        </is>
      </c>
      <c r="D57" s="307" t="inlineStr"/>
      <c r="E57" s="307" t="inlineStr">
        <is>
          <t>42(09/04)</t>
        </is>
      </c>
    </row>
    <row r="58" ht="18" customHeight="1" s="237">
      <c r="A58" s="305" t="n">
        <v>5636</v>
      </c>
      <c r="B58" s="306" t="inlineStr">
        <is>
          <t>몬스터 에너지 펀치 355CAN 4X6</t>
        </is>
      </c>
      <c r="C58" s="307" t="inlineStr">
        <is>
          <t>41(11/11)</t>
        </is>
      </c>
      <c r="D58" s="307" t="inlineStr"/>
      <c r="E58" s="307" t="inlineStr">
        <is>
          <t>91(11/11)</t>
        </is>
      </c>
    </row>
    <row r="59" ht="18" customHeight="1" s="237">
      <c r="A59" s="305" t="n">
        <v>5639</v>
      </c>
      <c r="B59" s="306" t="inlineStr">
        <is>
          <t>몬스터 에너지 시트라 355CAN 4X6</t>
        </is>
      </c>
      <c r="C59" s="307" t="inlineStr">
        <is>
          <t>18(09/15)</t>
        </is>
      </c>
      <c r="D59" s="307" t="inlineStr"/>
      <c r="E59" s="307" t="inlineStr">
        <is>
          <t>25(09/15)</t>
        </is>
      </c>
    </row>
    <row r="60" ht="18" customHeight="1" s="237">
      <c r="A60" s="305" t="n">
        <v>5641</v>
      </c>
      <c r="B60" s="306" t="inlineStr">
        <is>
          <t>몬스터에너지그린355C 4X6</t>
        </is>
      </c>
      <c r="C60" s="307" t="inlineStr">
        <is>
          <t>36(10/21)</t>
        </is>
      </c>
      <c r="D60" s="307" t="inlineStr"/>
      <c r="E60" s="307" t="inlineStr">
        <is>
          <t>6(10/21)</t>
        </is>
      </c>
    </row>
    <row r="61" ht="18" customHeight="1" s="237">
      <c r="A61" s="305" t="n">
        <v>5641</v>
      </c>
      <c r="B61" s="306" t="inlineStr">
        <is>
          <t>몬스터에너지그린355C 4X6</t>
        </is>
      </c>
      <c r="C61" s="307" t="inlineStr">
        <is>
          <t>4(11/03)</t>
        </is>
      </c>
      <c r="D61" s="307" t="inlineStr"/>
      <c r="E61" s="307" t="inlineStr"/>
    </row>
    <row r="62" ht="18" customHeight="1" s="237">
      <c r="A62" s="305" t="n">
        <v>5643</v>
      </c>
      <c r="B62" s="306" t="inlineStr">
        <is>
          <t>몬스터 에너지 울트라 355CAN 4X6</t>
        </is>
      </c>
      <c r="C62" s="307" t="inlineStr">
        <is>
          <t>12(11/06)</t>
        </is>
      </c>
      <c r="D62" s="307" t="inlineStr"/>
      <c r="E62" s="307" t="inlineStr">
        <is>
          <t>89(11/06)</t>
        </is>
      </c>
    </row>
    <row r="63" ht="18" customHeight="1" s="237">
      <c r="A63" s="305" t="n">
        <v>5643</v>
      </c>
      <c r="B63" s="306" t="inlineStr">
        <is>
          <t>몬스터 에너지 울트라 355CAN 4X6</t>
        </is>
      </c>
      <c r="C63" s="307" t="inlineStr">
        <is>
          <t>58(11/17)</t>
        </is>
      </c>
      <c r="D63" s="307" t="inlineStr"/>
      <c r="E63" s="307" t="inlineStr"/>
    </row>
    <row r="64" ht="18" customHeight="1" s="237">
      <c r="A64" s="305" t="n">
        <v>5656</v>
      </c>
      <c r="B64" s="306" t="inlineStr">
        <is>
          <t>몬스터 에너지 망고로코 355CAN 4X6</t>
        </is>
      </c>
      <c r="C64" s="307" t="inlineStr">
        <is>
          <t>23(11/12)</t>
        </is>
      </c>
      <c r="D64" s="307" t="inlineStr"/>
      <c r="E64" s="307" t="inlineStr">
        <is>
          <t>60(11/12)</t>
        </is>
      </c>
    </row>
    <row r="65" ht="18" customHeight="1" s="237">
      <c r="A65" s="305" t="n">
        <v>5656</v>
      </c>
      <c r="B65" s="306" t="inlineStr">
        <is>
          <t>몬스터 에너지 망고로코 355CAN 4X6</t>
        </is>
      </c>
      <c r="C65" s="307" t="inlineStr">
        <is>
          <t>10(12/08)</t>
        </is>
      </c>
      <c r="D65" s="307" t="inlineStr"/>
      <c r="E65" s="307" t="inlineStr"/>
    </row>
    <row r="66" ht="18" customHeight="1" s="237">
      <c r="A66" s="305" t="n">
        <v>5664</v>
      </c>
      <c r="B66" s="306" t="inlineStr">
        <is>
          <t>몬스터 에너지 피치킨 355CAN 4X6</t>
        </is>
      </c>
      <c r="C66" s="307" t="inlineStr">
        <is>
          <t>10(11/20)</t>
        </is>
      </c>
      <c r="D66" s="307" t="inlineStr"/>
      <c r="E66" s="307" t="inlineStr">
        <is>
          <t>27(11/20)</t>
        </is>
      </c>
    </row>
    <row r="67" ht="18" customHeight="1" s="237">
      <c r="A67" s="305" t="n">
        <v>5664</v>
      </c>
      <c r="B67" s="306" t="inlineStr">
        <is>
          <t>몬스터 에너지 피치킨 355CAN 4X6</t>
        </is>
      </c>
      <c r="C67" s="307" t="inlineStr">
        <is>
          <t>14(12/08)</t>
        </is>
      </c>
      <c r="D67" s="307" t="inlineStr"/>
      <c r="E67" s="307" t="inlineStr"/>
    </row>
    <row r="68" ht="18" customHeight="1" s="237">
      <c r="A68" s="305" t="n">
        <v>5668</v>
      </c>
      <c r="B68" s="306" t="inlineStr">
        <is>
          <t>몬스터 오지 레모네이드 355CAN 4X6</t>
        </is>
      </c>
      <c r="C68" s="307" t="inlineStr">
        <is>
          <t>1(07/31)</t>
        </is>
      </c>
      <c r="D68" s="307" t="inlineStr"/>
      <c r="E68" s="307" t="inlineStr">
        <is>
          <t>85(07/31)</t>
        </is>
      </c>
    </row>
    <row r="69" ht="18" customHeight="1" s="237">
      <c r="A69" s="305" t="n">
        <v>5668</v>
      </c>
      <c r="B69" s="306" t="inlineStr">
        <is>
          <t>몬스터 오지 레모네이드 355CAN 4X6</t>
        </is>
      </c>
      <c r="C69" s="307" t="inlineStr">
        <is>
          <t>13(09/15)</t>
        </is>
      </c>
      <c r="D69" s="307" t="inlineStr"/>
      <c r="E69" s="307" t="inlineStr">
        <is>
          <t>103(09/15)</t>
        </is>
      </c>
    </row>
    <row r="70" ht="18" customHeight="1" s="237">
      <c r="A70" s="305" t="n">
        <v>5672</v>
      </c>
      <c r="B70" s="306" t="inlineStr">
        <is>
          <t>몬스터 에너지 그린 500CAN 4X6</t>
        </is>
      </c>
      <c r="C70" s="307" t="inlineStr">
        <is>
          <t>15(07/17)</t>
        </is>
      </c>
      <c r="D70" s="307" t="inlineStr"/>
      <c r="E70" s="307" t="inlineStr">
        <is>
          <t>6(07/17)</t>
        </is>
      </c>
    </row>
    <row r="71" ht="18" customHeight="1" s="237">
      <c r="A71" s="305" t="n">
        <v>5672</v>
      </c>
      <c r="B71" s="306" t="inlineStr">
        <is>
          <t>몬스터 에너지 그린 500CAN 4X6</t>
        </is>
      </c>
      <c r="C71" s="307" t="inlineStr">
        <is>
          <t>8(07/18)</t>
        </is>
      </c>
      <c r="D71" s="307" t="inlineStr"/>
      <c r="E71" s="307" t="inlineStr"/>
    </row>
    <row r="72" ht="18" customHeight="1" s="237">
      <c r="A72" s="305" t="n">
        <v>5673</v>
      </c>
      <c r="B72" s="306" t="inlineStr">
        <is>
          <t>몬스터 에너지 울트라 500CAN 4X6</t>
        </is>
      </c>
      <c r="C72" s="307" t="inlineStr">
        <is>
          <t>37(10/22)</t>
        </is>
      </c>
      <c r="D72" s="307" t="inlineStr"/>
      <c r="E72" s="307" t="inlineStr">
        <is>
          <t>69(10/22)</t>
        </is>
      </c>
    </row>
    <row r="73" ht="18" customHeight="1" s="237">
      <c r="A73" s="305" t="n">
        <v>5676</v>
      </c>
      <c r="B73" s="306" t="inlineStr">
        <is>
          <t>S)몬스터 스트로베리 드림즈 355CAN 4X6</t>
        </is>
      </c>
      <c r="C73" s="307" t="inlineStr">
        <is>
          <t>1(10/22)</t>
        </is>
      </c>
      <c r="D73" s="307" t="inlineStr"/>
      <c r="E73" s="307" t="inlineStr">
        <is>
          <t>55(10/22)</t>
        </is>
      </c>
    </row>
    <row r="74" ht="18" customHeight="1" s="237">
      <c r="A74" s="305" t="n">
        <v>5676</v>
      </c>
      <c r="B74" s="306" t="inlineStr">
        <is>
          <t>S)몬스터 스트로베리 드림즈 355CAN 4X6</t>
        </is>
      </c>
      <c r="C74" s="307" t="inlineStr">
        <is>
          <t>14(11/19)</t>
        </is>
      </c>
      <c r="D74" s="307" t="inlineStr"/>
      <c r="E74" s="307" t="inlineStr"/>
    </row>
    <row r="75" ht="18" customHeight="1" s="237">
      <c r="A75" s="305" t="n">
        <v>5679</v>
      </c>
      <c r="B75" s="306" t="inlineStr">
        <is>
          <t>S)몬스터 에너지 파피용 355CAN 4X6</t>
        </is>
      </c>
      <c r="C75" s="307" t="inlineStr">
        <is>
          <t>16(12/03)</t>
        </is>
      </c>
      <c r="D75" s="307" t="inlineStr"/>
      <c r="E75" s="307" t="inlineStr">
        <is>
          <t>75(12/03)</t>
        </is>
      </c>
    </row>
    <row r="76" ht="18" customHeight="1" s="237">
      <c r="A76" s="305" t="n">
        <v>5748</v>
      </c>
      <c r="B76" s="306" t="inlineStr">
        <is>
          <t>환타오렌지(S) 600P 4X6</t>
        </is>
      </c>
      <c r="C76" s="307" t="inlineStr">
        <is>
          <t>1(11/06)</t>
        </is>
      </c>
      <c r="D76" s="307" t="inlineStr"/>
      <c r="E76" s="307" t="inlineStr"/>
    </row>
    <row r="77" ht="18" customHeight="1" s="237">
      <c r="A77" s="305" t="n">
        <v>5748</v>
      </c>
      <c r="B77" s="306" t="inlineStr">
        <is>
          <t>환타오렌지(S) 600P 4X6</t>
        </is>
      </c>
      <c r="C77" s="307" t="inlineStr">
        <is>
          <t>58(11/07) 14(11/07)</t>
        </is>
      </c>
      <c r="D77" s="307" t="inlineStr"/>
      <c r="E77" s="307" t="inlineStr">
        <is>
          <t>5(11/07)</t>
        </is>
      </c>
    </row>
    <row r="78" ht="18" customHeight="1" s="237">
      <c r="A78" s="305" t="n">
        <v>5749</v>
      </c>
      <c r="B78" s="306" t="inlineStr">
        <is>
          <t>S)환타 파인 600PET 4X6</t>
        </is>
      </c>
      <c r="C78" s="307" t="inlineStr">
        <is>
          <t>50(11/24)</t>
        </is>
      </c>
      <c r="D78" s="307" t="inlineStr"/>
      <c r="E78" s="307" t="inlineStr">
        <is>
          <t>13(11/24)</t>
        </is>
      </c>
    </row>
    <row r="79" ht="18" customHeight="1" s="237">
      <c r="A79" s="305" t="n">
        <v>5769</v>
      </c>
      <c r="B79" s="306" t="inlineStr">
        <is>
          <t>S)코크제로 제로 350CAN 4X6</t>
        </is>
      </c>
      <c r="C79" s="307" t="inlineStr">
        <is>
          <t>7(04/29)</t>
        </is>
      </c>
      <c r="D79" s="307" t="inlineStr"/>
      <c r="E79" s="307" t="inlineStr">
        <is>
          <t>41(04/29)</t>
        </is>
      </c>
    </row>
    <row r="80" ht="18" customHeight="1" s="237">
      <c r="A80" s="305" t="n">
        <v>5771</v>
      </c>
      <c r="B80" s="306" t="inlineStr">
        <is>
          <t>코크제로 제로 250CAN 5X6</t>
        </is>
      </c>
      <c r="C80" s="307" t="inlineStr">
        <is>
          <t>2(05/17)</t>
        </is>
      </c>
      <c r="D80" s="307" t="inlineStr"/>
      <c r="E80" s="307" t="inlineStr">
        <is>
          <t>25(05/17)</t>
        </is>
      </c>
    </row>
    <row r="81" ht="18" customHeight="1" s="237">
      <c r="A81" s="305" t="n">
        <v>5777</v>
      </c>
      <c r="B81" s="306" t="inlineStr">
        <is>
          <t>코크제로 350CAN 4X6</t>
        </is>
      </c>
      <c r="C81" s="307" t="inlineStr">
        <is>
          <t>44(11/18)</t>
        </is>
      </c>
      <c r="D81" s="307" t="inlineStr"/>
      <c r="E81" s="307" t="inlineStr">
        <is>
          <t>66(11/18)</t>
        </is>
      </c>
    </row>
    <row r="82" ht="18" customHeight="1" s="237">
      <c r="A82" s="305" t="n">
        <v>5777</v>
      </c>
      <c r="B82" s="306" t="inlineStr">
        <is>
          <t>코크제로 350CAN 4X6</t>
        </is>
      </c>
      <c r="C82" s="307" t="inlineStr">
        <is>
          <t>7(12/02)</t>
        </is>
      </c>
      <c r="D82" s="307" t="inlineStr"/>
      <c r="E82" s="307" t="inlineStr"/>
    </row>
    <row r="83" ht="18" customHeight="1" s="237">
      <c r="A83" s="305" t="n">
        <v>5777</v>
      </c>
      <c r="B83" s="306" t="inlineStr">
        <is>
          <t>코크제로 350CAN 4X6</t>
        </is>
      </c>
      <c r="C83" s="307" t="inlineStr">
        <is>
          <t>21(12/03)</t>
        </is>
      </c>
      <c r="D83" s="307" t="inlineStr"/>
      <c r="E83" s="307" t="inlineStr"/>
    </row>
    <row r="84" ht="18" customHeight="1" s="237">
      <c r="A84" s="305" t="n">
        <v>5782</v>
      </c>
      <c r="B84" s="306" t="inlineStr">
        <is>
          <t>코크제로 체리 500PET 4X6</t>
        </is>
      </c>
      <c r="C84" s="307" t="inlineStr">
        <is>
          <t>10(11/17)</t>
        </is>
      </c>
      <c r="D84" s="307" t="inlineStr"/>
      <c r="E84" s="307" t="inlineStr">
        <is>
          <t>49(11/17)</t>
        </is>
      </c>
    </row>
    <row r="85" ht="18" customHeight="1" s="237">
      <c r="A85" s="305" t="n">
        <v>5782</v>
      </c>
      <c r="B85" s="306" t="inlineStr">
        <is>
          <t>코크제로 체리 500PET 4X6</t>
        </is>
      </c>
      <c r="C85" s="307" t="inlineStr">
        <is>
          <t>45(11/26)</t>
        </is>
      </c>
      <c r="D85" s="307" t="inlineStr"/>
      <c r="E85" s="307" t="inlineStr">
        <is>
          <t>41(11/26)</t>
        </is>
      </c>
    </row>
    <row r="86" ht="18" customHeight="1" s="237">
      <c r="A86" s="305" t="n">
        <v>6103</v>
      </c>
      <c r="B86" s="306" t="inlineStr">
        <is>
          <t>S)스프라이트 제로 500PET 4X6</t>
        </is>
      </c>
      <c r="C86" s="307" t="inlineStr">
        <is>
          <t>15(08/18) 34(08/18)</t>
        </is>
      </c>
      <c r="D86" s="307" t="inlineStr"/>
      <c r="E86" s="307" t="inlineStr">
        <is>
          <t>48(08/18)</t>
        </is>
      </c>
    </row>
    <row r="87" ht="18" customHeight="1" s="237">
      <c r="A87" s="305" t="n">
        <v>6111</v>
      </c>
      <c r="B87" s="306" t="inlineStr">
        <is>
          <t>스프라이트(신250C 5X6</t>
        </is>
      </c>
      <c r="C87" s="307" t="inlineStr">
        <is>
          <t>3(07/15)</t>
        </is>
      </c>
      <c r="D87" s="307" t="inlineStr"/>
      <c r="E87" s="307" t="inlineStr">
        <is>
          <t>119(07/15)</t>
        </is>
      </c>
    </row>
    <row r="88" ht="18" customHeight="1" s="237">
      <c r="A88" s="305" t="n">
        <v>6117</v>
      </c>
      <c r="B88" s="306" t="inlineStr">
        <is>
          <t>스프라이트(신500P 4X6</t>
        </is>
      </c>
      <c r="C88" s="307" t="inlineStr">
        <is>
          <t>19(11/17)</t>
        </is>
      </c>
      <c r="D88" s="307" t="inlineStr"/>
      <c r="E88" s="307" t="inlineStr">
        <is>
          <t>58(11/17)</t>
        </is>
      </c>
    </row>
    <row r="89" ht="18" customHeight="1" s="237">
      <c r="A89" s="305" t="n">
        <v>6117</v>
      </c>
      <c r="B89" s="306" t="inlineStr">
        <is>
          <t>스프라이트(신500P 4X6</t>
        </is>
      </c>
      <c r="C89" s="307" t="inlineStr">
        <is>
          <t>33(11/23)</t>
        </is>
      </c>
      <c r="D89" s="307" t="inlineStr"/>
      <c r="E89" s="307" t="inlineStr"/>
    </row>
    <row r="90" ht="18" customHeight="1" s="237">
      <c r="A90" s="305" t="n">
        <v>6117</v>
      </c>
      <c r="B90" s="306" t="inlineStr">
        <is>
          <t>스프라이트(신500P 4X6</t>
        </is>
      </c>
      <c r="C90" s="307" t="inlineStr">
        <is>
          <t>50(11/24)</t>
        </is>
      </c>
      <c r="D90" s="307" t="inlineStr"/>
      <c r="E90" s="307" t="inlineStr"/>
    </row>
    <row r="91" ht="18" customHeight="1" s="237">
      <c r="A91" s="305" t="n">
        <v>6120</v>
      </c>
      <c r="B91" s="306" t="inlineStr">
        <is>
          <t>S스프라이트(신1.5P 2X6</t>
        </is>
      </c>
      <c r="C91" s="307" t="inlineStr">
        <is>
          <t>79(11/23)</t>
        </is>
      </c>
      <c r="D91" s="307" t="inlineStr"/>
      <c r="E91" s="307" t="inlineStr"/>
    </row>
    <row r="92" ht="18" customHeight="1" s="237">
      <c r="A92" s="305" t="n">
        <v>6120</v>
      </c>
      <c r="B92" s="306" t="inlineStr">
        <is>
          <t>S스프라이트(신1.5P 2X6</t>
        </is>
      </c>
      <c r="C92" s="307" t="inlineStr"/>
      <c r="D92" s="307" t="inlineStr"/>
      <c r="E92" s="307" t="inlineStr">
        <is>
          <t>10(11/24)</t>
        </is>
      </c>
    </row>
    <row r="93" ht="18" customHeight="1" s="237">
      <c r="A93" s="305" t="n">
        <v>6277</v>
      </c>
      <c r="B93" s="306" t="inlineStr">
        <is>
          <t>파워 퍼플스톰 600PET 4X6</t>
        </is>
      </c>
      <c r="C93" s="307" t="inlineStr">
        <is>
          <t>63(11/21)</t>
        </is>
      </c>
      <c r="D93" s="307" t="inlineStr"/>
      <c r="E93" s="307" t="inlineStr">
        <is>
          <t>44(11/21)</t>
        </is>
      </c>
    </row>
    <row r="94" ht="18" customHeight="1" s="237">
      <c r="A94" s="305" t="n">
        <v>6285</v>
      </c>
      <c r="B94" s="306" t="inlineStr">
        <is>
          <t>S)파워 스칼렛스톰 600PET 4X6</t>
        </is>
      </c>
      <c r="C94" s="307" t="inlineStr">
        <is>
          <t>37(09/22)</t>
        </is>
      </c>
      <c r="D94" s="307" t="inlineStr"/>
      <c r="E94" s="307" t="inlineStr">
        <is>
          <t>32(09/22)</t>
        </is>
      </c>
    </row>
    <row r="95" ht="18" customHeight="1" s="237">
      <c r="A95" s="305" t="n">
        <v>6285</v>
      </c>
      <c r="B95" s="306" t="inlineStr">
        <is>
          <t>S)파워 스칼렛스톰 600PET 4X6</t>
        </is>
      </c>
      <c r="C95" s="307" t="inlineStr">
        <is>
          <t>53(10/27)</t>
        </is>
      </c>
      <c r="D95" s="307" t="inlineStr"/>
      <c r="E95" s="307" t="inlineStr">
        <is>
          <t>28(10/27)</t>
        </is>
      </c>
    </row>
    <row r="96" ht="18" customHeight="1" s="237">
      <c r="A96" s="305" t="n">
        <v>6349</v>
      </c>
      <c r="B96" s="306" t="inlineStr">
        <is>
          <t>환타오렌지(S) 1.5P 2X6</t>
        </is>
      </c>
      <c r="C96" s="307" t="inlineStr">
        <is>
          <t>67(11/10)</t>
        </is>
      </c>
      <c r="D96" s="307" t="inlineStr"/>
      <c r="E96" s="307" t="inlineStr">
        <is>
          <t>15(11/10)</t>
        </is>
      </c>
    </row>
    <row r="97" ht="18" customHeight="1" s="237">
      <c r="A97" s="305" t="n">
        <v>6509</v>
      </c>
      <c r="B97" s="306" t="inlineStr">
        <is>
          <t>S)MM오리지널0R100 1.5P 2X6</t>
        </is>
      </c>
      <c r="C97" s="307" t="inlineStr">
        <is>
          <t>22(07/14)</t>
        </is>
      </c>
      <c r="D97" s="307" t="inlineStr"/>
      <c r="E97" s="307" t="inlineStr">
        <is>
          <t>15(07/14)</t>
        </is>
      </c>
    </row>
    <row r="98" ht="18" customHeight="1" s="237">
      <c r="A98" s="305" t="n">
        <v>6509</v>
      </c>
      <c r="B98" s="306" t="inlineStr">
        <is>
          <t>S)MM오리지널0R100 1.5P 2X6</t>
        </is>
      </c>
      <c r="C98" s="307" t="inlineStr">
        <is>
          <t>2(08/24)</t>
        </is>
      </c>
      <c r="D98" s="307" t="inlineStr"/>
      <c r="E98" s="307" t="inlineStr"/>
    </row>
    <row r="99" ht="18" customHeight="1" s="237">
      <c r="A99" s="305" t="n">
        <v>6676</v>
      </c>
      <c r="B99" s="306" t="inlineStr">
        <is>
          <t>S)코카콜라 500PET 4X6</t>
        </is>
      </c>
      <c r="C99" s="307" t="inlineStr">
        <is>
          <t>39(12/02)</t>
        </is>
      </c>
      <c r="D99" s="307" t="inlineStr"/>
      <c r="E99" s="307" t="inlineStr">
        <is>
          <t>25(12/02)</t>
        </is>
      </c>
    </row>
    <row r="100" ht="18" customHeight="1" s="237">
      <c r="A100" s="305" t="n">
        <v>6676</v>
      </c>
      <c r="B100" s="306" t="inlineStr">
        <is>
          <t>S)코카콜라 500PET 4X6</t>
        </is>
      </c>
      <c r="C100" s="307" t="inlineStr">
        <is>
          <t>103(12/10)</t>
        </is>
      </c>
      <c r="D100" s="307" t="inlineStr"/>
      <c r="E100" s="307" t="inlineStr"/>
    </row>
    <row r="101" ht="18" customHeight="1" s="237">
      <c r="A101" s="305" t="n">
        <v>6705</v>
      </c>
      <c r="B101" s="306" t="inlineStr">
        <is>
          <t>S)MM오리지널OR100 350P 4X6</t>
        </is>
      </c>
      <c r="C101" s="307" t="inlineStr">
        <is>
          <t>7(08/09)</t>
        </is>
      </c>
      <c r="D101" s="307" t="inlineStr"/>
      <c r="E101" s="307" t="inlineStr">
        <is>
          <t>54(08/09)</t>
        </is>
      </c>
    </row>
    <row r="102" ht="18" customHeight="1" s="237">
      <c r="A102" s="305" t="n">
        <v>6871</v>
      </c>
      <c r="B102" s="306" t="inlineStr">
        <is>
          <t>S)파워 마운틴블라 600PET 4X6</t>
        </is>
      </c>
      <c r="C102" s="307" t="inlineStr">
        <is>
          <t>87(12/02)</t>
        </is>
      </c>
      <c r="D102" s="307" t="inlineStr"/>
      <c r="E102" s="307" t="inlineStr">
        <is>
          <t>39(12/02)</t>
        </is>
      </c>
    </row>
    <row r="103" ht="18" customHeight="1" s="237">
      <c r="A103" s="305" t="n">
        <v>7719</v>
      </c>
      <c r="B103" s="306" t="inlineStr">
        <is>
          <t>S)봉봉 복숭아 340CAN 4X6</t>
        </is>
      </c>
      <c r="C103" s="307" t="inlineStr"/>
      <c r="D103" s="307" t="inlineStr"/>
      <c r="E103" s="307" t="inlineStr">
        <is>
          <t>111(06/15)</t>
        </is>
      </c>
    </row>
    <row r="104" ht="18" customHeight="1" s="237">
      <c r="A104" s="305" t="n">
        <v>7719</v>
      </c>
      <c r="B104" s="306" t="inlineStr">
        <is>
          <t>S)봉봉 복숭아 340CAN 4X6</t>
        </is>
      </c>
      <c r="C104" s="307" t="inlineStr">
        <is>
          <t>1(08/21)</t>
        </is>
      </c>
      <c r="D104" s="307" t="inlineStr"/>
      <c r="E104" s="307" t="inlineStr"/>
    </row>
    <row r="105" ht="18" customHeight="1" s="237">
      <c r="A105" s="305" t="n">
        <v>7721</v>
      </c>
      <c r="B105" s="306" t="inlineStr">
        <is>
          <t>S)봉봉 알로에큐브 복숭아 500PET 4X6</t>
        </is>
      </c>
      <c r="C105" s="307" t="inlineStr"/>
      <c r="D105" s="307" t="inlineStr"/>
      <c r="E105" s="307" t="inlineStr">
        <is>
          <t>39(11/09)</t>
        </is>
      </c>
    </row>
    <row r="106" ht="18" customHeight="1" s="237">
      <c r="A106" s="305" t="n">
        <v>7923</v>
      </c>
      <c r="B106" s="306" t="inlineStr">
        <is>
          <t>S)코카-콜라1.5PET 2X6</t>
        </is>
      </c>
      <c r="C106" s="307" t="inlineStr">
        <is>
          <t>111(12/03)</t>
        </is>
      </c>
      <c r="D106" s="307" t="inlineStr"/>
      <c r="E106" s="307" t="inlineStr">
        <is>
          <t>24(12/03)</t>
        </is>
      </c>
    </row>
    <row r="107" ht="18" customHeight="1" s="237">
      <c r="A107" s="305" t="n">
        <v>7923</v>
      </c>
      <c r="B107" s="306" t="inlineStr">
        <is>
          <t>S)코카-콜라1.5PET 2X6</t>
        </is>
      </c>
      <c r="C107" s="307" t="inlineStr">
        <is>
          <t>64(12/11)</t>
        </is>
      </c>
      <c r="D107" s="307" t="inlineStr"/>
      <c r="E107" s="307" t="inlineStr"/>
    </row>
    <row r="108" ht="18" customHeight="1" s="237">
      <c r="A108" s="305" t="n">
        <v>7949</v>
      </c>
      <c r="B108" s="306" t="inlineStr">
        <is>
          <t>미닛 오+포+알 180NRB 3X12</t>
        </is>
      </c>
      <c r="C108" s="307" t="inlineStr">
        <is>
          <t>1(08/04)</t>
        </is>
      </c>
      <c r="D108" s="307" t="inlineStr"/>
      <c r="E108" s="307" t="inlineStr">
        <is>
          <t>7(08/04)</t>
        </is>
      </c>
    </row>
    <row r="109" ht="18" customHeight="1" s="237">
      <c r="A109" s="305" t="n">
        <v>7949</v>
      </c>
      <c r="B109" s="306" t="inlineStr">
        <is>
          <t>미닛 오+포+알 180NRB 3X12</t>
        </is>
      </c>
      <c r="C109" s="307" t="inlineStr">
        <is>
          <t>24(08/18)</t>
        </is>
      </c>
      <c r="D109" s="307" t="inlineStr"/>
      <c r="E109" s="307" t="inlineStr"/>
    </row>
    <row r="110" ht="18" customHeight="1" s="237">
      <c r="A110" s="305" t="n">
        <v>7988</v>
      </c>
      <c r="B110" s="306" t="inlineStr">
        <is>
          <t>닥터페퍼 500PET 4X6</t>
        </is>
      </c>
      <c r="C110" s="307" t="inlineStr">
        <is>
          <t>25(10/28)</t>
        </is>
      </c>
      <c r="D110" s="307" t="inlineStr"/>
      <c r="E110" s="307" t="inlineStr">
        <is>
          <t>52(10/28)</t>
        </is>
      </c>
    </row>
    <row r="111" ht="18" customHeight="1" s="237">
      <c r="A111" s="305" t="n">
        <v>7994</v>
      </c>
      <c r="B111" s="306" t="inlineStr">
        <is>
          <t>닥터페퍼 제로 350CAN 4X6</t>
        </is>
      </c>
      <c r="C111" s="307" t="inlineStr">
        <is>
          <t>38(11/17)</t>
        </is>
      </c>
      <c r="D111" s="307" t="inlineStr"/>
      <c r="E111" s="307" t="inlineStr">
        <is>
          <t>52(11/17)</t>
        </is>
      </c>
    </row>
    <row r="112" ht="18" customHeight="1" s="237">
      <c r="A112" s="305" t="n">
        <v>8058</v>
      </c>
      <c r="B112" s="306" t="inlineStr">
        <is>
          <t>조지아 크래프트 스윗블랙 470PET 4X6</t>
        </is>
      </c>
      <c r="C112" s="307" t="inlineStr">
        <is>
          <t>18(10/14)</t>
        </is>
      </c>
      <c r="D112" s="307" t="inlineStr"/>
      <c r="E112" s="307" t="inlineStr">
        <is>
          <t>21(10/14)</t>
        </is>
      </c>
    </row>
    <row r="113" ht="18" customHeight="1" s="237">
      <c r="A113" s="305" t="n">
        <v>8058</v>
      </c>
      <c r="B113" s="306" t="inlineStr">
        <is>
          <t>조지아 크래프트 스윗블랙 470PET 4X6</t>
        </is>
      </c>
      <c r="C113" s="307" t="inlineStr">
        <is>
          <t>26(10/29)</t>
        </is>
      </c>
      <c r="D113" s="307" t="inlineStr"/>
      <c r="E113" s="307" t="inlineStr">
        <is>
          <t>40(10/29)</t>
        </is>
      </c>
    </row>
    <row r="114" ht="18" customHeight="1" s="237">
      <c r="A114" s="305" t="n">
        <v>8058</v>
      </c>
      <c r="B114" s="306" t="inlineStr">
        <is>
          <t>조지아 크래프트 스윗블랙 470PET 4X6</t>
        </is>
      </c>
      <c r="C114" s="307" t="inlineStr">
        <is>
          <t>6(11/24)</t>
        </is>
      </c>
      <c r="D114" s="307" t="inlineStr"/>
      <c r="E114" s="307" t="inlineStr"/>
    </row>
    <row r="115" ht="18" customHeight="1" s="237">
      <c r="A115" s="305" t="n">
        <v>8065</v>
      </c>
      <c r="B115" s="306" t="inlineStr">
        <is>
          <t>조지아 크래프트 블랙 470PET 4X6</t>
        </is>
      </c>
      <c r="C115" s="307" t="inlineStr">
        <is>
          <t>19(11/02)</t>
        </is>
      </c>
      <c r="D115" s="307" t="inlineStr"/>
      <c r="E115" s="307" t="inlineStr">
        <is>
          <t>7(11/02)</t>
        </is>
      </c>
    </row>
    <row r="116" ht="18" customHeight="1" s="237">
      <c r="A116" s="305" t="n">
        <v>8065</v>
      </c>
      <c r="B116" s="306" t="inlineStr">
        <is>
          <t>조지아 크래프트 블랙 470PET 4X6</t>
        </is>
      </c>
      <c r="C116" s="307" t="inlineStr">
        <is>
          <t>111(11/03)</t>
        </is>
      </c>
      <c r="D116" s="307" t="inlineStr"/>
      <c r="E116" s="307" t="inlineStr"/>
    </row>
    <row r="117" ht="18" customHeight="1" s="237">
      <c r="A117" s="305" t="n">
        <v>8066</v>
      </c>
      <c r="B117" s="306" t="inlineStr">
        <is>
          <t>조지아 크래프트 라떼 470PET 4X6</t>
        </is>
      </c>
      <c r="C117" s="307" t="inlineStr">
        <is>
          <t>68(09/24)</t>
        </is>
      </c>
      <c r="D117" s="307" t="inlineStr"/>
      <c r="E117" s="307" t="inlineStr">
        <is>
          <t>21(09/24)</t>
        </is>
      </c>
    </row>
    <row r="118" ht="18" customHeight="1" s="237">
      <c r="A118" s="305" t="n">
        <v>8273</v>
      </c>
      <c r="B118" s="306" t="inlineStr">
        <is>
          <t>코크 제로 250CAN 5X6</t>
        </is>
      </c>
      <c r="C118" s="307" t="inlineStr">
        <is>
          <t>9(11/04)</t>
        </is>
      </c>
      <c r="D118" s="307" t="inlineStr"/>
      <c r="E118" s="307" t="inlineStr">
        <is>
          <t>63(11/04)</t>
        </is>
      </c>
    </row>
    <row r="119" ht="18" customHeight="1" s="237">
      <c r="A119" s="305" t="n">
        <v>8273</v>
      </c>
      <c r="B119" s="306" t="inlineStr">
        <is>
          <t>코크 제로 250CAN 5X6</t>
        </is>
      </c>
      <c r="C119" s="307" t="inlineStr">
        <is>
          <t>5(11/05)</t>
        </is>
      </c>
      <c r="D119" s="307" t="inlineStr"/>
      <c r="E119" s="307" t="inlineStr">
        <is>
          <t>131(11/05)</t>
        </is>
      </c>
    </row>
    <row r="120" ht="18" customHeight="1" s="237">
      <c r="A120" s="305" t="n">
        <v>8275</v>
      </c>
      <c r="B120" s="306" t="inlineStr">
        <is>
          <t>조지아 크래프트 콜드블랙 470PET 4X6</t>
        </is>
      </c>
      <c r="C120" s="307" t="inlineStr">
        <is>
          <t>31(09/24)</t>
        </is>
      </c>
      <c r="D120" s="307" t="inlineStr"/>
      <c r="E120" s="307" t="inlineStr">
        <is>
          <t>39(09/24)</t>
        </is>
      </c>
    </row>
    <row r="121" ht="18" customHeight="1" s="237">
      <c r="A121" s="305" t="n">
        <v>8278</v>
      </c>
      <c r="B121" s="306" t="inlineStr">
        <is>
          <t>조지아 크래프트 저칼로리라떼 470PET 4X6</t>
        </is>
      </c>
      <c r="C121" s="307" t="inlineStr">
        <is>
          <t>22(09/19) 39(09/19)</t>
        </is>
      </c>
      <c r="D121" s="307" t="inlineStr"/>
      <c r="E121" s="307" t="inlineStr">
        <is>
          <t>44(09/19)</t>
        </is>
      </c>
    </row>
    <row r="122" ht="18" customHeight="1" s="237">
      <c r="A122" s="305" t="n">
        <v>8429</v>
      </c>
      <c r="B122" s="306" t="inlineStr">
        <is>
          <t>코크제로 1.5PET 2X6</t>
        </is>
      </c>
      <c r="C122" s="307" t="inlineStr">
        <is>
          <t>81(08/24)</t>
        </is>
      </c>
      <c r="D122" s="307" t="inlineStr"/>
      <c r="E122" s="307" t="inlineStr">
        <is>
          <t>24(08/24)</t>
        </is>
      </c>
    </row>
    <row r="123" ht="18" customHeight="1" s="237">
      <c r="A123" s="305" t="n">
        <v>8429</v>
      </c>
      <c r="B123" s="306" t="inlineStr">
        <is>
          <t>코크제로 1.5PET 2X6</t>
        </is>
      </c>
      <c r="C123" s="307" t="inlineStr">
        <is>
          <t>36(08/25)</t>
        </is>
      </c>
      <c r="D123" s="307" t="inlineStr"/>
      <c r="E123" s="307" t="inlineStr"/>
    </row>
    <row r="124" ht="18" customHeight="1" s="237">
      <c r="A124" s="305" t="n">
        <v>8429</v>
      </c>
      <c r="B124" s="306" t="inlineStr">
        <is>
          <t>코크제로 1.5PET 2X6</t>
        </is>
      </c>
      <c r="C124" s="307" t="inlineStr">
        <is>
          <t>68(09/03)</t>
        </is>
      </c>
      <c r="D124" s="307" t="inlineStr"/>
      <c r="E124" s="307" t="inlineStr"/>
    </row>
    <row r="125" ht="18" customHeight="1" s="237">
      <c r="A125" s="305" t="n">
        <v>8521</v>
      </c>
      <c r="B125" s="306" t="inlineStr">
        <is>
          <t>파워M/B 240CAN 5X6</t>
        </is>
      </c>
      <c r="C125" s="307" t="inlineStr">
        <is>
          <t>48(08/26)</t>
        </is>
      </c>
      <c r="D125" s="307" t="inlineStr"/>
      <c r="E125" s="307" t="inlineStr">
        <is>
          <t>99(08/26)</t>
        </is>
      </c>
    </row>
    <row r="126" ht="18" customHeight="1" s="237">
      <c r="A126" s="305" t="n">
        <v>8541</v>
      </c>
      <c r="B126" s="306" t="inlineStr">
        <is>
          <t>파워마운틴소분1.5P 2X6</t>
        </is>
      </c>
      <c r="C126" s="307" t="inlineStr">
        <is>
          <t>64(11/25)</t>
        </is>
      </c>
      <c r="D126" s="307" t="inlineStr"/>
      <c r="E126" s="307" t="inlineStr">
        <is>
          <t>41(11/25)</t>
        </is>
      </c>
    </row>
    <row r="127" ht="18" customHeight="1" s="237">
      <c r="A127" s="305" t="n">
        <v>8560</v>
      </c>
      <c r="B127" s="306" t="inlineStr">
        <is>
          <t>토레타 240CAN 5X6</t>
        </is>
      </c>
      <c r="C127" s="307" t="inlineStr">
        <is>
          <t>4(09/22)</t>
        </is>
      </c>
      <c r="D127" s="307" t="inlineStr"/>
      <c r="E127" s="307" t="inlineStr">
        <is>
          <t>1(09/22)</t>
        </is>
      </c>
    </row>
    <row r="128" ht="18" customHeight="1" s="237">
      <c r="A128" s="305" t="n">
        <v>8561</v>
      </c>
      <c r="B128" s="306" t="inlineStr">
        <is>
          <t>토레타 500ml (소분)</t>
        </is>
      </c>
      <c r="C128" s="307" t="inlineStr">
        <is>
          <t>78(11/18)</t>
        </is>
      </c>
      <c r="D128" s="307" t="inlineStr"/>
      <c r="E128" s="307" t="inlineStr">
        <is>
          <t>17(11/18)</t>
        </is>
      </c>
    </row>
    <row r="129" ht="18" customHeight="1" s="237">
      <c r="A129" s="305" t="n">
        <v>8571</v>
      </c>
      <c r="B129" s="306" t="inlineStr">
        <is>
          <t>토레타 900PET 2X6</t>
        </is>
      </c>
      <c r="C129" s="307" t="inlineStr">
        <is>
          <t>22(10/26)</t>
        </is>
      </c>
      <c r="D129" s="307" t="inlineStr"/>
      <c r="E129" s="307" t="inlineStr">
        <is>
          <t>28(10/26)</t>
        </is>
      </c>
    </row>
    <row r="130" ht="18" customHeight="1" s="237">
      <c r="A130" s="305" t="n">
        <v>8590</v>
      </c>
      <c r="B130" s="306" t="inlineStr">
        <is>
          <t>토레타 제로500PET 4x6</t>
        </is>
      </c>
      <c r="C130" s="307" t="inlineStr">
        <is>
          <t>67(11/16)</t>
        </is>
      </c>
      <c r="D130" s="307" t="inlineStr"/>
      <c r="E130" s="307" t="inlineStr">
        <is>
          <t>4(11/16)</t>
        </is>
      </c>
    </row>
    <row r="131" ht="18" customHeight="1" s="237">
      <c r="A131" s="305" t="n">
        <v>9120</v>
      </c>
      <c r="B131" s="306" t="inlineStr">
        <is>
          <t>몸에좋은 Set 음양오행 180NRB 3X10</t>
        </is>
      </c>
      <c r="C131" s="307" t="inlineStr">
        <is>
          <t>4(10/15)</t>
        </is>
      </c>
      <c r="D131" s="307" t="inlineStr"/>
      <c r="E131" s="307" t="inlineStr">
        <is>
          <t>66(10/15)</t>
        </is>
      </c>
    </row>
    <row r="132" ht="18" customHeight="1" s="237">
      <c r="A132" s="305" t="inlineStr">
        <is>
          <t>DP0439</t>
        </is>
      </c>
      <c r="B132" s="306" t="inlineStr">
        <is>
          <t>S)닥터페퍼제로 스트로베리&amp;크림 350CAN4X6</t>
        </is>
      </c>
      <c r="C132" s="307" t="inlineStr"/>
      <c r="D132" s="307" t="inlineStr"/>
      <c r="E132" s="307" t="inlineStr">
        <is>
          <t>80(11/23)</t>
        </is>
      </c>
    </row>
    <row r="133" ht="18" customHeight="1" s="237">
      <c r="A133" s="305" t="inlineStr">
        <is>
          <t>FT4181</t>
        </is>
      </c>
      <c r="B133" s="306" t="inlineStr">
        <is>
          <t>환타 제로 파인 350CAN 4X6</t>
        </is>
      </c>
      <c r="C133" s="307" t="inlineStr">
        <is>
          <t>1(11/18)</t>
        </is>
      </c>
      <c r="D133" s="307" t="inlineStr"/>
      <c r="E133" s="307" t="inlineStr">
        <is>
          <t>58(11/18)</t>
        </is>
      </c>
    </row>
    <row r="134" ht="18" customHeight="1" s="237">
      <c r="A134" s="305" t="inlineStr">
        <is>
          <t>FT4181</t>
        </is>
      </c>
      <c r="B134" s="306" t="inlineStr">
        <is>
          <t>환타 제로 파인 350CAN 4X6</t>
        </is>
      </c>
      <c r="C134" s="307" t="inlineStr">
        <is>
          <t>18(12/04)</t>
        </is>
      </c>
      <c r="D134" s="307" t="inlineStr"/>
      <c r="E134" s="307" t="inlineStr"/>
    </row>
    <row r="135" ht="18" customHeight="1" s="237">
      <c r="A135" s="305" t="inlineStr">
        <is>
          <t>GS0012</t>
        </is>
      </c>
      <c r="B135" s="306" t="inlineStr">
        <is>
          <t>영진 구론산 오리지날액 150NRB 3X10</t>
        </is>
      </c>
      <c r="C135" s="307" t="inlineStr"/>
      <c r="D135" s="307" t="inlineStr"/>
      <c r="E135" s="307" t="inlineStr">
        <is>
          <t>82(10/26)</t>
        </is>
      </c>
    </row>
    <row r="136" ht="18" customHeight="1" s="237">
      <c r="A136" s="305" t="inlineStr">
        <is>
          <t>IH0001</t>
        </is>
      </c>
      <c r="B136" s="306" t="inlineStr">
        <is>
          <t>S)일로하스 피치 540PET 4X6</t>
        </is>
      </c>
      <c r="C136" s="307" t="inlineStr">
        <is>
          <t>5(10/11)</t>
        </is>
      </c>
      <c r="D136" s="307" t="inlineStr"/>
      <c r="E136" s="307" t="inlineStr">
        <is>
          <t>18(10/11)</t>
        </is>
      </c>
    </row>
    <row r="137" ht="18" customHeight="1" s="237">
      <c r="A137" s="305" t="inlineStr">
        <is>
          <t>KC1005</t>
        </is>
      </c>
      <c r="B137" s="306" t="inlineStr">
        <is>
          <t>과일촌 아침에 오+포+사 180NRB 3X12</t>
        </is>
      </c>
      <c r="C137" s="307" t="inlineStr"/>
      <c r="D137" s="307" t="inlineStr"/>
      <c r="E137" s="307" t="inlineStr">
        <is>
          <t>67(07/20)</t>
        </is>
      </c>
    </row>
    <row r="138" ht="18" customHeight="1" s="237">
      <c r="A138" s="305" t="inlineStr">
        <is>
          <t>MM8428</t>
        </is>
      </c>
      <c r="B138" s="306" t="inlineStr">
        <is>
          <t>S)미닛 피치에이드 제로 350PET 4X6</t>
        </is>
      </c>
      <c r="C138" s="307" t="inlineStr"/>
      <c r="D138" s="307" t="inlineStr"/>
      <c r="E138" s="307" t="inlineStr">
        <is>
          <t>82(08/31)</t>
        </is>
      </c>
    </row>
    <row r="139" ht="18" customHeight="1" s="237">
      <c r="A139" s="305" t="inlineStr">
        <is>
          <t>PA0002</t>
        </is>
      </c>
      <c r="B139" s="306" t="inlineStr">
        <is>
          <t>파워 제로 마운틴블라 600PET 4X6</t>
        </is>
      </c>
      <c r="C139" s="307" t="inlineStr">
        <is>
          <t>16(11/22)</t>
        </is>
      </c>
      <c r="D139" s="307" t="inlineStr"/>
      <c r="E139" s="307" t="inlineStr"/>
    </row>
    <row r="140" ht="18" customHeight="1" s="237">
      <c r="A140" s="305" t="inlineStr">
        <is>
          <t>SP4181</t>
        </is>
      </c>
      <c r="B140" s="306" t="inlineStr">
        <is>
          <t>스프라이트 제로 350CAN 4X6</t>
        </is>
      </c>
      <c r="C140" s="307" t="inlineStr"/>
      <c r="D140" s="307" t="inlineStr"/>
      <c r="E140" s="307" t="inlineStr">
        <is>
          <t>17(10/19)</t>
        </is>
      </c>
    </row>
    <row r="141" ht="18" customHeight="1" s="237">
      <c r="A141" s="305" t="inlineStr">
        <is>
          <t>dp0439</t>
        </is>
      </c>
      <c r="B141" s="306" t="inlineStr">
        <is>
          <t>S)닥터페퍼제로 스트로베리&amp;크림 350CAN4X6</t>
        </is>
      </c>
      <c r="C141" s="307" t="inlineStr">
        <is>
          <t>25(11/23)</t>
        </is>
      </c>
      <c r="D141" s="307" t="inlineStr"/>
      <c r="E141" s="307" t="inlineStr"/>
    </row>
    <row r="142" ht="18" customHeight="1" s="237">
      <c r="A142" s="305" t="inlineStr">
        <is>
          <t>gs0012</t>
        </is>
      </c>
      <c r="B142" s="306" t="inlineStr">
        <is>
          <t>영진 구론산 오리지날액 150NRB 3X10</t>
        </is>
      </c>
      <c r="C142" s="307" t="inlineStr">
        <is>
          <t>9(10/26)</t>
        </is>
      </c>
      <c r="D142" s="307" t="inlineStr"/>
      <c r="E142" s="307" t="inlineStr"/>
    </row>
    <row r="143" ht="18" customHeight="1" s="237">
      <c r="A143" s="305" t="inlineStr">
        <is>
          <t>gs0012</t>
        </is>
      </c>
      <c r="B143" s="306" t="inlineStr">
        <is>
          <t>영진 구론산 오리지날액 150NRB 3X10</t>
        </is>
      </c>
      <c r="C143" s="307" t="inlineStr">
        <is>
          <t>39(10/27)</t>
        </is>
      </c>
      <c r="D143" s="307" t="inlineStr"/>
      <c r="E143" s="307" t="inlineStr"/>
    </row>
    <row r="144" ht="18" customHeight="1" s="237">
      <c r="A144" s="305" t="inlineStr">
        <is>
          <t>kc1005</t>
        </is>
      </c>
      <c r="B144" s="306" t="inlineStr">
        <is>
          <t>과일촌 아침에 오+포+사 180NRB 3X12</t>
        </is>
      </c>
      <c r="C144" s="307" t="inlineStr">
        <is>
          <t>10(07/20)</t>
        </is>
      </c>
      <c r="D144" s="307" t="inlineStr"/>
      <c r="E144" s="307" t="inlineStr"/>
    </row>
    <row r="145" ht="18" customHeight="1" s="237">
      <c r="A145" s="305" t="inlineStr">
        <is>
          <t>pa0002</t>
        </is>
      </c>
      <c r="B145" s="306" t="inlineStr">
        <is>
          <t>파워 제로 마운틴블라 600PET 4X6</t>
        </is>
      </c>
      <c r="C145" s="307" t="inlineStr"/>
      <c r="D145" s="307" t="inlineStr"/>
      <c r="E145" s="307" t="inlineStr">
        <is>
          <t>25(11/22)</t>
        </is>
      </c>
    </row>
    <row r="146" ht="18" customHeight="1" s="237">
      <c r="A146" s="305" t="inlineStr">
        <is>
          <t>sp4181</t>
        </is>
      </c>
      <c r="B146" s="306" t="inlineStr">
        <is>
          <t>스프라이트 제로 350CAN 4X6</t>
        </is>
      </c>
      <c r="C146" s="307" t="inlineStr">
        <is>
          <t>5(10/19)</t>
        </is>
      </c>
      <c r="D146" s="307" t="inlineStr"/>
      <c r="E146" s="30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'</dc:creator>
  <dcterms:created xsi:type="dcterms:W3CDTF">2013-04-02T08:17:47Z</dcterms:created>
  <dcterms:modified xsi:type="dcterms:W3CDTF">2025-12-17T10:56:52Z</dcterms:modified>
  <cp:lastModifiedBy>2</cp:lastModifiedBy>
  <cp:lastPrinted>2025-12-12T09:55:45Z</cp:lastPrinted>
</cp:coreProperties>
</file>