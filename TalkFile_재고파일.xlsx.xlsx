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3\Desktop\"/>
    </mc:Choice>
  </mc:AlternateContent>
  <xr:revisionPtr revIDLastSave="0" documentId="13_ncr:1_{522C9404-4A29-4D4D-B418-8930080A2F68}" xr6:coauthVersionLast="47" xr6:coauthVersionMax="47" xr10:uidLastSave="{00000000-0000-0000-0000-000000000000}"/>
  <bookViews>
    <workbookView xWindow="-120" yWindow="-120" windowWidth="29040" windowHeight="15840" tabRatio="819" firstSheet="1" activeTab="10" xr2:uid="{00000000-000D-0000-FFFF-FFFF00000000}"/>
  </bookViews>
  <sheets>
    <sheet name="월마감" sheetId="33" state="hidden" r:id="rId1"/>
    <sheet name="제품등록" sheetId="25" r:id="rId2"/>
    <sheet name="재고차이" sheetId="19" r:id="rId3"/>
    <sheet name="창고1(실사표)" sheetId="21" r:id="rId4"/>
    <sheet name="창고2(실사표)" sheetId="27" r:id="rId5"/>
    <sheet name="믹스(잔량실사표)" sheetId="28" r:id="rId6"/>
    <sheet name="주간상차" sheetId="26" r:id="rId7"/>
    <sheet name="파손품" sheetId="32" r:id="rId8"/>
    <sheet name="동파파손" sheetId="38" r:id="rId9"/>
    <sheet name="테그" sheetId="37" r:id="rId10"/>
    <sheet name="정리표" sheetId="36" r:id="rId11"/>
    <sheet name="SAP" sheetId="30" r:id="rId12"/>
    <sheet name="파렛트 월말재고실사" sheetId="39" r:id="rId13"/>
    <sheet name="Chart2" sheetId="40" r:id="rId14"/>
  </sheets>
  <definedNames>
    <definedName name="_xlnm._FilterDatabase" localSheetId="11" hidden="1">SAP!#REF!</definedName>
    <definedName name="_xlnm._FilterDatabase" localSheetId="8" hidden="1">동파파손!$F$12:$G$15</definedName>
    <definedName name="_xlnm._FilterDatabase" localSheetId="5" hidden="1">'믹스(잔량실사표)'!$A$2:$Q$88</definedName>
    <definedName name="_xlnm._FilterDatabase" localSheetId="0" hidden="1">월마감!$A$3:$N$183</definedName>
    <definedName name="_xlnm._FilterDatabase" localSheetId="2" hidden="1">재고차이!$A$3:$Q$197</definedName>
    <definedName name="_xlnm._FilterDatabase" localSheetId="10" hidden="1">정리표!$A$2:$O$182</definedName>
    <definedName name="_xlnm._FilterDatabase" localSheetId="1" hidden="1">제품등록!$A$1:$G$1124</definedName>
    <definedName name="_xlnm._FilterDatabase" localSheetId="6" hidden="1">주간상차!$A$2:$I$94</definedName>
    <definedName name="_xlnm._FilterDatabase" localSheetId="3" hidden="1">'창고1(실사표)'!$A$2:$P$2</definedName>
    <definedName name="_xlnm._FilterDatabase" localSheetId="4" hidden="1">'창고2(실사표)'!$A$2:$Q$2</definedName>
    <definedName name="_xlnm._FilterDatabase" localSheetId="7" hidden="1">파손품!$F$12:$G$14</definedName>
    <definedName name="_xlnm.Print_Area" localSheetId="8">동파파손!$C$1:$I$43</definedName>
    <definedName name="_xlnm.Print_Area" localSheetId="5">'믹스(잔량실사표)'!$A$1:$I$2</definedName>
    <definedName name="_xlnm.Print_Area" localSheetId="0">월마감!$A$3:$U$183</definedName>
    <definedName name="_xlnm.Print_Area" localSheetId="2">재고차이!$A$3:$M$197</definedName>
    <definedName name="_xlnm.Print_Area" localSheetId="10">정리표!$A$1:$N$3</definedName>
    <definedName name="_xlnm.Print_Area" localSheetId="3">'창고1(실사표)'!$A$1:$J$2</definedName>
    <definedName name="_xlnm.Print_Area" localSheetId="4">'창고2(실사표)'!$A$1:$I$2</definedName>
    <definedName name="_xlnm.Print_Area" localSheetId="9">테그!$A$1</definedName>
    <definedName name="_xlnm.Print_Area" localSheetId="7">파손품!$C$1:$I$62</definedName>
    <definedName name="상미70" localSheetId="10">정리표!#REF!</definedName>
    <definedName name="상미70">'창고1(실사표)'!#REF!</definedName>
    <definedName name="상미75" localSheetId="10">정리표!$N$1</definedName>
    <definedName name="상미75">'창고1(실사표)'!$N$1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4" i="36" l="1"/>
  <c r="A107" i="36"/>
  <c r="A104" i="36"/>
  <c r="A114" i="36"/>
  <c r="A143" i="36"/>
  <c r="A117" i="36"/>
  <c r="A119" i="36"/>
  <c r="C68" i="36"/>
  <c r="L68" i="36" s="1"/>
  <c r="A68" i="36"/>
  <c r="A4" i="36"/>
  <c r="A46" i="36"/>
  <c r="A133" i="36"/>
  <c r="A156" i="36"/>
  <c r="A65" i="36"/>
  <c r="A140" i="36"/>
  <c r="A129" i="36"/>
  <c r="A121" i="36"/>
  <c r="A108" i="36"/>
  <c r="A98" i="36"/>
  <c r="A96" i="36"/>
  <c r="A102" i="36"/>
  <c r="A100" i="36"/>
  <c r="A94" i="36"/>
  <c r="A92" i="36"/>
  <c r="A90" i="36"/>
  <c r="A74" i="36"/>
  <c r="A76" i="36"/>
  <c r="A78" i="36"/>
  <c r="A83" i="36"/>
  <c r="A80" i="36"/>
  <c r="A64" i="36"/>
  <c r="A32" i="36"/>
  <c r="A173" i="36"/>
  <c r="A171" i="36"/>
  <c r="A145" i="36"/>
  <c r="A29" i="36"/>
  <c r="A37" i="36"/>
  <c r="A30" i="36"/>
  <c r="A62" i="36"/>
  <c r="A112" i="36"/>
  <c r="A60" i="36"/>
  <c r="G20" i="36"/>
  <c r="A20" i="36"/>
  <c r="A70" i="36"/>
  <c r="A48" i="36"/>
  <c r="A110" i="36"/>
  <c r="A152" i="36"/>
  <c r="A16" i="36"/>
  <c r="A162" i="36"/>
  <c r="A158" i="36"/>
  <c r="A54" i="36"/>
  <c r="A52" i="36"/>
  <c r="A49" i="36"/>
  <c r="A179" i="36"/>
  <c r="A169" i="36"/>
  <c r="A42" i="36"/>
  <c r="A26" i="36"/>
  <c r="A39" i="36"/>
  <c r="A28" i="36"/>
  <c r="A44" i="36"/>
  <c r="A56" i="36"/>
  <c r="A24" i="36"/>
  <c r="A72" i="36"/>
  <c r="G175" i="36"/>
  <c r="A175" i="36"/>
  <c r="A22" i="36"/>
  <c r="A58" i="36"/>
  <c r="A85" i="36"/>
  <c r="A154" i="36"/>
  <c r="A147" i="36"/>
  <c r="A151" i="36"/>
  <c r="A149" i="36"/>
  <c r="A11" i="36"/>
  <c r="A8" i="36"/>
  <c r="A6" i="36"/>
  <c r="A177" i="36"/>
  <c r="A167" i="36"/>
  <c r="A165" i="36"/>
  <c r="A13" i="36"/>
  <c r="A127" i="36"/>
  <c r="A182" i="36"/>
  <c r="A123" i="36"/>
  <c r="A137" i="36"/>
  <c r="A160" i="36"/>
  <c r="A135" i="36"/>
  <c r="A131" i="36"/>
  <c r="A141" i="36"/>
  <c r="E33" i="36"/>
  <c r="A33" i="36"/>
  <c r="A106" i="36"/>
  <c r="A105" i="36"/>
  <c r="E103" i="36"/>
  <c r="A103" i="36"/>
  <c r="A113" i="36"/>
  <c r="A142" i="36"/>
  <c r="A116" i="36"/>
  <c r="E115" i="36"/>
  <c r="A115" i="36"/>
  <c r="E118" i="36"/>
  <c r="A118" i="36"/>
  <c r="E3" i="36"/>
  <c r="A3" i="36"/>
  <c r="C67" i="36"/>
  <c r="A67" i="36"/>
  <c r="C66" i="36"/>
  <c r="A66" i="36"/>
  <c r="E45" i="36"/>
  <c r="A45" i="36"/>
  <c r="E132" i="36"/>
  <c r="A132" i="36"/>
  <c r="E155" i="36"/>
  <c r="A155" i="36"/>
  <c r="A139" i="36"/>
  <c r="A138" i="36"/>
  <c r="E128" i="36"/>
  <c r="A128" i="36"/>
  <c r="A120" i="36"/>
  <c r="A97" i="36"/>
  <c r="E101" i="36"/>
  <c r="A101" i="36"/>
  <c r="E99" i="36"/>
  <c r="A99" i="36"/>
  <c r="A93" i="36"/>
  <c r="A91" i="36"/>
  <c r="A89" i="36"/>
  <c r="A73" i="36"/>
  <c r="A87" i="36"/>
  <c r="A86" i="36"/>
  <c r="E75" i="36"/>
  <c r="A75" i="36"/>
  <c r="E77" i="36"/>
  <c r="A77" i="36"/>
  <c r="E82" i="36"/>
  <c r="A82" i="36"/>
  <c r="A81" i="36"/>
  <c r="E79" i="36"/>
  <c r="A79" i="36"/>
  <c r="A63" i="36"/>
  <c r="E31" i="36"/>
  <c r="A31" i="36"/>
  <c r="E172" i="36"/>
  <c r="A172" i="36"/>
  <c r="E170" i="36"/>
  <c r="A170" i="36"/>
  <c r="A144" i="36"/>
  <c r="E36" i="36"/>
  <c r="A36" i="36"/>
  <c r="A35" i="36"/>
  <c r="A61" i="36"/>
  <c r="E111" i="36"/>
  <c r="A111" i="36"/>
  <c r="A59" i="36"/>
  <c r="A19" i="36"/>
  <c r="A18" i="36"/>
  <c r="A17" i="36"/>
  <c r="A69" i="36"/>
  <c r="A47" i="36"/>
  <c r="A109" i="36"/>
  <c r="A15" i="36"/>
  <c r="E14" i="36"/>
  <c r="A14" i="36"/>
  <c r="A161" i="36"/>
  <c r="A157" i="36"/>
  <c r="A53" i="36"/>
  <c r="A51" i="36"/>
  <c r="A50" i="36"/>
  <c r="A178" i="36"/>
  <c r="A168" i="36"/>
  <c r="A41" i="36"/>
  <c r="A40" i="36"/>
  <c r="A25" i="36"/>
  <c r="A38" i="36"/>
  <c r="A27" i="36"/>
  <c r="A43" i="36"/>
  <c r="A55" i="36"/>
  <c r="A23" i="36"/>
  <c r="A71" i="36"/>
  <c r="A174" i="36"/>
  <c r="A21" i="36"/>
  <c r="E57" i="36"/>
  <c r="A57" i="36"/>
  <c r="A84" i="36"/>
  <c r="A153" i="36"/>
  <c r="E146" i="36"/>
  <c r="A146" i="36"/>
  <c r="A150" i="36"/>
  <c r="E148" i="36"/>
  <c r="A148" i="36"/>
  <c r="A10" i="36"/>
  <c r="A9" i="36"/>
  <c r="A7" i="36"/>
  <c r="A5" i="36"/>
  <c r="E176" i="36"/>
  <c r="A176" i="36"/>
  <c r="E166" i="36"/>
  <c r="A166" i="36"/>
  <c r="A164" i="36"/>
  <c r="E163" i="36"/>
  <c r="A163" i="36"/>
  <c r="E12" i="36"/>
  <c r="A12" i="36"/>
  <c r="E126" i="36"/>
  <c r="A126" i="36"/>
  <c r="A125" i="36"/>
  <c r="A124" i="36"/>
  <c r="A181" i="36"/>
  <c r="A180" i="36"/>
  <c r="E122" i="36"/>
  <c r="A122" i="36"/>
  <c r="E136" i="36"/>
  <c r="A136" i="36"/>
  <c r="E159" i="36"/>
  <c r="A159" i="36"/>
  <c r="A134" i="36"/>
  <c r="A130" i="36"/>
  <c r="M68" i="36" l="1"/>
  <c r="E40" i="27"/>
  <c r="E50" i="27"/>
  <c r="E46" i="27"/>
  <c r="E45" i="27"/>
  <c r="E41" i="27"/>
  <c r="E53" i="27"/>
  <c r="E35" i="27"/>
  <c r="E17" i="21"/>
  <c r="E15" i="21"/>
  <c r="E18" i="21"/>
  <c r="E14" i="27"/>
  <c r="E16" i="27"/>
  <c r="E15" i="27"/>
  <c r="E7" i="27"/>
  <c r="E49" i="21"/>
  <c r="E11" i="27"/>
  <c r="A10" i="27"/>
  <c r="E30" i="27"/>
  <c r="E29" i="27"/>
  <c r="A23" i="27"/>
  <c r="E22" i="27"/>
  <c r="E21" i="27"/>
  <c r="E20" i="27"/>
  <c r="A19" i="27"/>
  <c r="E18" i="27"/>
  <c r="E29" i="21"/>
  <c r="E25" i="21"/>
  <c r="E23" i="21"/>
  <c r="E44" i="27"/>
  <c r="C42" i="27"/>
  <c r="A42" i="27"/>
  <c r="A46" i="27"/>
  <c r="E39" i="27"/>
  <c r="E14" i="21"/>
  <c r="E13" i="21"/>
  <c r="A11" i="21"/>
  <c r="E8" i="21"/>
  <c r="E7" i="21"/>
  <c r="E6" i="21"/>
  <c r="A4" i="27"/>
  <c r="L42" i="27" l="1"/>
  <c r="M42" i="27" s="1"/>
  <c r="F14" i="32"/>
  <c r="F15" i="32"/>
  <c r="D21" i="32"/>
  <c r="E21" i="32"/>
  <c r="F21" i="32"/>
  <c r="G21" i="32"/>
  <c r="D22" i="32"/>
  <c r="E22" i="32"/>
  <c r="F22" i="32"/>
  <c r="G22" i="32"/>
  <c r="D23" i="32"/>
  <c r="E23" i="32"/>
  <c r="F23" i="32"/>
  <c r="G23" i="32"/>
  <c r="D24" i="32"/>
  <c r="E24" i="32"/>
  <c r="F24" i="32"/>
  <c r="G24" i="32"/>
  <c r="D25" i="32"/>
  <c r="E25" i="32"/>
  <c r="F25" i="32"/>
  <c r="G25" i="32"/>
  <c r="D26" i="32"/>
  <c r="E26" i="32"/>
  <c r="F26" i="32"/>
  <c r="G26" i="32"/>
  <c r="G47" i="28"/>
  <c r="G26" i="28"/>
  <c r="E36" i="26"/>
  <c r="E34" i="26"/>
  <c r="E37" i="26"/>
  <c r="E40" i="26"/>
  <c r="E9" i="26"/>
  <c r="E47" i="26"/>
  <c r="E50" i="26"/>
  <c r="E52" i="26"/>
  <c r="E45" i="26"/>
  <c r="E25" i="26"/>
  <c r="E24" i="26"/>
  <c r="E23" i="26"/>
  <c r="E3" i="26"/>
  <c r="E56" i="26"/>
  <c r="E73" i="26"/>
  <c r="E71" i="26"/>
  <c r="E44" i="26"/>
  <c r="E43" i="26"/>
  <c r="E82" i="26"/>
  <c r="E42" i="26"/>
  <c r="E49" i="26"/>
  <c r="E67" i="26"/>
  <c r="D27" i="32" l="1"/>
  <c r="E27" i="32"/>
  <c r="F27" i="32"/>
  <c r="G27" i="32"/>
  <c r="D28" i="32"/>
  <c r="E28" i="32"/>
  <c r="F28" i="32"/>
  <c r="G28" i="32"/>
  <c r="D29" i="32"/>
  <c r="E29" i="32"/>
  <c r="F29" i="32"/>
  <c r="G29" i="32"/>
  <c r="D30" i="32"/>
  <c r="E30" i="32"/>
  <c r="F30" i="32"/>
  <c r="G30" i="32"/>
  <c r="D31" i="32"/>
  <c r="E31" i="32"/>
  <c r="F31" i="32"/>
  <c r="G31" i="32"/>
  <c r="D32" i="32"/>
  <c r="E32" i="32"/>
  <c r="F32" i="32"/>
  <c r="G32" i="32"/>
  <c r="D33" i="32"/>
  <c r="E33" i="32"/>
  <c r="F33" i="32"/>
  <c r="G33" i="32"/>
  <c r="D34" i="32"/>
  <c r="E34" i="32"/>
  <c r="F34" i="32"/>
  <c r="G34" i="32"/>
  <c r="D35" i="32"/>
  <c r="E35" i="32"/>
  <c r="F35" i="32"/>
  <c r="G35" i="32"/>
  <c r="D36" i="32"/>
  <c r="E36" i="32"/>
  <c r="F36" i="32"/>
  <c r="G36" i="32"/>
  <c r="D37" i="32"/>
  <c r="E37" i="32"/>
  <c r="F37" i="32"/>
  <c r="G37" i="32"/>
  <c r="D38" i="32"/>
  <c r="E38" i="32"/>
  <c r="F38" i="32"/>
  <c r="G38" i="32"/>
  <c r="A41" i="27"/>
  <c r="A12" i="21"/>
  <c r="D20" i="32" l="1"/>
  <c r="E20" i="32"/>
  <c r="F20" i="32"/>
  <c r="G20" i="32"/>
  <c r="F11" i="32" l="1"/>
  <c r="F12" i="32"/>
  <c r="F13" i="32"/>
  <c r="K21" i="19"/>
  <c r="A45" i="27" l="1"/>
  <c r="A44" i="21"/>
  <c r="L67" i="36" l="1"/>
  <c r="D17" i="32"/>
  <c r="E17" i="32"/>
  <c r="F17" i="32"/>
  <c r="G17" i="32"/>
  <c r="D18" i="32"/>
  <c r="E18" i="32"/>
  <c r="F18" i="32"/>
  <c r="G18" i="32"/>
  <c r="D19" i="32"/>
  <c r="E19" i="32"/>
  <c r="F19" i="32"/>
  <c r="G19" i="32"/>
  <c r="F10" i="32"/>
  <c r="A52" i="28"/>
  <c r="M67" i="36" l="1"/>
  <c r="A39" i="21" l="1"/>
  <c r="F9" i="32" l="1"/>
  <c r="A10" i="28" l="1"/>
  <c r="L66" i="36" l="1"/>
  <c r="M66" i="36" l="1"/>
  <c r="K15" i="32"/>
  <c r="G16" i="32" l="1"/>
  <c r="F16" i="32"/>
  <c r="E16" i="32"/>
  <c r="D16" i="32"/>
  <c r="A24" i="27" l="1"/>
  <c r="A18" i="21"/>
  <c r="A49" i="21"/>
  <c r="A60" i="28" l="1"/>
  <c r="A3" i="28"/>
  <c r="A53" i="28"/>
  <c r="A32" i="27" l="1"/>
  <c r="A21" i="21" l="1"/>
  <c r="A15" i="21"/>
  <c r="A48" i="27"/>
  <c r="A39" i="27"/>
  <c r="A9" i="21"/>
  <c r="A37" i="27"/>
  <c r="A47" i="21"/>
  <c r="H10" i="19" l="1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H103" i="19"/>
  <c r="H104" i="19"/>
  <c r="H105" i="19"/>
  <c r="H106" i="19"/>
  <c r="H107" i="19"/>
  <c r="H108" i="19"/>
  <c r="H109" i="19"/>
  <c r="H110" i="19"/>
  <c r="H111" i="19"/>
  <c r="H112" i="19"/>
  <c r="H113" i="19"/>
  <c r="H114" i="19"/>
  <c r="H115" i="19"/>
  <c r="H116" i="19"/>
  <c r="H117" i="19"/>
  <c r="H118" i="19"/>
  <c r="H119" i="19"/>
  <c r="H120" i="19"/>
  <c r="H121" i="19"/>
  <c r="H122" i="19"/>
  <c r="H123" i="19"/>
  <c r="H124" i="19"/>
  <c r="H125" i="19"/>
  <c r="H126" i="19"/>
  <c r="H127" i="19"/>
  <c r="H128" i="19"/>
  <c r="H129" i="19"/>
  <c r="H130" i="19"/>
  <c r="H131" i="19"/>
  <c r="H132" i="19"/>
  <c r="H133" i="19"/>
  <c r="H134" i="19"/>
  <c r="H135" i="19"/>
  <c r="H136" i="19"/>
  <c r="H137" i="19"/>
  <c r="H138" i="19"/>
  <c r="H139" i="19"/>
  <c r="H140" i="19"/>
  <c r="H141" i="19"/>
  <c r="H142" i="19"/>
  <c r="H143" i="19"/>
  <c r="H144" i="19"/>
  <c r="H145" i="19"/>
  <c r="H146" i="19"/>
  <c r="H147" i="19"/>
  <c r="H148" i="19"/>
  <c r="H149" i="19"/>
  <c r="H150" i="19"/>
  <c r="H151" i="19"/>
  <c r="H152" i="19"/>
  <c r="H153" i="19"/>
  <c r="H154" i="19"/>
  <c r="H155" i="19"/>
  <c r="H156" i="19"/>
  <c r="H157" i="19"/>
  <c r="H158" i="19"/>
  <c r="H159" i="19"/>
  <c r="H160" i="19"/>
  <c r="H161" i="19"/>
  <c r="H162" i="19"/>
  <c r="H163" i="19"/>
  <c r="H164" i="19"/>
  <c r="H165" i="19"/>
  <c r="H166" i="19"/>
  <c r="H167" i="19"/>
  <c r="H168" i="19"/>
  <c r="H169" i="19"/>
  <c r="H170" i="19"/>
  <c r="H171" i="19"/>
  <c r="H172" i="19"/>
  <c r="H173" i="19"/>
  <c r="H174" i="19"/>
  <c r="H175" i="19"/>
  <c r="H176" i="19"/>
  <c r="H177" i="19"/>
  <c r="H178" i="19"/>
  <c r="H179" i="19"/>
  <c r="H180" i="19"/>
  <c r="H181" i="19"/>
  <c r="H182" i="19"/>
  <c r="H183" i="19"/>
  <c r="H184" i="19"/>
  <c r="H185" i="19"/>
  <c r="H186" i="19"/>
  <c r="H187" i="19"/>
  <c r="H188" i="19"/>
  <c r="H189" i="19"/>
  <c r="H190" i="19"/>
  <c r="H191" i="19"/>
  <c r="H192" i="19"/>
  <c r="H193" i="19"/>
  <c r="H194" i="19"/>
  <c r="H195" i="19"/>
  <c r="H196" i="19"/>
  <c r="H9" i="19"/>
  <c r="A18" i="27" l="1"/>
  <c r="C4" i="39" l="1"/>
  <c r="F4" i="39"/>
  <c r="A3" i="27" l="1"/>
  <c r="A53" i="21"/>
  <c r="A23" i="21"/>
  <c r="E4" i="39" l="1"/>
  <c r="D4" i="39"/>
  <c r="A18" i="28" l="1"/>
  <c r="A11" i="27" l="1"/>
  <c r="A51" i="27"/>
  <c r="A44" i="28" l="1"/>
  <c r="A44" i="27" l="1"/>
  <c r="A36" i="27"/>
  <c r="A79" i="28" l="1"/>
  <c r="L20" i="19"/>
  <c r="I20" i="19"/>
  <c r="G20" i="19"/>
  <c r="F20" i="19"/>
  <c r="B20" i="19"/>
  <c r="C79" i="28" l="1"/>
  <c r="L79" i="28" s="1"/>
  <c r="M79" i="28" s="1"/>
  <c r="C45" i="36"/>
  <c r="C46" i="36"/>
  <c r="C41" i="27"/>
  <c r="K20" i="19"/>
  <c r="B9" i="26"/>
  <c r="J20" i="19"/>
  <c r="C20" i="19"/>
  <c r="L41" i="27" l="1"/>
  <c r="M41" i="27" s="1"/>
  <c r="L46" i="36"/>
  <c r="C9" i="26"/>
  <c r="A9" i="27"/>
  <c r="M46" i="36" l="1"/>
  <c r="D39" i="32"/>
  <c r="E39" i="32"/>
  <c r="F39" i="32"/>
  <c r="G39" i="32"/>
  <c r="D40" i="32"/>
  <c r="E40" i="32"/>
  <c r="F40" i="32"/>
  <c r="G40" i="32"/>
  <c r="A8" i="21" l="1"/>
  <c r="A47" i="27"/>
  <c r="I39" i="26" l="1"/>
  <c r="H39" i="26"/>
  <c r="G39" i="26"/>
  <c r="F39" i="26"/>
  <c r="A13" i="21" l="1"/>
  <c r="L44" i="19" l="1"/>
  <c r="I44" i="19"/>
  <c r="G44" i="19"/>
  <c r="F44" i="19"/>
  <c r="B44" i="19"/>
  <c r="A31" i="21"/>
  <c r="C156" i="36" l="1"/>
  <c r="C155" i="36"/>
  <c r="K44" i="19"/>
  <c r="C39" i="27"/>
  <c r="J44" i="19"/>
  <c r="C44" i="19"/>
  <c r="L39" i="27" l="1"/>
  <c r="M39" i="27" s="1"/>
  <c r="L155" i="36"/>
  <c r="M155" i="36" s="1"/>
  <c r="L156" i="36"/>
  <c r="A80" i="28"/>
  <c r="A43" i="27"/>
  <c r="L21" i="19"/>
  <c r="I21" i="19"/>
  <c r="G21" i="19"/>
  <c r="F21" i="19"/>
  <c r="A77" i="28"/>
  <c r="M156" i="36" l="1"/>
  <c r="C43" i="27"/>
  <c r="L43" i="27" s="1"/>
  <c r="M43" i="27" s="1"/>
  <c r="J21" i="19"/>
  <c r="C21" i="19"/>
  <c r="A43" i="21"/>
  <c r="A88" i="28" l="1"/>
  <c r="A27" i="28"/>
  <c r="A21" i="27" l="1"/>
  <c r="A28" i="28" l="1"/>
  <c r="A11" i="28"/>
  <c r="A36" i="28" l="1"/>
  <c r="M16" i="27" l="1"/>
  <c r="A16" i="27"/>
  <c r="A29" i="21" l="1"/>
  <c r="A6" i="21"/>
  <c r="A10" i="21" l="1"/>
  <c r="A84" i="28" l="1"/>
  <c r="A17" i="28"/>
  <c r="A50" i="27" l="1"/>
  <c r="A7" i="27"/>
  <c r="A20" i="28" l="1"/>
  <c r="A39" i="28" l="1"/>
  <c r="A53" i="27" l="1"/>
  <c r="A20" i="27" l="1"/>
  <c r="A14" i="28" l="1"/>
  <c r="A70" i="28" l="1"/>
  <c r="A35" i="21" l="1"/>
  <c r="A40" i="27"/>
  <c r="A35" i="27"/>
  <c r="A28" i="27"/>
  <c r="A52" i="27" l="1"/>
  <c r="A13" i="27"/>
  <c r="A87" i="28"/>
  <c r="M54" i="28"/>
  <c r="A54" i="28"/>
  <c r="I80" i="26"/>
  <c r="H80" i="26"/>
  <c r="G80" i="26"/>
  <c r="F80" i="26"/>
  <c r="H35" i="26"/>
  <c r="F35" i="26" s="1"/>
  <c r="I35" i="26" s="1"/>
  <c r="G35" i="26" s="1"/>
  <c r="L54" i="19"/>
  <c r="I54" i="19"/>
  <c r="G54" i="19"/>
  <c r="F54" i="19"/>
  <c r="B54" i="19"/>
  <c r="L72" i="19"/>
  <c r="I72" i="19"/>
  <c r="G72" i="19"/>
  <c r="F72" i="19"/>
  <c r="B72" i="19"/>
  <c r="C51" i="27" l="1"/>
  <c r="C106" i="36"/>
  <c r="C107" i="36"/>
  <c r="C105" i="36"/>
  <c r="K72" i="19"/>
  <c r="D10" i="32"/>
  <c r="C145" i="36"/>
  <c r="C144" i="36"/>
  <c r="K54" i="19"/>
  <c r="L51" i="27"/>
  <c r="M51" i="27" s="1"/>
  <c r="C54" i="28"/>
  <c r="B80" i="26"/>
  <c r="C13" i="27"/>
  <c r="L13" i="27" s="1"/>
  <c r="M13" i="27" s="1"/>
  <c r="B35" i="26"/>
  <c r="C87" i="28"/>
  <c r="L87" i="28" s="1"/>
  <c r="M87" i="28" s="1"/>
  <c r="C52" i="27"/>
  <c r="L52" i="27" s="1"/>
  <c r="M52" i="27" s="1"/>
  <c r="J54" i="19"/>
  <c r="C54" i="19"/>
  <c r="C80" i="26" s="1"/>
  <c r="J72" i="19"/>
  <c r="C72" i="19"/>
  <c r="C35" i="26" l="1"/>
  <c r="E10" i="32"/>
  <c r="L105" i="36"/>
  <c r="M105" i="36" s="1"/>
  <c r="L107" i="36"/>
  <c r="A16" i="21"/>
  <c r="M107" i="36" l="1"/>
  <c r="A17" i="21"/>
  <c r="A45" i="21" l="1"/>
  <c r="A34" i="27" l="1"/>
  <c r="A75" i="28" l="1"/>
  <c r="L37" i="19"/>
  <c r="I37" i="19"/>
  <c r="G37" i="19"/>
  <c r="F37" i="19"/>
  <c r="B37" i="19"/>
  <c r="C139" i="36" l="1"/>
  <c r="C140" i="36"/>
  <c r="C138" i="36"/>
  <c r="K37" i="19"/>
  <c r="C37" i="27"/>
  <c r="C36" i="27"/>
  <c r="C75" i="28"/>
  <c r="L75" i="28" s="1"/>
  <c r="M75" i="28" s="1"/>
  <c r="J37" i="19"/>
  <c r="C37" i="19"/>
  <c r="L140" i="36" l="1"/>
  <c r="M140" i="36" s="1"/>
  <c r="L37" i="27"/>
  <c r="M37" i="27" s="1"/>
  <c r="L139" i="36"/>
  <c r="M139" i="36" s="1"/>
  <c r="L36" i="27"/>
  <c r="M36" i="27" s="1"/>
  <c r="A5" i="27" l="1"/>
  <c r="A5" i="21" l="1"/>
  <c r="P50" i="36" l="1"/>
  <c r="A22" i="21"/>
  <c r="P49" i="36" l="1"/>
  <c r="P48" i="36" l="1"/>
  <c r="A30" i="21"/>
  <c r="A14" i="21"/>
  <c r="P40" i="36" l="1"/>
  <c r="P41" i="36"/>
  <c r="P42" i="36"/>
  <c r="P43" i="36"/>
  <c r="P44" i="36"/>
  <c r="P45" i="36"/>
  <c r="P46" i="36"/>
  <c r="P47" i="36"/>
  <c r="P37" i="36" l="1"/>
  <c r="P38" i="36"/>
  <c r="P39" i="36"/>
  <c r="P36" i="36" l="1"/>
  <c r="P35" i="36" l="1"/>
  <c r="A78" i="28" l="1"/>
  <c r="P32" i="36" l="1"/>
  <c r="P33" i="36"/>
  <c r="P34" i="36"/>
  <c r="P31" i="36" l="1"/>
  <c r="A68" i="28" l="1"/>
  <c r="P26" i="36" l="1"/>
  <c r="P27" i="36"/>
  <c r="P28" i="36"/>
  <c r="P29" i="36"/>
  <c r="P30" i="36"/>
  <c r="A38" i="27" l="1"/>
  <c r="A32" i="21"/>
  <c r="I72" i="26"/>
  <c r="H72" i="26"/>
  <c r="G72" i="26"/>
  <c r="F72" i="26"/>
  <c r="H30" i="26"/>
  <c r="F30" i="26" s="1"/>
  <c r="P22" i="36" l="1"/>
  <c r="P23" i="36"/>
  <c r="P24" i="36"/>
  <c r="P25" i="36"/>
  <c r="A13" i="28" l="1"/>
  <c r="P18" i="36" l="1"/>
  <c r="P19" i="36"/>
  <c r="P20" i="36"/>
  <c r="P21" i="36"/>
  <c r="L181" i="19"/>
  <c r="I181" i="19"/>
  <c r="G181" i="19"/>
  <c r="F181" i="19"/>
  <c r="B181" i="19"/>
  <c r="A29" i="27"/>
  <c r="L163" i="19"/>
  <c r="I163" i="19"/>
  <c r="G163" i="19"/>
  <c r="F163" i="19"/>
  <c r="B163" i="19"/>
  <c r="A8" i="27"/>
  <c r="C99" i="36" l="1"/>
  <c r="C100" i="36"/>
  <c r="D14" i="32"/>
  <c r="K163" i="19"/>
  <c r="C126" i="36"/>
  <c r="C124" i="36"/>
  <c r="C125" i="36"/>
  <c r="C127" i="36"/>
  <c r="C11" i="21"/>
  <c r="C12" i="21"/>
  <c r="K181" i="19"/>
  <c r="C10" i="28"/>
  <c r="C68" i="28"/>
  <c r="B30" i="26"/>
  <c r="J181" i="19"/>
  <c r="C181" i="19"/>
  <c r="C29" i="27"/>
  <c r="L29" i="27" s="1"/>
  <c r="M29" i="27" s="1"/>
  <c r="J163" i="19"/>
  <c r="C163" i="19"/>
  <c r="E14" i="32" s="1"/>
  <c r="L10" i="28" l="1"/>
  <c r="M10" i="28" s="1"/>
  <c r="L12" i="21"/>
  <c r="M12" i="21" s="1"/>
  <c r="L124" i="36"/>
  <c r="M124" i="36" s="1"/>
  <c r="L100" i="36"/>
  <c r="M100" i="36" s="1"/>
  <c r="L11" i="21"/>
  <c r="L99" i="36"/>
  <c r="M99" i="36" s="1"/>
  <c r="C30" i="26"/>
  <c r="L68" i="28"/>
  <c r="M68" i="28" s="1"/>
  <c r="A7" i="28"/>
  <c r="M11" i="21" l="1"/>
  <c r="P17" i="36"/>
  <c r="P14" i="36" l="1"/>
  <c r="P15" i="36"/>
  <c r="P16" i="36"/>
  <c r="A51" i="21"/>
  <c r="L142" i="19" l="1"/>
  <c r="I142" i="19"/>
  <c r="G142" i="19"/>
  <c r="F142" i="19"/>
  <c r="B142" i="19"/>
  <c r="K142" i="19" s="1"/>
  <c r="J142" i="19" l="1"/>
  <c r="C142" i="19"/>
  <c r="A7" i="21" l="1"/>
  <c r="P13" i="36" l="1"/>
  <c r="P10" i="36" l="1"/>
  <c r="P11" i="36"/>
  <c r="P12" i="36"/>
  <c r="P8" i="36" l="1"/>
  <c r="P9" i="36"/>
  <c r="A48" i="28" l="1"/>
  <c r="P7" i="36" l="1"/>
  <c r="P5" i="36" l="1"/>
  <c r="P6" i="36"/>
  <c r="A81" i="28" l="1"/>
  <c r="A69" i="28" l="1"/>
  <c r="P4" i="36" l="1"/>
  <c r="A14" i="27" l="1"/>
  <c r="A74" i="28" l="1"/>
  <c r="A28" i="21" l="1"/>
  <c r="A86" i="28" l="1"/>
  <c r="M6" i="39" l="1"/>
  <c r="L6" i="39"/>
  <c r="K6" i="39"/>
  <c r="H6" i="39"/>
  <c r="N5" i="39"/>
  <c r="H5" i="39"/>
  <c r="N4" i="39"/>
  <c r="H4" i="39"/>
  <c r="P3" i="36"/>
  <c r="N1" i="36"/>
  <c r="I1" i="36"/>
  <c r="I28" i="38"/>
  <c r="G27" i="38"/>
  <c r="F27" i="38"/>
  <c r="E27" i="38"/>
  <c r="D27" i="38"/>
  <c r="G26" i="38"/>
  <c r="F26" i="38"/>
  <c r="E26" i="38"/>
  <c r="D26" i="38"/>
  <c r="G25" i="38"/>
  <c r="F25" i="38"/>
  <c r="E25" i="38"/>
  <c r="D25" i="38"/>
  <c r="G24" i="38"/>
  <c r="F24" i="38"/>
  <c r="E24" i="38"/>
  <c r="D24" i="38"/>
  <c r="G23" i="38"/>
  <c r="F23" i="38"/>
  <c r="E23" i="38"/>
  <c r="D23" i="38"/>
  <c r="G22" i="38"/>
  <c r="F22" i="38"/>
  <c r="E22" i="38"/>
  <c r="D22" i="38"/>
  <c r="G21" i="38"/>
  <c r="F21" i="38"/>
  <c r="E21" i="38"/>
  <c r="D21" i="38"/>
  <c r="G20" i="38"/>
  <c r="F20" i="38"/>
  <c r="E20" i="38"/>
  <c r="D20" i="38"/>
  <c r="G19" i="38"/>
  <c r="F19" i="38"/>
  <c r="E19" i="38"/>
  <c r="D19" i="38"/>
  <c r="G18" i="38"/>
  <c r="F18" i="38"/>
  <c r="E18" i="38"/>
  <c r="D18" i="38"/>
  <c r="G17" i="38"/>
  <c r="F17" i="38"/>
  <c r="E17" i="38"/>
  <c r="D17" i="38"/>
  <c r="G16" i="38"/>
  <c r="F16" i="38"/>
  <c r="E16" i="38"/>
  <c r="D16" i="38"/>
  <c r="G15" i="38"/>
  <c r="F15" i="38"/>
  <c r="E15" i="38"/>
  <c r="D15" i="38"/>
  <c r="G14" i="38"/>
  <c r="F14" i="38"/>
  <c r="E14" i="38"/>
  <c r="D14" i="38"/>
  <c r="G13" i="38"/>
  <c r="F13" i="38"/>
  <c r="E13" i="38"/>
  <c r="D13" i="38"/>
  <c r="G12" i="38"/>
  <c r="F12" i="38"/>
  <c r="E12" i="38"/>
  <c r="D12" i="38"/>
  <c r="G11" i="38"/>
  <c r="F11" i="38"/>
  <c r="E11" i="38"/>
  <c r="D11" i="38"/>
  <c r="G10" i="38"/>
  <c r="F10" i="38"/>
  <c r="E10" i="38"/>
  <c r="D10" i="38"/>
  <c r="K9" i="38"/>
  <c r="G9" i="38"/>
  <c r="F34" i="38" s="1"/>
  <c r="F9" i="38"/>
  <c r="E9" i="38"/>
  <c r="D9" i="38"/>
  <c r="D6" i="38"/>
  <c r="K63" i="32"/>
  <c r="K62" i="32"/>
  <c r="K61" i="32"/>
  <c r="K60" i="32"/>
  <c r="K59" i="32"/>
  <c r="K58" i="32"/>
  <c r="K57" i="32"/>
  <c r="K56" i="32"/>
  <c r="K55" i="32"/>
  <c r="K54" i="32"/>
  <c r="K53" i="32"/>
  <c r="K52" i="32"/>
  <c r="K51" i="32"/>
  <c r="K50" i="32"/>
  <c r="K49" i="32"/>
  <c r="K48" i="32"/>
  <c r="K47" i="32"/>
  <c r="I47" i="32"/>
  <c r="K46" i="32"/>
  <c r="G46" i="32"/>
  <c r="F46" i="32"/>
  <c r="E46" i="32"/>
  <c r="D46" i="32"/>
  <c r="K45" i="32"/>
  <c r="G45" i="32"/>
  <c r="F45" i="32"/>
  <c r="E45" i="32"/>
  <c r="D45" i="32"/>
  <c r="K44" i="32"/>
  <c r="G44" i="32"/>
  <c r="F44" i="32"/>
  <c r="E44" i="32"/>
  <c r="D44" i="32"/>
  <c r="K43" i="32"/>
  <c r="G43" i="32"/>
  <c r="F43" i="32"/>
  <c r="E43" i="32"/>
  <c r="D43" i="32"/>
  <c r="K42" i="32"/>
  <c r="G42" i="32"/>
  <c r="F42" i="32"/>
  <c r="E42" i="32"/>
  <c r="D42" i="32"/>
  <c r="K41" i="32"/>
  <c r="G41" i="32"/>
  <c r="F41" i="32"/>
  <c r="E41" i="32"/>
  <c r="D41" i="32"/>
  <c r="K40" i="32"/>
  <c r="K39" i="32"/>
  <c r="K38" i="32"/>
  <c r="K37" i="32"/>
  <c r="K36" i="32"/>
  <c r="K35" i="32"/>
  <c r="K34" i="32"/>
  <c r="K33" i="32"/>
  <c r="K32" i="32"/>
  <c r="K31" i="32"/>
  <c r="K30" i="32"/>
  <c r="K29" i="32"/>
  <c r="K28" i="32"/>
  <c r="K27" i="32"/>
  <c r="K26" i="32"/>
  <c r="K25" i="32"/>
  <c r="K24" i="32"/>
  <c r="K23" i="32"/>
  <c r="K22" i="32"/>
  <c r="K21" i="32"/>
  <c r="K19" i="32"/>
  <c r="K18" i="32"/>
  <c r="K16" i="32"/>
  <c r="K14" i="32"/>
  <c r="K12" i="32"/>
  <c r="K11" i="32"/>
  <c r="K10" i="32"/>
  <c r="K9" i="32"/>
  <c r="H93" i="26"/>
  <c r="F93" i="26"/>
  <c r="I93" i="26" s="1"/>
  <c r="G93" i="26" s="1"/>
  <c r="I92" i="26"/>
  <c r="H92" i="26"/>
  <c r="G92" i="26"/>
  <c r="F92" i="26"/>
  <c r="H91" i="26"/>
  <c r="F91" i="26" s="1"/>
  <c r="I90" i="26"/>
  <c r="H90" i="26"/>
  <c r="G90" i="26"/>
  <c r="F90" i="26"/>
  <c r="H89" i="26"/>
  <c r="F89" i="26" s="1"/>
  <c r="H88" i="26"/>
  <c r="F88" i="26" s="1"/>
  <c r="I88" i="26" s="1"/>
  <c r="G88" i="26" s="1"/>
  <c r="H87" i="26"/>
  <c r="F87" i="26" s="1"/>
  <c r="I87" i="26" s="1"/>
  <c r="G87" i="26" s="1"/>
  <c r="H86" i="26"/>
  <c r="F86" i="26" s="1"/>
  <c r="H85" i="26"/>
  <c r="F85" i="26" s="1"/>
  <c r="H84" i="26"/>
  <c r="F84" i="26" s="1"/>
  <c r="H83" i="26"/>
  <c r="F83" i="26" s="1"/>
  <c r="I83" i="26" s="1"/>
  <c r="G83" i="26" s="1"/>
  <c r="H82" i="26"/>
  <c r="F82" i="26" s="1"/>
  <c r="H81" i="26"/>
  <c r="F81" i="26" s="1"/>
  <c r="I79" i="26"/>
  <c r="H79" i="26"/>
  <c r="G79" i="26"/>
  <c r="F79" i="26"/>
  <c r="H78" i="26"/>
  <c r="F78" i="26" s="1"/>
  <c r="I77" i="26"/>
  <c r="H77" i="26"/>
  <c r="G77" i="26"/>
  <c r="F77" i="26"/>
  <c r="I76" i="26"/>
  <c r="H76" i="26"/>
  <c r="G76" i="26"/>
  <c r="F76" i="26"/>
  <c r="I75" i="26"/>
  <c r="H75" i="26"/>
  <c r="G75" i="26"/>
  <c r="F75" i="26"/>
  <c r="I74" i="26"/>
  <c r="H74" i="26"/>
  <c r="G74" i="26"/>
  <c r="F74" i="26"/>
  <c r="H73" i="26"/>
  <c r="F73" i="26" s="1"/>
  <c r="H71" i="26"/>
  <c r="F71" i="26" s="1"/>
  <c r="H70" i="26"/>
  <c r="F70" i="26" s="1"/>
  <c r="I69" i="26"/>
  <c r="H69" i="26"/>
  <c r="G69" i="26"/>
  <c r="F69" i="26"/>
  <c r="N68" i="26"/>
  <c r="H68" i="26"/>
  <c r="F68" i="26" s="1"/>
  <c r="H67" i="26"/>
  <c r="F67" i="26" s="1"/>
  <c r="H66" i="26"/>
  <c r="F66" i="26" s="1"/>
  <c r="H65" i="26"/>
  <c r="F65" i="26"/>
  <c r="I65" i="26" s="1"/>
  <c r="G65" i="26" s="1"/>
  <c r="I64" i="26"/>
  <c r="H64" i="26"/>
  <c r="G64" i="26"/>
  <c r="F64" i="26"/>
  <c r="H63" i="26"/>
  <c r="F63" i="26" s="1"/>
  <c r="H62" i="26"/>
  <c r="F62" i="26" s="1"/>
  <c r="I62" i="26" s="1"/>
  <c r="G62" i="26" s="1"/>
  <c r="I61" i="26"/>
  <c r="H61" i="26"/>
  <c r="G61" i="26"/>
  <c r="F61" i="26"/>
  <c r="I60" i="26"/>
  <c r="H60" i="26"/>
  <c r="G60" i="26"/>
  <c r="F60" i="26"/>
  <c r="I59" i="26"/>
  <c r="H59" i="26"/>
  <c r="G59" i="26"/>
  <c r="F59" i="26"/>
  <c r="I58" i="26"/>
  <c r="H58" i="26"/>
  <c r="G58" i="26"/>
  <c r="F58" i="26"/>
  <c r="H57" i="26"/>
  <c r="F57" i="26" s="1"/>
  <c r="I57" i="26" s="1"/>
  <c r="G57" i="26" s="1"/>
  <c r="H56" i="26"/>
  <c r="F56" i="26" s="1"/>
  <c r="H55" i="26"/>
  <c r="F55" i="26" s="1"/>
  <c r="H54" i="26"/>
  <c r="F54" i="26" s="1"/>
  <c r="I54" i="26" s="1"/>
  <c r="G54" i="26" s="1"/>
  <c r="H53" i="26"/>
  <c r="F53" i="26" s="1"/>
  <c r="I53" i="26" s="1"/>
  <c r="G53" i="26" s="1"/>
  <c r="H51" i="26"/>
  <c r="F51" i="26" s="1"/>
  <c r="I51" i="26" s="1"/>
  <c r="G51" i="26" s="1"/>
  <c r="H50" i="26"/>
  <c r="F50" i="26" s="1"/>
  <c r="H49" i="26"/>
  <c r="F49" i="26" s="1"/>
  <c r="H48" i="26"/>
  <c r="F48" i="26" s="1"/>
  <c r="I48" i="26" s="1"/>
  <c r="G48" i="26" s="1"/>
  <c r="H46" i="26"/>
  <c r="F46" i="26" s="1"/>
  <c r="H45" i="26"/>
  <c r="F45" i="26" s="1"/>
  <c r="H44" i="26"/>
  <c r="F44" i="26" s="1"/>
  <c r="H43" i="26"/>
  <c r="F43" i="26" s="1"/>
  <c r="H42" i="26"/>
  <c r="F42" i="26" s="1"/>
  <c r="H41" i="26"/>
  <c r="F41" i="26" s="1"/>
  <c r="I41" i="26" s="1"/>
  <c r="G41" i="26" s="1"/>
  <c r="H40" i="26"/>
  <c r="F40" i="26" s="1"/>
  <c r="H38" i="26"/>
  <c r="F38" i="26" s="1"/>
  <c r="H37" i="26"/>
  <c r="F37" i="26" s="1"/>
  <c r="H36" i="26"/>
  <c r="F36" i="26" s="1"/>
  <c r="H34" i="26"/>
  <c r="F34" i="26" s="1"/>
  <c r="H33" i="26"/>
  <c r="F33" i="26" s="1"/>
  <c r="I33" i="26" s="1"/>
  <c r="G33" i="26" s="1"/>
  <c r="H32" i="26"/>
  <c r="F32" i="26" s="1"/>
  <c r="I32" i="26" s="1"/>
  <c r="G32" i="26" s="1"/>
  <c r="H31" i="26"/>
  <c r="F31" i="26" s="1"/>
  <c r="I31" i="26" s="1"/>
  <c r="G31" i="26" s="1"/>
  <c r="H29" i="26"/>
  <c r="F29" i="26"/>
  <c r="I29" i="26" s="1"/>
  <c r="G29" i="26" s="1"/>
  <c r="H28" i="26"/>
  <c r="F28" i="26" s="1"/>
  <c r="I28" i="26" s="1"/>
  <c r="G28" i="26" s="1"/>
  <c r="I27" i="26"/>
  <c r="H27" i="26"/>
  <c r="G27" i="26"/>
  <c r="F27" i="26"/>
  <c r="H26" i="26"/>
  <c r="F26" i="26" s="1"/>
  <c r="I26" i="26" s="1"/>
  <c r="G26" i="26" s="1"/>
  <c r="H25" i="26"/>
  <c r="F25" i="26" s="1"/>
  <c r="H24" i="26"/>
  <c r="F24" i="26" s="1"/>
  <c r="H23" i="26"/>
  <c r="F23" i="26" s="1"/>
  <c r="H22" i="26"/>
  <c r="F22" i="26" s="1"/>
  <c r="I22" i="26" s="1"/>
  <c r="G22" i="26" s="1"/>
  <c r="H21" i="26"/>
  <c r="F21" i="26" s="1"/>
  <c r="I20" i="26"/>
  <c r="H20" i="26"/>
  <c r="G20" i="26"/>
  <c r="F20" i="26"/>
  <c r="H19" i="26"/>
  <c r="F19" i="26" s="1"/>
  <c r="H18" i="26"/>
  <c r="F18" i="26" s="1"/>
  <c r="H17" i="26"/>
  <c r="F17" i="26" s="1"/>
  <c r="H16" i="26"/>
  <c r="F16" i="26" s="1"/>
  <c r="I16" i="26" s="1"/>
  <c r="G16" i="26" s="1"/>
  <c r="H15" i="26"/>
  <c r="F15" i="26" s="1"/>
  <c r="I15" i="26" s="1"/>
  <c r="G15" i="26" s="1"/>
  <c r="H14" i="26"/>
  <c r="F14" i="26" s="1"/>
  <c r="I13" i="26"/>
  <c r="H13" i="26"/>
  <c r="G13" i="26"/>
  <c r="F13" i="26"/>
  <c r="H8" i="26"/>
  <c r="F8" i="26" s="1"/>
  <c r="I8" i="26" s="1"/>
  <c r="G8" i="26" s="1"/>
  <c r="H7" i="26"/>
  <c r="F7" i="26" s="1"/>
  <c r="H6" i="26"/>
  <c r="F6" i="26" s="1"/>
  <c r="I5" i="26"/>
  <c r="H5" i="26"/>
  <c r="G5" i="26"/>
  <c r="F5" i="26"/>
  <c r="I4" i="26"/>
  <c r="H4" i="26"/>
  <c r="G4" i="26"/>
  <c r="F4" i="26"/>
  <c r="H3" i="26"/>
  <c r="F3" i="26" s="1"/>
  <c r="A85" i="28"/>
  <c r="A83" i="28"/>
  <c r="A82" i="28"/>
  <c r="A76" i="28"/>
  <c r="A73" i="28"/>
  <c r="A72" i="28"/>
  <c r="A71" i="28"/>
  <c r="A67" i="28"/>
  <c r="A66" i="28"/>
  <c r="A65" i="28"/>
  <c r="A64" i="28"/>
  <c r="A62" i="28"/>
  <c r="A61" i="28"/>
  <c r="A59" i="28"/>
  <c r="M58" i="28"/>
  <c r="A58" i="28"/>
  <c r="M57" i="28"/>
  <c r="A57" i="28"/>
  <c r="M56" i="28"/>
  <c r="A56" i="28"/>
  <c r="M55" i="28"/>
  <c r="A55" i="28"/>
  <c r="A51" i="28"/>
  <c r="A50" i="28"/>
  <c r="A49" i="28"/>
  <c r="A47" i="28"/>
  <c r="A46" i="28"/>
  <c r="A45" i="28"/>
  <c r="A43" i="28"/>
  <c r="A42" i="28"/>
  <c r="A41" i="28"/>
  <c r="A40" i="28"/>
  <c r="A38" i="28"/>
  <c r="A37" i="28"/>
  <c r="A35" i="28"/>
  <c r="A34" i="28"/>
  <c r="A33" i="28"/>
  <c r="A32" i="28"/>
  <c r="A31" i="28"/>
  <c r="A30" i="28"/>
  <c r="A29" i="28"/>
  <c r="A26" i="28"/>
  <c r="A25" i="28"/>
  <c r="A24" i="28"/>
  <c r="M23" i="28"/>
  <c r="O23" i="28" s="1"/>
  <c r="P23" i="28" s="1"/>
  <c r="K23" i="28" s="1"/>
  <c r="L23" i="28"/>
  <c r="N23" i="28" s="1"/>
  <c r="A23" i="28"/>
  <c r="A22" i="28"/>
  <c r="A21" i="28"/>
  <c r="A19" i="28"/>
  <c r="A16" i="28"/>
  <c r="A15" i="28"/>
  <c r="A12" i="28"/>
  <c r="A9" i="28"/>
  <c r="A8" i="28"/>
  <c r="A6" i="28"/>
  <c r="A5" i="28"/>
  <c r="A4" i="28"/>
  <c r="I1" i="28"/>
  <c r="A49" i="27"/>
  <c r="A33" i="27"/>
  <c r="A30" i="27"/>
  <c r="A27" i="27"/>
  <c r="A26" i="27"/>
  <c r="A25" i="27"/>
  <c r="A22" i="27"/>
  <c r="M17" i="27"/>
  <c r="A17" i="27"/>
  <c r="M15" i="27"/>
  <c r="A15" i="27"/>
  <c r="A12" i="27"/>
  <c r="A6" i="27"/>
  <c r="I1" i="27"/>
  <c r="A54" i="21"/>
  <c r="A52" i="21"/>
  <c r="A50" i="21"/>
  <c r="A48" i="21"/>
  <c r="A46" i="21"/>
  <c r="A42" i="21"/>
  <c r="A41" i="21"/>
  <c r="A40" i="21"/>
  <c r="A38" i="21"/>
  <c r="A37" i="21"/>
  <c r="A36" i="21"/>
  <c r="A34" i="21"/>
  <c r="A33" i="21"/>
  <c r="A27" i="21"/>
  <c r="A26" i="21"/>
  <c r="A25" i="21"/>
  <c r="A24" i="21"/>
  <c r="A20" i="21"/>
  <c r="A19" i="21"/>
  <c r="A4" i="21"/>
  <c r="A3" i="21"/>
  <c r="N1" i="21"/>
  <c r="I1" i="21"/>
  <c r="O197" i="19"/>
  <c r="N197" i="19"/>
  <c r="L196" i="19"/>
  <c r="I196" i="19"/>
  <c r="G196" i="19"/>
  <c r="F196" i="19"/>
  <c r="B196" i="19"/>
  <c r="K196" i="19" s="1"/>
  <c r="L9" i="19"/>
  <c r="I9" i="19"/>
  <c r="G9" i="19"/>
  <c r="F9" i="19"/>
  <c r="B9" i="19"/>
  <c r="L117" i="19"/>
  <c r="I117" i="19"/>
  <c r="G117" i="19"/>
  <c r="F117" i="19"/>
  <c r="B117" i="19"/>
  <c r="L123" i="19"/>
  <c r="I123" i="19"/>
  <c r="G123" i="19"/>
  <c r="F123" i="19"/>
  <c r="B123" i="19"/>
  <c r="L49" i="19"/>
  <c r="I49" i="19"/>
  <c r="G49" i="19"/>
  <c r="F49" i="19"/>
  <c r="B49" i="19"/>
  <c r="L45" i="19"/>
  <c r="I45" i="19"/>
  <c r="G45" i="19"/>
  <c r="F45" i="19"/>
  <c r="B45" i="19"/>
  <c r="L47" i="19"/>
  <c r="I47" i="19"/>
  <c r="G47" i="19"/>
  <c r="F47" i="19"/>
  <c r="B47" i="19"/>
  <c r="L185" i="19"/>
  <c r="I185" i="19"/>
  <c r="G185" i="19"/>
  <c r="F185" i="19"/>
  <c r="B185" i="19"/>
  <c r="K185" i="19" s="1"/>
  <c r="L121" i="19"/>
  <c r="I121" i="19"/>
  <c r="G121" i="19"/>
  <c r="F121" i="19"/>
  <c r="B121" i="19"/>
  <c r="L187" i="19"/>
  <c r="I187" i="19"/>
  <c r="G187" i="19"/>
  <c r="F187" i="19"/>
  <c r="B187" i="19"/>
  <c r="L122" i="19"/>
  <c r="I122" i="19"/>
  <c r="G122" i="19"/>
  <c r="F122" i="19"/>
  <c r="B122" i="19"/>
  <c r="L120" i="19"/>
  <c r="I120" i="19"/>
  <c r="G120" i="19"/>
  <c r="F120" i="19"/>
  <c r="B120" i="19"/>
  <c r="L115" i="19"/>
  <c r="I115" i="19"/>
  <c r="G115" i="19"/>
  <c r="F115" i="19"/>
  <c r="B115" i="19"/>
  <c r="L114" i="19"/>
  <c r="I114" i="19"/>
  <c r="G114" i="19"/>
  <c r="F114" i="19"/>
  <c r="B114" i="19"/>
  <c r="L119" i="19"/>
  <c r="I119" i="19"/>
  <c r="G119" i="19"/>
  <c r="F119" i="19"/>
  <c r="B119" i="19"/>
  <c r="L118" i="19"/>
  <c r="I118" i="19"/>
  <c r="G118" i="19"/>
  <c r="F118" i="19"/>
  <c r="B118" i="19"/>
  <c r="L186" i="19"/>
  <c r="I186" i="19"/>
  <c r="G186" i="19"/>
  <c r="F186" i="19"/>
  <c r="B186" i="19"/>
  <c r="L179" i="19"/>
  <c r="I179" i="19"/>
  <c r="G179" i="19"/>
  <c r="F179" i="19"/>
  <c r="B179" i="19"/>
  <c r="L113" i="19"/>
  <c r="I113" i="19"/>
  <c r="G113" i="19"/>
  <c r="F113" i="19"/>
  <c r="B113" i="19"/>
  <c r="L70" i="19"/>
  <c r="I70" i="19"/>
  <c r="G70" i="19"/>
  <c r="F70" i="19"/>
  <c r="B70" i="19"/>
  <c r="L176" i="19"/>
  <c r="I176" i="19"/>
  <c r="G176" i="19"/>
  <c r="F176" i="19"/>
  <c r="B176" i="19"/>
  <c r="K176" i="19" s="1"/>
  <c r="L175" i="19"/>
  <c r="I175" i="19"/>
  <c r="G175" i="19"/>
  <c r="F175" i="19"/>
  <c r="B175" i="19"/>
  <c r="L174" i="19"/>
  <c r="I174" i="19"/>
  <c r="G174" i="19"/>
  <c r="F174" i="19"/>
  <c r="B174" i="19"/>
  <c r="K174" i="19" s="1"/>
  <c r="L173" i="19"/>
  <c r="I173" i="19"/>
  <c r="G173" i="19"/>
  <c r="F173" i="19"/>
  <c r="B173" i="19"/>
  <c r="K173" i="19" s="1"/>
  <c r="L172" i="19"/>
  <c r="I172" i="19"/>
  <c r="G172" i="19"/>
  <c r="F172" i="19"/>
  <c r="B172" i="19"/>
  <c r="L171" i="19"/>
  <c r="I171" i="19"/>
  <c r="G171" i="19"/>
  <c r="F171" i="19"/>
  <c r="B171" i="19"/>
  <c r="K171" i="19" s="1"/>
  <c r="L170" i="19"/>
  <c r="I170" i="19"/>
  <c r="G170" i="19"/>
  <c r="F170" i="19"/>
  <c r="B170" i="19"/>
  <c r="L169" i="19"/>
  <c r="I169" i="19"/>
  <c r="G169" i="19"/>
  <c r="F169" i="19"/>
  <c r="B169" i="19"/>
  <c r="K169" i="19" s="1"/>
  <c r="L168" i="19"/>
  <c r="I168" i="19"/>
  <c r="G168" i="19"/>
  <c r="F168" i="19"/>
  <c r="B168" i="19"/>
  <c r="K168" i="19" s="1"/>
  <c r="L167" i="19"/>
  <c r="I167" i="19"/>
  <c r="G167" i="19"/>
  <c r="F167" i="19"/>
  <c r="B167" i="19"/>
  <c r="K167" i="19" s="1"/>
  <c r="L166" i="19"/>
  <c r="I166" i="19"/>
  <c r="G166" i="19"/>
  <c r="F166" i="19"/>
  <c r="B166" i="19"/>
  <c r="L165" i="19"/>
  <c r="I165" i="19"/>
  <c r="G165" i="19"/>
  <c r="F165" i="19"/>
  <c r="B165" i="19"/>
  <c r="K165" i="19" s="1"/>
  <c r="L128" i="19"/>
  <c r="I128" i="19"/>
  <c r="G128" i="19"/>
  <c r="F128" i="19"/>
  <c r="B128" i="19"/>
  <c r="K128" i="19" s="1"/>
  <c r="L127" i="19"/>
  <c r="I127" i="19"/>
  <c r="G127" i="19"/>
  <c r="F127" i="19"/>
  <c r="B127" i="19"/>
  <c r="L125" i="19"/>
  <c r="I125" i="19"/>
  <c r="G125" i="19"/>
  <c r="F125" i="19"/>
  <c r="B125" i="19"/>
  <c r="L124" i="19"/>
  <c r="I124" i="19"/>
  <c r="G124" i="19"/>
  <c r="F124" i="19"/>
  <c r="B124" i="19"/>
  <c r="L160" i="19"/>
  <c r="I160" i="19"/>
  <c r="G160" i="19"/>
  <c r="F160" i="19"/>
  <c r="B160" i="19"/>
  <c r="L159" i="19"/>
  <c r="I159" i="19"/>
  <c r="G159" i="19"/>
  <c r="F159" i="19"/>
  <c r="B159" i="19"/>
  <c r="L158" i="19"/>
  <c r="I158" i="19"/>
  <c r="G158" i="19"/>
  <c r="F158" i="19"/>
  <c r="B158" i="19"/>
  <c r="K158" i="19" s="1"/>
  <c r="L157" i="19"/>
  <c r="I157" i="19"/>
  <c r="G157" i="19"/>
  <c r="F157" i="19"/>
  <c r="B157" i="19"/>
  <c r="L156" i="19"/>
  <c r="I156" i="19"/>
  <c r="G156" i="19"/>
  <c r="F156" i="19"/>
  <c r="B156" i="19"/>
  <c r="K156" i="19" s="1"/>
  <c r="L155" i="19"/>
  <c r="I155" i="19"/>
  <c r="G155" i="19"/>
  <c r="F155" i="19"/>
  <c r="B155" i="19"/>
  <c r="L154" i="19"/>
  <c r="I154" i="19"/>
  <c r="G154" i="19"/>
  <c r="F154" i="19"/>
  <c r="B154" i="19"/>
  <c r="L153" i="19"/>
  <c r="I153" i="19"/>
  <c r="G153" i="19"/>
  <c r="F153" i="19"/>
  <c r="B153" i="19"/>
  <c r="L195" i="19"/>
  <c r="I195" i="19"/>
  <c r="G195" i="19"/>
  <c r="F195" i="19"/>
  <c r="B195" i="19"/>
  <c r="L194" i="19"/>
  <c r="I194" i="19"/>
  <c r="G194" i="19"/>
  <c r="F194" i="19"/>
  <c r="B194" i="19"/>
  <c r="L193" i="19"/>
  <c r="I193" i="19"/>
  <c r="G193" i="19"/>
  <c r="F193" i="19"/>
  <c r="B193" i="19"/>
  <c r="L192" i="19"/>
  <c r="I192" i="19"/>
  <c r="G192" i="19"/>
  <c r="F192" i="19"/>
  <c r="B192" i="19"/>
  <c r="L190" i="19"/>
  <c r="I190" i="19"/>
  <c r="G190" i="19"/>
  <c r="F190" i="19"/>
  <c r="B190" i="19"/>
  <c r="L191" i="19"/>
  <c r="I191" i="19"/>
  <c r="G191" i="19"/>
  <c r="F191" i="19"/>
  <c r="B191" i="19"/>
  <c r="L51" i="19"/>
  <c r="I51" i="19"/>
  <c r="G51" i="19"/>
  <c r="F51" i="19"/>
  <c r="B51" i="19"/>
  <c r="L144" i="19"/>
  <c r="I144" i="19"/>
  <c r="G144" i="19"/>
  <c r="F144" i="19"/>
  <c r="B144" i="19"/>
  <c r="L189" i="19"/>
  <c r="I189" i="19"/>
  <c r="G189" i="19"/>
  <c r="F189" i="19"/>
  <c r="B189" i="19"/>
  <c r="L141" i="19"/>
  <c r="I141" i="19"/>
  <c r="G141" i="19"/>
  <c r="F141" i="19"/>
  <c r="B141" i="19"/>
  <c r="K141" i="19" s="1"/>
  <c r="L188" i="19"/>
  <c r="I188" i="19"/>
  <c r="G188" i="19"/>
  <c r="F188" i="19"/>
  <c r="B188" i="19"/>
  <c r="L139" i="19"/>
  <c r="I139" i="19"/>
  <c r="G139" i="19"/>
  <c r="F139" i="19"/>
  <c r="B139" i="19"/>
  <c r="K139" i="19" s="1"/>
  <c r="L138" i="19"/>
  <c r="I138" i="19"/>
  <c r="G138" i="19"/>
  <c r="F138" i="19"/>
  <c r="B138" i="19"/>
  <c r="K138" i="19" s="1"/>
  <c r="L137" i="19"/>
  <c r="I137" i="19"/>
  <c r="G137" i="19"/>
  <c r="F137" i="19"/>
  <c r="B137" i="19"/>
  <c r="K137" i="19" s="1"/>
  <c r="L136" i="19"/>
  <c r="I136" i="19"/>
  <c r="G136" i="19"/>
  <c r="F136" i="19"/>
  <c r="B136" i="19"/>
  <c r="K136" i="19" s="1"/>
  <c r="L135" i="19"/>
  <c r="I135" i="19"/>
  <c r="G135" i="19"/>
  <c r="F135" i="19"/>
  <c r="B135" i="19"/>
  <c r="K135" i="19" s="1"/>
  <c r="L134" i="19"/>
  <c r="I134" i="19"/>
  <c r="G134" i="19"/>
  <c r="F134" i="19"/>
  <c r="B134" i="19"/>
  <c r="K134" i="19" s="1"/>
  <c r="L133" i="19"/>
  <c r="I133" i="19"/>
  <c r="G133" i="19"/>
  <c r="F133" i="19"/>
  <c r="B133" i="19"/>
  <c r="K133" i="19" s="1"/>
  <c r="L132" i="19"/>
  <c r="I132" i="19"/>
  <c r="G132" i="19"/>
  <c r="F132" i="19"/>
  <c r="B132" i="19"/>
  <c r="L131" i="19"/>
  <c r="I131" i="19"/>
  <c r="G131" i="19"/>
  <c r="F131" i="19"/>
  <c r="B131" i="19"/>
  <c r="L184" i="19"/>
  <c r="I184" i="19"/>
  <c r="G184" i="19"/>
  <c r="F184" i="19"/>
  <c r="B184" i="19"/>
  <c r="L183" i="19"/>
  <c r="I183" i="19"/>
  <c r="G183" i="19"/>
  <c r="F183" i="19"/>
  <c r="B183" i="19"/>
  <c r="L177" i="19"/>
  <c r="I177" i="19"/>
  <c r="G177" i="19"/>
  <c r="F177" i="19"/>
  <c r="B177" i="19"/>
  <c r="L182" i="19"/>
  <c r="I182" i="19"/>
  <c r="G182" i="19"/>
  <c r="F182" i="19"/>
  <c r="B182" i="19"/>
  <c r="L126" i="19"/>
  <c r="I126" i="19"/>
  <c r="G126" i="19"/>
  <c r="F126" i="19"/>
  <c r="B126" i="19"/>
  <c r="K126" i="19" s="1"/>
  <c r="L178" i="19"/>
  <c r="I178" i="19"/>
  <c r="G178" i="19"/>
  <c r="F178" i="19"/>
  <c r="B178" i="19"/>
  <c r="L116" i="19"/>
  <c r="I116" i="19"/>
  <c r="G116" i="19"/>
  <c r="F116" i="19"/>
  <c r="B116" i="19"/>
  <c r="L180" i="19"/>
  <c r="I180" i="19"/>
  <c r="G180" i="19"/>
  <c r="F180" i="19"/>
  <c r="B180" i="19"/>
  <c r="L162" i="19"/>
  <c r="I162" i="19"/>
  <c r="G162" i="19"/>
  <c r="F162" i="19"/>
  <c r="B162" i="19"/>
  <c r="L161" i="19"/>
  <c r="I161" i="19"/>
  <c r="G161" i="19"/>
  <c r="F161" i="19"/>
  <c r="B161" i="19"/>
  <c r="L164" i="19"/>
  <c r="I164" i="19"/>
  <c r="G164" i="19"/>
  <c r="F164" i="19"/>
  <c r="B164" i="19"/>
  <c r="L152" i="19"/>
  <c r="I152" i="19"/>
  <c r="G152" i="19"/>
  <c r="F152" i="19"/>
  <c r="B152" i="19"/>
  <c r="L151" i="19"/>
  <c r="I151" i="19"/>
  <c r="G151" i="19"/>
  <c r="F151" i="19"/>
  <c r="B151" i="19"/>
  <c r="L150" i="19"/>
  <c r="I150" i="19"/>
  <c r="G150" i="19"/>
  <c r="F150" i="19"/>
  <c r="B150" i="19"/>
  <c r="L143" i="19"/>
  <c r="I143" i="19"/>
  <c r="G143" i="19"/>
  <c r="F143" i="19"/>
  <c r="B143" i="19"/>
  <c r="L149" i="19"/>
  <c r="I149" i="19"/>
  <c r="G149" i="19"/>
  <c r="F149" i="19"/>
  <c r="B149" i="19"/>
  <c r="L112" i="19"/>
  <c r="I112" i="19"/>
  <c r="G112" i="19"/>
  <c r="F112" i="19"/>
  <c r="B112" i="19"/>
  <c r="K112" i="19" s="1"/>
  <c r="L148" i="19"/>
  <c r="I148" i="19"/>
  <c r="G148" i="19"/>
  <c r="F148" i="19"/>
  <c r="B148" i="19"/>
  <c r="L147" i="19"/>
  <c r="I147" i="19"/>
  <c r="G147" i="19"/>
  <c r="F147" i="19"/>
  <c r="B147" i="19"/>
  <c r="L146" i="19"/>
  <c r="I146" i="19"/>
  <c r="G146" i="19"/>
  <c r="F146" i="19"/>
  <c r="B146" i="19"/>
  <c r="L145" i="19"/>
  <c r="I145" i="19"/>
  <c r="G145" i="19"/>
  <c r="F145" i="19"/>
  <c r="B145" i="19"/>
  <c r="L107" i="19"/>
  <c r="I107" i="19"/>
  <c r="G107" i="19"/>
  <c r="F107" i="19"/>
  <c r="B107" i="19"/>
  <c r="K107" i="19" s="1"/>
  <c r="L106" i="19"/>
  <c r="I106" i="19"/>
  <c r="G106" i="19"/>
  <c r="F106" i="19"/>
  <c r="B106" i="19"/>
  <c r="L105" i="19"/>
  <c r="I105" i="19"/>
  <c r="G105" i="19"/>
  <c r="F105" i="19"/>
  <c r="B105" i="19"/>
  <c r="K105" i="19" s="1"/>
  <c r="L104" i="19"/>
  <c r="I104" i="19"/>
  <c r="G104" i="19"/>
  <c r="F104" i="19"/>
  <c r="B104" i="19"/>
  <c r="K104" i="19" s="1"/>
  <c r="L103" i="19"/>
  <c r="I103" i="19"/>
  <c r="G103" i="19"/>
  <c r="F103" i="19"/>
  <c r="B103" i="19"/>
  <c r="K103" i="19" s="1"/>
  <c r="L102" i="19"/>
  <c r="I102" i="19"/>
  <c r="G102" i="19"/>
  <c r="F102" i="19"/>
  <c r="B102" i="19"/>
  <c r="K102" i="19" s="1"/>
  <c r="L140" i="19"/>
  <c r="I140" i="19"/>
  <c r="G140" i="19"/>
  <c r="F140" i="19"/>
  <c r="B140" i="19"/>
  <c r="L100" i="19"/>
  <c r="I100" i="19"/>
  <c r="G100" i="19"/>
  <c r="F100" i="19"/>
  <c r="B100" i="19"/>
  <c r="K100" i="19" s="1"/>
  <c r="L130" i="19"/>
  <c r="I130" i="19"/>
  <c r="G130" i="19"/>
  <c r="F130" i="19"/>
  <c r="B130" i="19"/>
  <c r="L98" i="19"/>
  <c r="I98" i="19"/>
  <c r="G98" i="19"/>
  <c r="F98" i="19"/>
  <c r="B98" i="19"/>
  <c r="K98" i="19" s="1"/>
  <c r="L129" i="19"/>
  <c r="I129" i="19"/>
  <c r="G129" i="19"/>
  <c r="F129" i="19"/>
  <c r="B129" i="19"/>
  <c r="L96" i="19"/>
  <c r="I96" i="19"/>
  <c r="G96" i="19"/>
  <c r="F96" i="19"/>
  <c r="B96" i="19"/>
  <c r="K96" i="19" s="1"/>
  <c r="L95" i="19"/>
  <c r="I95" i="19"/>
  <c r="G95" i="19"/>
  <c r="F95" i="19"/>
  <c r="B95" i="19"/>
  <c r="L94" i="19"/>
  <c r="I94" i="19"/>
  <c r="G94" i="19"/>
  <c r="F94" i="19"/>
  <c r="B94" i="19"/>
  <c r="K94" i="19" s="1"/>
  <c r="L93" i="19"/>
  <c r="I93" i="19"/>
  <c r="G93" i="19"/>
  <c r="F93" i="19"/>
  <c r="B93" i="19"/>
  <c r="K93" i="19" s="1"/>
  <c r="L92" i="19"/>
  <c r="I92" i="19"/>
  <c r="G92" i="19"/>
  <c r="F92" i="19"/>
  <c r="B92" i="19"/>
  <c r="K92" i="19" s="1"/>
  <c r="L91" i="19"/>
  <c r="I91" i="19"/>
  <c r="G91" i="19"/>
  <c r="F91" i="19"/>
  <c r="B91" i="19"/>
  <c r="K91" i="19" s="1"/>
  <c r="L90" i="19"/>
  <c r="I90" i="19"/>
  <c r="G90" i="19"/>
  <c r="F90" i="19"/>
  <c r="B90" i="19"/>
  <c r="K90" i="19" s="1"/>
  <c r="L89" i="19"/>
  <c r="I89" i="19"/>
  <c r="G89" i="19"/>
  <c r="F89" i="19"/>
  <c r="B89" i="19"/>
  <c r="K89" i="19" s="1"/>
  <c r="L88" i="19"/>
  <c r="I88" i="19"/>
  <c r="G88" i="19"/>
  <c r="F88" i="19"/>
  <c r="B88" i="19"/>
  <c r="K88" i="19" s="1"/>
  <c r="L87" i="19"/>
  <c r="I87" i="19"/>
  <c r="G87" i="19"/>
  <c r="F87" i="19"/>
  <c r="B87" i="19"/>
  <c r="K87" i="19" s="1"/>
  <c r="L86" i="19"/>
  <c r="I86" i="19"/>
  <c r="G86" i="19"/>
  <c r="F86" i="19"/>
  <c r="B86" i="19"/>
  <c r="L85" i="19"/>
  <c r="I85" i="19"/>
  <c r="G85" i="19"/>
  <c r="F85" i="19"/>
  <c r="B85" i="19"/>
  <c r="L84" i="19"/>
  <c r="I84" i="19"/>
  <c r="G84" i="19"/>
  <c r="F84" i="19"/>
  <c r="B84" i="19"/>
  <c r="K84" i="19" s="1"/>
  <c r="L83" i="19"/>
  <c r="I83" i="19"/>
  <c r="G83" i="19"/>
  <c r="F83" i="19"/>
  <c r="B83" i="19"/>
  <c r="K83" i="19" s="1"/>
  <c r="L82" i="19"/>
  <c r="I82" i="19"/>
  <c r="G82" i="19"/>
  <c r="F82" i="19"/>
  <c r="B82" i="19"/>
  <c r="K82" i="19" s="1"/>
  <c r="L81" i="19"/>
  <c r="I81" i="19"/>
  <c r="G81" i="19"/>
  <c r="F81" i="19"/>
  <c r="B81" i="19"/>
  <c r="K81" i="19" s="1"/>
  <c r="L80" i="19"/>
  <c r="I80" i="19"/>
  <c r="G80" i="19"/>
  <c r="F80" i="19"/>
  <c r="B80" i="19"/>
  <c r="K80" i="19" s="1"/>
  <c r="L79" i="19"/>
  <c r="I79" i="19"/>
  <c r="G79" i="19"/>
  <c r="F79" i="19"/>
  <c r="B79" i="19"/>
  <c r="K79" i="19" s="1"/>
  <c r="L78" i="19"/>
  <c r="I78" i="19"/>
  <c r="G78" i="19"/>
  <c r="F78" i="19"/>
  <c r="B78" i="19"/>
  <c r="L77" i="19"/>
  <c r="I77" i="19"/>
  <c r="G77" i="19"/>
  <c r="F77" i="19"/>
  <c r="B77" i="19"/>
  <c r="L76" i="19"/>
  <c r="I76" i="19"/>
  <c r="G76" i="19"/>
  <c r="F76" i="19"/>
  <c r="B76" i="19"/>
  <c r="K76" i="19" s="1"/>
  <c r="L75" i="19"/>
  <c r="I75" i="19"/>
  <c r="G75" i="19"/>
  <c r="F75" i="19"/>
  <c r="B75" i="19"/>
  <c r="L74" i="19"/>
  <c r="I74" i="19"/>
  <c r="G74" i="19"/>
  <c r="F74" i="19"/>
  <c r="B74" i="19"/>
  <c r="K74" i="19" s="1"/>
  <c r="L73" i="19"/>
  <c r="I73" i="19"/>
  <c r="G73" i="19"/>
  <c r="F73" i="19"/>
  <c r="B73" i="19"/>
  <c r="L109" i="19"/>
  <c r="I109" i="19"/>
  <c r="G109" i="19"/>
  <c r="F109" i="19"/>
  <c r="B109" i="19"/>
  <c r="L111" i="19"/>
  <c r="I111" i="19"/>
  <c r="G111" i="19"/>
  <c r="F111" i="19"/>
  <c r="B111" i="19"/>
  <c r="L110" i="19"/>
  <c r="I110" i="19"/>
  <c r="G110" i="19"/>
  <c r="F110" i="19"/>
  <c r="B110" i="19"/>
  <c r="L69" i="19"/>
  <c r="I69" i="19"/>
  <c r="G69" i="19"/>
  <c r="F69" i="19"/>
  <c r="B69" i="19"/>
  <c r="L68" i="19"/>
  <c r="I68" i="19"/>
  <c r="G68" i="19"/>
  <c r="F68" i="19"/>
  <c r="B68" i="19"/>
  <c r="K68" i="19" s="1"/>
  <c r="L67" i="19"/>
  <c r="I67" i="19"/>
  <c r="G67" i="19"/>
  <c r="F67" i="19"/>
  <c r="B67" i="19"/>
  <c r="L66" i="19"/>
  <c r="I66" i="19"/>
  <c r="G66" i="19"/>
  <c r="F66" i="19"/>
  <c r="B66" i="19"/>
  <c r="L65" i="19"/>
  <c r="I65" i="19"/>
  <c r="G65" i="19"/>
  <c r="F65" i="19"/>
  <c r="B65" i="19"/>
  <c r="K65" i="19" s="1"/>
  <c r="L64" i="19"/>
  <c r="I64" i="19"/>
  <c r="G64" i="19"/>
  <c r="F64" i="19"/>
  <c r="B64" i="19"/>
  <c r="L108" i="19"/>
  <c r="I108" i="19"/>
  <c r="G108" i="19"/>
  <c r="F108" i="19"/>
  <c r="B108" i="19"/>
  <c r="L62" i="19"/>
  <c r="I62" i="19"/>
  <c r="G62" i="19"/>
  <c r="F62" i="19"/>
  <c r="B62" i="19"/>
  <c r="K62" i="19" s="1"/>
  <c r="L101" i="19"/>
  <c r="I101" i="19"/>
  <c r="G101" i="19"/>
  <c r="F101" i="19"/>
  <c r="B101" i="19"/>
  <c r="L99" i="19"/>
  <c r="I99" i="19"/>
  <c r="G99" i="19"/>
  <c r="F99" i="19"/>
  <c r="B99" i="19"/>
  <c r="L59" i="19"/>
  <c r="I59" i="19"/>
  <c r="G59" i="19"/>
  <c r="F59" i="19"/>
  <c r="B59" i="19"/>
  <c r="L97" i="19"/>
  <c r="I97" i="19"/>
  <c r="G97" i="19"/>
  <c r="F97" i="19"/>
  <c r="B97" i="19"/>
  <c r="L57" i="19"/>
  <c r="I57" i="19"/>
  <c r="G57" i="19"/>
  <c r="F57" i="19"/>
  <c r="B57" i="19"/>
  <c r="L56" i="19"/>
  <c r="I56" i="19"/>
  <c r="G56" i="19"/>
  <c r="F56" i="19"/>
  <c r="B56" i="19"/>
  <c r="K56" i="19" s="1"/>
  <c r="L61" i="19"/>
  <c r="I61" i="19"/>
  <c r="G61" i="19"/>
  <c r="F61" i="19"/>
  <c r="B61" i="19"/>
  <c r="L71" i="19"/>
  <c r="I71" i="19"/>
  <c r="G71" i="19"/>
  <c r="F71" i="19"/>
  <c r="B71" i="19"/>
  <c r="L52" i="19"/>
  <c r="I52" i="19"/>
  <c r="G52" i="19"/>
  <c r="F52" i="19"/>
  <c r="B52" i="19"/>
  <c r="L60" i="19"/>
  <c r="I60" i="19"/>
  <c r="G60" i="19"/>
  <c r="F60" i="19"/>
  <c r="B60" i="19"/>
  <c r="L50" i="19"/>
  <c r="I50" i="19"/>
  <c r="G50" i="19"/>
  <c r="F50" i="19"/>
  <c r="B50" i="19"/>
  <c r="L58" i="19"/>
  <c r="I58" i="19"/>
  <c r="G58" i="19"/>
  <c r="F58" i="19"/>
  <c r="B58" i="19"/>
  <c r="L48" i="19"/>
  <c r="I48" i="19"/>
  <c r="G48" i="19"/>
  <c r="F48" i="19"/>
  <c r="B48" i="19"/>
  <c r="L55" i="19"/>
  <c r="I55" i="19"/>
  <c r="G55" i="19"/>
  <c r="F55" i="19"/>
  <c r="B55" i="19"/>
  <c r="L46" i="19"/>
  <c r="I46" i="19"/>
  <c r="G46" i="19"/>
  <c r="F46" i="19"/>
  <c r="B46" i="19"/>
  <c r="K46" i="19" s="1"/>
  <c r="L63" i="19"/>
  <c r="I63" i="19"/>
  <c r="G63" i="19"/>
  <c r="F63" i="19"/>
  <c r="B63" i="19"/>
  <c r="L53" i="19"/>
  <c r="I53" i="19"/>
  <c r="G53" i="19"/>
  <c r="F53" i="19"/>
  <c r="B53" i="19"/>
  <c r="L43" i="19"/>
  <c r="I43" i="19"/>
  <c r="G43" i="19"/>
  <c r="F43" i="19"/>
  <c r="B43" i="19"/>
  <c r="K43" i="19" s="1"/>
  <c r="L42" i="19"/>
  <c r="I42" i="19"/>
  <c r="G42" i="19"/>
  <c r="F42" i="19"/>
  <c r="B42" i="19"/>
  <c r="L40" i="19"/>
  <c r="I40" i="19"/>
  <c r="G40" i="19"/>
  <c r="F40" i="19"/>
  <c r="B40" i="19"/>
  <c r="L39" i="19"/>
  <c r="I39" i="19"/>
  <c r="G39" i="19"/>
  <c r="F39" i="19"/>
  <c r="B39" i="19"/>
  <c r="L38" i="19"/>
  <c r="I38" i="19"/>
  <c r="G38" i="19"/>
  <c r="F38" i="19"/>
  <c r="B38" i="19"/>
  <c r="L26" i="19"/>
  <c r="I26" i="19"/>
  <c r="G26" i="19"/>
  <c r="F26" i="19"/>
  <c r="B26" i="19"/>
  <c r="L36" i="19"/>
  <c r="I36" i="19"/>
  <c r="G36" i="19"/>
  <c r="F36" i="19"/>
  <c r="B36" i="19"/>
  <c r="L32" i="19"/>
  <c r="I32" i="19"/>
  <c r="G32" i="19"/>
  <c r="F32" i="19"/>
  <c r="B32" i="19"/>
  <c r="L34" i="19"/>
  <c r="I34" i="19"/>
  <c r="G34" i="19"/>
  <c r="F34" i="19"/>
  <c r="B34" i="19"/>
  <c r="L30" i="19"/>
  <c r="I30" i="19"/>
  <c r="G30" i="19"/>
  <c r="F30" i="19"/>
  <c r="B30" i="19"/>
  <c r="L31" i="19"/>
  <c r="I31" i="19"/>
  <c r="G31" i="19"/>
  <c r="F31" i="19"/>
  <c r="B31" i="19"/>
  <c r="L41" i="19"/>
  <c r="I41" i="19"/>
  <c r="G41" i="19"/>
  <c r="F41" i="19"/>
  <c r="B41" i="19"/>
  <c r="L29" i="19"/>
  <c r="I29" i="19"/>
  <c r="G29" i="19"/>
  <c r="F29" i="19"/>
  <c r="B29" i="19"/>
  <c r="L28" i="19"/>
  <c r="I28" i="19"/>
  <c r="G28" i="19"/>
  <c r="F28" i="19"/>
  <c r="B28" i="19"/>
  <c r="K28" i="19" s="1"/>
  <c r="L27" i="19"/>
  <c r="I27" i="19"/>
  <c r="G27" i="19"/>
  <c r="F27" i="19"/>
  <c r="B27" i="19"/>
  <c r="K27" i="19" s="1"/>
  <c r="L35" i="19"/>
  <c r="I35" i="19"/>
  <c r="G35" i="19"/>
  <c r="F35" i="19"/>
  <c r="B35" i="19"/>
  <c r="L25" i="19"/>
  <c r="I25" i="19"/>
  <c r="G25" i="19"/>
  <c r="F25" i="19"/>
  <c r="B25" i="19"/>
  <c r="L24" i="19"/>
  <c r="I24" i="19"/>
  <c r="G24" i="19"/>
  <c r="F24" i="19"/>
  <c r="B24" i="19"/>
  <c r="K24" i="19" s="1"/>
  <c r="L33" i="19"/>
  <c r="I33" i="19"/>
  <c r="G33" i="19"/>
  <c r="F33" i="19"/>
  <c r="B33" i="19"/>
  <c r="L14" i="19"/>
  <c r="I14" i="19"/>
  <c r="G14" i="19"/>
  <c r="F14" i="19"/>
  <c r="B14" i="19"/>
  <c r="L19" i="19"/>
  <c r="I19" i="19"/>
  <c r="G19" i="19"/>
  <c r="F19" i="19"/>
  <c r="B19" i="19"/>
  <c r="K19" i="19" s="1"/>
  <c r="L23" i="19"/>
  <c r="I23" i="19"/>
  <c r="G23" i="19"/>
  <c r="F23" i="19"/>
  <c r="B23" i="19"/>
  <c r="L22" i="19"/>
  <c r="I22" i="19"/>
  <c r="G22" i="19"/>
  <c r="F22" i="19"/>
  <c r="B22" i="19"/>
  <c r="L16" i="19"/>
  <c r="I16" i="19"/>
  <c r="G16" i="19"/>
  <c r="F16" i="19"/>
  <c r="B16" i="19"/>
  <c r="L15" i="19"/>
  <c r="I15" i="19"/>
  <c r="G15" i="19"/>
  <c r="F15" i="19"/>
  <c r="B15" i="19"/>
  <c r="K15" i="19" s="1"/>
  <c r="L18" i="19"/>
  <c r="I18" i="19"/>
  <c r="G18" i="19"/>
  <c r="F18" i="19"/>
  <c r="B18" i="19"/>
  <c r="L13" i="19"/>
  <c r="I13" i="19"/>
  <c r="G13" i="19"/>
  <c r="F13" i="19"/>
  <c r="B13" i="19"/>
  <c r="L12" i="19"/>
  <c r="I12" i="19"/>
  <c r="G12" i="19"/>
  <c r="F12" i="19"/>
  <c r="B12" i="19"/>
  <c r="L11" i="19"/>
  <c r="I11" i="19"/>
  <c r="G11" i="19"/>
  <c r="F11" i="19"/>
  <c r="B11" i="19"/>
  <c r="L10" i="19"/>
  <c r="I10" i="19"/>
  <c r="G10" i="19"/>
  <c r="F10" i="19"/>
  <c r="B10" i="19"/>
  <c r="L17" i="19"/>
  <c r="I17" i="19"/>
  <c r="G17" i="19"/>
  <c r="F17" i="19"/>
  <c r="B17" i="19"/>
  <c r="L8" i="19"/>
  <c r="I8" i="19"/>
  <c r="H8" i="19"/>
  <c r="G8" i="19"/>
  <c r="F8" i="19"/>
  <c r="B8" i="19"/>
  <c r="C8" i="19" s="1"/>
  <c r="L7" i="19"/>
  <c r="I7" i="19"/>
  <c r="H7" i="19"/>
  <c r="G7" i="19"/>
  <c r="F7" i="19"/>
  <c r="B7" i="19"/>
  <c r="K7" i="19" s="1"/>
  <c r="L6" i="19"/>
  <c r="I6" i="19"/>
  <c r="H6" i="19"/>
  <c r="G6" i="19"/>
  <c r="F6" i="19"/>
  <c r="B6" i="19"/>
  <c r="C6" i="19" s="1"/>
  <c r="L5" i="19"/>
  <c r="I5" i="19"/>
  <c r="H5" i="19"/>
  <c r="G5" i="19"/>
  <c r="F5" i="19"/>
  <c r="B5" i="19"/>
  <c r="K5" i="19" s="1"/>
  <c r="L4" i="19"/>
  <c r="I4" i="19"/>
  <c r="H4" i="19"/>
  <c r="G4" i="19"/>
  <c r="F4" i="19"/>
  <c r="B4" i="19"/>
  <c r="G359" i="25"/>
  <c r="F359" i="25"/>
  <c r="T183" i="33"/>
  <c r="V182" i="33"/>
  <c r="U182" i="33"/>
  <c r="T182" i="33"/>
  <c r="V181" i="33"/>
  <c r="U181" i="33"/>
  <c r="T181" i="33"/>
  <c r="V180" i="33"/>
  <c r="T180" i="33"/>
  <c r="U180" i="33" s="1"/>
  <c r="V179" i="33"/>
  <c r="T179" i="33"/>
  <c r="U179" i="33" s="1"/>
  <c r="V178" i="33"/>
  <c r="U178" i="33"/>
  <c r="T178" i="33"/>
  <c r="V177" i="33"/>
  <c r="U177" i="33"/>
  <c r="T177" i="33"/>
  <c r="V176" i="33"/>
  <c r="T176" i="33"/>
  <c r="U176" i="33" s="1"/>
  <c r="V175" i="33"/>
  <c r="T175" i="33"/>
  <c r="U175" i="33" s="1"/>
  <c r="V174" i="33"/>
  <c r="U174" i="33"/>
  <c r="T174" i="33"/>
  <c r="V173" i="33"/>
  <c r="U173" i="33"/>
  <c r="T173" i="33"/>
  <c r="V172" i="33"/>
  <c r="T172" i="33"/>
  <c r="U172" i="33" s="1"/>
  <c r="R172" i="33"/>
  <c r="V171" i="33"/>
  <c r="T171" i="33"/>
  <c r="U171" i="33" s="1"/>
  <c r="V170" i="33"/>
  <c r="W170" i="33" s="1"/>
  <c r="T170" i="33"/>
  <c r="U170" i="33" s="1"/>
  <c r="V169" i="33"/>
  <c r="W169" i="33" s="1"/>
  <c r="U169" i="33"/>
  <c r="T169" i="33"/>
  <c r="V168" i="33"/>
  <c r="U168" i="33"/>
  <c r="T168" i="33"/>
  <c r="R168" i="33"/>
  <c r="Q168" i="33"/>
  <c r="V167" i="33"/>
  <c r="W167" i="33" s="1"/>
  <c r="U167" i="33"/>
  <c r="T167" i="33"/>
  <c r="V166" i="33"/>
  <c r="U166" i="33"/>
  <c r="T166" i="33"/>
  <c r="V165" i="33"/>
  <c r="T165" i="33"/>
  <c r="U165" i="33" s="1"/>
  <c r="V164" i="33"/>
  <c r="W164" i="33" s="1"/>
  <c r="T164" i="33"/>
  <c r="U164" i="33" s="1"/>
  <c r="V163" i="33"/>
  <c r="W163" i="33" s="1"/>
  <c r="U163" i="33"/>
  <c r="T163" i="33"/>
  <c r="V162" i="33"/>
  <c r="U162" i="33"/>
  <c r="T162" i="33"/>
  <c r="V161" i="33"/>
  <c r="T161" i="33"/>
  <c r="U161" i="33" s="1"/>
  <c r="V160" i="33"/>
  <c r="W160" i="33" s="1"/>
  <c r="T160" i="33"/>
  <c r="U160" i="33" s="1"/>
  <c r="V159" i="33"/>
  <c r="W159" i="33" s="1"/>
  <c r="U159" i="33"/>
  <c r="T159" i="33"/>
  <c r="V158" i="33"/>
  <c r="U158" i="33"/>
  <c r="T158" i="33"/>
  <c r="V157" i="33"/>
  <c r="T157" i="33"/>
  <c r="U157" i="33" s="1"/>
  <c r="V156" i="33"/>
  <c r="W156" i="33" s="1"/>
  <c r="T156" i="33"/>
  <c r="U156" i="33" s="1"/>
  <c r="V155" i="33"/>
  <c r="W155" i="33" s="1"/>
  <c r="U155" i="33"/>
  <c r="T155" i="33"/>
  <c r="V154" i="33"/>
  <c r="U154" i="33"/>
  <c r="T154" i="33"/>
  <c r="V153" i="33"/>
  <c r="T153" i="33"/>
  <c r="U153" i="33" s="1"/>
  <c r="V152" i="33"/>
  <c r="W152" i="33" s="1"/>
  <c r="T152" i="33"/>
  <c r="U152" i="33" s="1"/>
  <c r="V151" i="33"/>
  <c r="W151" i="33" s="1"/>
  <c r="U151" i="33"/>
  <c r="T151" i="33"/>
  <c r="V150" i="33"/>
  <c r="U150" i="33"/>
  <c r="T150" i="33"/>
  <c r="R150" i="33"/>
  <c r="Q150" i="33"/>
  <c r="V149" i="33"/>
  <c r="W149" i="33" s="1"/>
  <c r="U149" i="33"/>
  <c r="T149" i="33"/>
  <c r="V148" i="33"/>
  <c r="U148" i="33"/>
  <c r="T148" i="33"/>
  <c r="V147" i="33"/>
  <c r="T147" i="33"/>
  <c r="U147" i="33" s="1"/>
  <c r="R147" i="33"/>
  <c r="Q147" i="33"/>
  <c r="V146" i="33"/>
  <c r="U146" i="33"/>
  <c r="T146" i="33"/>
  <c r="R146" i="33"/>
  <c r="V145" i="33"/>
  <c r="U145" i="33"/>
  <c r="T145" i="33"/>
  <c r="V144" i="33"/>
  <c r="T144" i="33"/>
  <c r="U144" i="33" s="1"/>
  <c r="V143" i="33"/>
  <c r="W143" i="33" s="1"/>
  <c r="T143" i="33"/>
  <c r="U143" i="33" s="1"/>
  <c r="V142" i="33"/>
  <c r="W142" i="33" s="1"/>
  <c r="U142" i="33"/>
  <c r="T142" i="33"/>
  <c r="V141" i="33"/>
  <c r="U141" i="33"/>
  <c r="T141" i="33"/>
  <c r="V140" i="33"/>
  <c r="T140" i="33"/>
  <c r="U140" i="33" s="1"/>
  <c r="V139" i="33"/>
  <c r="W139" i="33" s="1"/>
  <c r="T139" i="33"/>
  <c r="U139" i="33" s="1"/>
  <c r="V138" i="33"/>
  <c r="R138" i="33"/>
  <c r="Q138" i="33"/>
  <c r="T138" i="33" s="1"/>
  <c r="U138" i="33" s="1"/>
  <c r="V137" i="33"/>
  <c r="W137" i="33" s="1"/>
  <c r="T137" i="33"/>
  <c r="U137" i="33" s="1"/>
  <c r="V136" i="33"/>
  <c r="W136" i="33" s="1"/>
  <c r="U136" i="33"/>
  <c r="T136" i="33"/>
  <c r="V135" i="33"/>
  <c r="U135" i="33"/>
  <c r="T135" i="33"/>
  <c r="V134" i="33"/>
  <c r="T134" i="33"/>
  <c r="U134" i="33" s="1"/>
  <c r="V133" i="33"/>
  <c r="W133" i="33" s="1"/>
  <c r="T133" i="33"/>
  <c r="U133" i="33" s="1"/>
  <c r="V132" i="33"/>
  <c r="W132" i="33" s="1"/>
  <c r="U132" i="33"/>
  <c r="T132" i="33"/>
  <c r="V131" i="33"/>
  <c r="U131" i="33"/>
  <c r="T131" i="33"/>
  <c r="V130" i="33"/>
  <c r="T130" i="33"/>
  <c r="U130" i="33" s="1"/>
  <c r="V129" i="33"/>
  <c r="W129" i="33" s="1"/>
  <c r="T129" i="33"/>
  <c r="U129" i="33" s="1"/>
  <c r="V128" i="33"/>
  <c r="R128" i="33"/>
  <c r="Q128" i="33"/>
  <c r="T128" i="33" s="1"/>
  <c r="U128" i="33" s="1"/>
  <c r="V127" i="33"/>
  <c r="W127" i="33" s="1"/>
  <c r="T127" i="33"/>
  <c r="U127" i="33" s="1"/>
  <c r="V126" i="33"/>
  <c r="W126" i="33" s="1"/>
  <c r="U126" i="33"/>
  <c r="T126" i="33"/>
  <c r="V125" i="33"/>
  <c r="U125" i="33"/>
  <c r="T125" i="33"/>
  <c r="V124" i="33"/>
  <c r="T124" i="33"/>
  <c r="U124" i="33" s="1"/>
  <c r="R124" i="33"/>
  <c r="Q124" i="33"/>
  <c r="V123" i="33"/>
  <c r="U123" i="33"/>
  <c r="T123" i="33"/>
  <c r="V122" i="33"/>
  <c r="T122" i="33"/>
  <c r="U122" i="33" s="1"/>
  <c r="R122" i="33"/>
  <c r="V121" i="33"/>
  <c r="T121" i="33"/>
  <c r="U121" i="33" s="1"/>
  <c r="V120" i="33"/>
  <c r="W120" i="33" s="1"/>
  <c r="T120" i="33"/>
  <c r="U120" i="33" s="1"/>
  <c r="V119" i="33"/>
  <c r="W119" i="33" s="1"/>
  <c r="U119" i="33"/>
  <c r="T119" i="33"/>
  <c r="V118" i="33"/>
  <c r="U118" i="33"/>
  <c r="T118" i="33"/>
  <c r="V117" i="33"/>
  <c r="T117" i="33"/>
  <c r="U117" i="33" s="1"/>
  <c r="V116" i="33"/>
  <c r="R116" i="33"/>
  <c r="T116" i="33" s="1"/>
  <c r="U116" i="33" s="1"/>
  <c r="V115" i="33"/>
  <c r="W115" i="33" s="1"/>
  <c r="T115" i="33"/>
  <c r="U115" i="33" s="1"/>
  <c r="V114" i="33"/>
  <c r="W114" i="33" s="1"/>
  <c r="U114" i="33"/>
  <c r="T114" i="33"/>
  <c r="V113" i="33"/>
  <c r="U113" i="33"/>
  <c r="T113" i="33"/>
  <c r="V112" i="33"/>
  <c r="T112" i="33"/>
  <c r="U112" i="33" s="1"/>
  <c r="V111" i="33"/>
  <c r="W111" i="33" s="1"/>
  <c r="T111" i="33"/>
  <c r="U111" i="33" s="1"/>
  <c r="V110" i="33"/>
  <c r="W110" i="33" s="1"/>
  <c r="U110" i="33"/>
  <c r="T110" i="33"/>
  <c r="V109" i="33"/>
  <c r="U109" i="33"/>
  <c r="T109" i="33"/>
  <c r="R109" i="33"/>
  <c r="V108" i="33"/>
  <c r="U108" i="33"/>
  <c r="T108" i="33"/>
  <c r="V107" i="33"/>
  <c r="T107" i="33"/>
  <c r="U107" i="33" s="1"/>
  <c r="V106" i="33"/>
  <c r="W106" i="33" s="1"/>
  <c r="T106" i="33"/>
  <c r="U106" i="33" s="1"/>
  <c r="V105" i="33"/>
  <c r="W105" i="33" s="1"/>
  <c r="U105" i="33"/>
  <c r="T105" i="33"/>
  <c r="V104" i="33"/>
  <c r="U104" i="33"/>
  <c r="T104" i="33"/>
  <c r="V103" i="33"/>
  <c r="T103" i="33"/>
  <c r="U103" i="33" s="1"/>
  <c r="V102" i="33"/>
  <c r="W102" i="33" s="1"/>
  <c r="T102" i="33"/>
  <c r="U102" i="33" s="1"/>
  <c r="V101" i="33"/>
  <c r="W101" i="33" s="1"/>
  <c r="U101" i="33"/>
  <c r="T101" i="33"/>
  <c r="V100" i="33"/>
  <c r="U100" i="33"/>
  <c r="T100" i="33"/>
  <c r="V99" i="33"/>
  <c r="T99" i="33"/>
  <c r="U99" i="33" s="1"/>
  <c r="V98" i="33"/>
  <c r="W98" i="33" s="1"/>
  <c r="T98" i="33"/>
  <c r="U98" i="33" s="1"/>
  <c r="V97" i="33"/>
  <c r="W97" i="33" s="1"/>
  <c r="U97" i="33"/>
  <c r="T97" i="33"/>
  <c r="V96" i="33"/>
  <c r="U96" i="33"/>
  <c r="T96" i="33"/>
  <c r="V95" i="33"/>
  <c r="T95" i="33"/>
  <c r="U95" i="33" s="1"/>
  <c r="V94" i="33"/>
  <c r="W94" i="33" s="1"/>
  <c r="T94" i="33"/>
  <c r="U94" i="33" s="1"/>
  <c r="V93" i="33"/>
  <c r="W93" i="33" s="1"/>
  <c r="U93" i="33"/>
  <c r="T93" i="33"/>
  <c r="V92" i="33"/>
  <c r="U92" i="33"/>
  <c r="T92" i="33"/>
  <c r="V91" i="33"/>
  <c r="T91" i="33"/>
  <c r="U91" i="33" s="1"/>
  <c r="R91" i="33"/>
  <c r="V90" i="33"/>
  <c r="T90" i="33"/>
  <c r="U90" i="33" s="1"/>
  <c r="R90" i="33"/>
  <c r="V89" i="33"/>
  <c r="T89" i="33"/>
  <c r="U89" i="33" s="1"/>
  <c r="V88" i="33"/>
  <c r="W88" i="33" s="1"/>
  <c r="T88" i="33"/>
  <c r="U88" i="33" s="1"/>
  <c r="V87" i="33"/>
  <c r="W87" i="33" s="1"/>
  <c r="U87" i="33"/>
  <c r="T87" i="33"/>
  <c r="V86" i="33"/>
  <c r="U86" i="33"/>
  <c r="T86" i="33"/>
  <c r="V85" i="33"/>
  <c r="T85" i="33"/>
  <c r="U85" i="33" s="1"/>
  <c r="V84" i="33"/>
  <c r="R84" i="33"/>
  <c r="Q84" i="33"/>
  <c r="T84" i="33" s="1"/>
  <c r="U84" i="33" s="1"/>
  <c r="V83" i="33"/>
  <c r="T83" i="33"/>
  <c r="U83" i="33" s="1"/>
  <c r="V82" i="33"/>
  <c r="W82" i="33" s="1"/>
  <c r="U82" i="33"/>
  <c r="T82" i="33"/>
  <c r="V81" i="33"/>
  <c r="W81" i="33" s="1"/>
  <c r="U81" i="33"/>
  <c r="T81" i="33"/>
  <c r="V80" i="33"/>
  <c r="U80" i="33"/>
  <c r="T80" i="33"/>
  <c r="V79" i="33"/>
  <c r="T79" i="33"/>
  <c r="U79" i="33" s="1"/>
  <c r="V78" i="33"/>
  <c r="W78" i="33" s="1"/>
  <c r="U78" i="33"/>
  <c r="T78" i="33"/>
  <c r="V77" i="33"/>
  <c r="W77" i="33" s="1"/>
  <c r="U77" i="33"/>
  <c r="T77" i="33"/>
  <c r="V76" i="33"/>
  <c r="U76" i="33"/>
  <c r="T76" i="33"/>
  <c r="V75" i="33"/>
  <c r="T75" i="33"/>
  <c r="U75" i="33" s="1"/>
  <c r="V74" i="33"/>
  <c r="W74" i="33" s="1"/>
  <c r="U74" i="33"/>
  <c r="T74" i="33"/>
  <c r="V73" i="33"/>
  <c r="W73" i="33" s="1"/>
  <c r="U73" i="33"/>
  <c r="T73" i="33"/>
  <c r="V72" i="33"/>
  <c r="U72" i="33"/>
  <c r="T72" i="33"/>
  <c r="V71" i="33"/>
  <c r="T71" i="33"/>
  <c r="U71" i="33" s="1"/>
  <c r="V70" i="33"/>
  <c r="R70" i="33"/>
  <c r="T70" i="33" s="1"/>
  <c r="U70" i="33" s="1"/>
  <c r="V69" i="33"/>
  <c r="W69" i="33" s="1"/>
  <c r="U69" i="33"/>
  <c r="T69" i="33"/>
  <c r="V68" i="33"/>
  <c r="W68" i="33" s="1"/>
  <c r="U68" i="33"/>
  <c r="T68" i="33"/>
  <c r="V67" i="33"/>
  <c r="U67" i="33"/>
  <c r="T67" i="33"/>
  <c r="V66" i="33"/>
  <c r="T66" i="33"/>
  <c r="U66" i="33" s="1"/>
  <c r="V65" i="33"/>
  <c r="W65" i="33" s="1"/>
  <c r="U65" i="33"/>
  <c r="T65" i="33"/>
  <c r="V64" i="33"/>
  <c r="W64" i="33" s="1"/>
  <c r="U64" i="33"/>
  <c r="T64" i="33"/>
  <c r="V63" i="33"/>
  <c r="U63" i="33"/>
  <c r="T63" i="33"/>
  <c r="V62" i="33"/>
  <c r="T62" i="33"/>
  <c r="U62" i="33" s="1"/>
  <c r="V61" i="33"/>
  <c r="W61" i="33" s="1"/>
  <c r="T61" i="33"/>
  <c r="U61" i="33" s="1"/>
  <c r="V60" i="33"/>
  <c r="W60" i="33" s="1"/>
  <c r="U60" i="33"/>
  <c r="T60" i="33"/>
  <c r="V59" i="33"/>
  <c r="U59" i="33"/>
  <c r="T59" i="33"/>
  <c r="V58" i="33"/>
  <c r="T58" i="33"/>
  <c r="U58" i="33" s="1"/>
  <c r="V57" i="33"/>
  <c r="W57" i="33" s="1"/>
  <c r="T57" i="33"/>
  <c r="U57" i="33" s="1"/>
  <c r="V56" i="33"/>
  <c r="W56" i="33" s="1"/>
  <c r="U56" i="33"/>
  <c r="T56" i="33"/>
  <c r="V55" i="33"/>
  <c r="U55" i="33"/>
  <c r="T55" i="33"/>
  <c r="V54" i="33"/>
  <c r="T54" i="33"/>
  <c r="U54" i="33" s="1"/>
  <c r="V53" i="33"/>
  <c r="W53" i="33" s="1"/>
  <c r="T53" i="33"/>
  <c r="U53" i="33" s="1"/>
  <c r="V52" i="33"/>
  <c r="W52" i="33" s="1"/>
  <c r="U52" i="33"/>
  <c r="T52" i="33"/>
  <c r="V51" i="33"/>
  <c r="U51" i="33"/>
  <c r="T51" i="33"/>
  <c r="V50" i="33"/>
  <c r="T50" i="33"/>
  <c r="U50" i="33" s="1"/>
  <c r="V49" i="33"/>
  <c r="W49" i="33" s="1"/>
  <c r="T49" i="33"/>
  <c r="U49" i="33" s="1"/>
  <c r="V48" i="33"/>
  <c r="W48" i="33" s="1"/>
  <c r="U48" i="33"/>
  <c r="T48" i="33"/>
  <c r="V47" i="33"/>
  <c r="U47" i="33"/>
  <c r="T47" i="33"/>
  <c r="V46" i="33"/>
  <c r="T46" i="33"/>
  <c r="U46" i="33" s="1"/>
  <c r="V45" i="33"/>
  <c r="W45" i="33" s="1"/>
  <c r="T45" i="33"/>
  <c r="U45" i="33" s="1"/>
  <c r="V44" i="33"/>
  <c r="W44" i="33" s="1"/>
  <c r="U44" i="33"/>
  <c r="T44" i="33"/>
  <c r="V43" i="33"/>
  <c r="U43" i="33"/>
  <c r="T43" i="33"/>
  <c r="V42" i="33"/>
  <c r="T42" i="33"/>
  <c r="U42" i="33" s="1"/>
  <c r="R42" i="33"/>
  <c r="V41" i="33"/>
  <c r="T41" i="33"/>
  <c r="U41" i="33" s="1"/>
  <c r="V40" i="33"/>
  <c r="W40" i="33" s="1"/>
  <c r="T40" i="33"/>
  <c r="U40" i="33" s="1"/>
  <c r="V32" i="33"/>
  <c r="U32" i="33"/>
  <c r="T32" i="33"/>
  <c r="U183" i="33" l="1"/>
  <c r="W138" i="33"/>
  <c r="C62" i="36"/>
  <c r="C61" i="36"/>
  <c r="K23" i="19"/>
  <c r="W70" i="33"/>
  <c r="W84" i="33"/>
  <c r="W116" i="33"/>
  <c r="C14" i="36"/>
  <c r="C16" i="36"/>
  <c r="C15" i="36"/>
  <c r="K17" i="19"/>
  <c r="C49" i="21"/>
  <c r="C13" i="19"/>
  <c r="K13" i="19"/>
  <c r="C60" i="36"/>
  <c r="C59" i="36"/>
  <c r="K22" i="19"/>
  <c r="C113" i="36"/>
  <c r="C114" i="36"/>
  <c r="K33" i="19"/>
  <c r="C44" i="28"/>
  <c r="C110" i="36"/>
  <c r="C109" i="36"/>
  <c r="K31" i="19"/>
  <c r="C36" i="19"/>
  <c r="C64" i="26" s="1"/>
  <c r="K36" i="19"/>
  <c r="C40" i="19"/>
  <c r="K40" i="19"/>
  <c r="C53" i="21"/>
  <c r="C47" i="36"/>
  <c r="C48" i="36"/>
  <c r="K63" i="19"/>
  <c r="C173" i="36"/>
  <c r="C172" i="36"/>
  <c r="K58" i="19"/>
  <c r="C104" i="36"/>
  <c r="C103" i="36"/>
  <c r="K71" i="19"/>
  <c r="C129" i="36"/>
  <c r="C128" i="36"/>
  <c r="K97" i="19"/>
  <c r="C66" i="19"/>
  <c r="K66" i="19"/>
  <c r="C149" i="36"/>
  <c r="C148" i="36"/>
  <c r="K110" i="19"/>
  <c r="B58" i="26"/>
  <c r="K78" i="19"/>
  <c r="B60" i="26"/>
  <c r="K86" i="19"/>
  <c r="C106" i="19"/>
  <c r="K106" i="19"/>
  <c r="C79" i="36"/>
  <c r="C80" i="36"/>
  <c r="K147" i="19"/>
  <c r="C73" i="36"/>
  <c r="C74" i="36"/>
  <c r="K143" i="19"/>
  <c r="C101" i="36"/>
  <c r="C102" i="36"/>
  <c r="K164" i="19"/>
  <c r="C177" i="36"/>
  <c r="C176" i="36"/>
  <c r="K116" i="19"/>
  <c r="C18" i="21"/>
  <c r="C180" i="36"/>
  <c r="C182" i="36"/>
  <c r="C181" i="36"/>
  <c r="K177" i="19"/>
  <c r="C9" i="21"/>
  <c r="C132" i="19"/>
  <c r="K132" i="19"/>
  <c r="C30" i="36"/>
  <c r="K188" i="19"/>
  <c r="C171" i="36"/>
  <c r="C170" i="36"/>
  <c r="K51" i="19"/>
  <c r="C162" i="36"/>
  <c r="C161" i="36"/>
  <c r="K193" i="19"/>
  <c r="B72" i="26"/>
  <c r="K154" i="19"/>
  <c r="C8" i="36"/>
  <c r="C7" i="36"/>
  <c r="K125" i="19"/>
  <c r="C166" i="19"/>
  <c r="K166" i="19"/>
  <c r="C170" i="19"/>
  <c r="K170" i="19"/>
  <c r="C154" i="36"/>
  <c r="C153" i="36"/>
  <c r="K113" i="19"/>
  <c r="C21" i="36"/>
  <c r="C22" i="36"/>
  <c r="D13" i="32"/>
  <c r="K119" i="19"/>
  <c r="C56" i="36"/>
  <c r="C55" i="36"/>
  <c r="K122" i="19"/>
  <c r="C28" i="36"/>
  <c r="C27" i="36"/>
  <c r="K47" i="19"/>
  <c r="C178" i="36"/>
  <c r="C179" i="36"/>
  <c r="K117" i="19"/>
  <c r="W128" i="33"/>
  <c r="C64" i="36"/>
  <c r="C63" i="36"/>
  <c r="K26" i="19"/>
  <c r="C42" i="19"/>
  <c r="K42" i="19"/>
  <c r="C34" i="36"/>
  <c r="C33" i="36"/>
  <c r="K61" i="19"/>
  <c r="C59" i="19"/>
  <c r="K59" i="19"/>
  <c r="C53" i="36"/>
  <c r="C54" i="36"/>
  <c r="K108" i="19"/>
  <c r="C67" i="19"/>
  <c r="K67" i="19"/>
  <c r="C150" i="36"/>
  <c r="C151" i="36"/>
  <c r="D15" i="32"/>
  <c r="D11" i="32"/>
  <c r="K111" i="19"/>
  <c r="C75" i="19"/>
  <c r="K75" i="19"/>
  <c r="C95" i="19"/>
  <c r="K95" i="19"/>
  <c r="C135" i="36"/>
  <c r="C134" i="36"/>
  <c r="K130" i="19"/>
  <c r="C83" i="36"/>
  <c r="C82" i="36"/>
  <c r="C81" i="36"/>
  <c r="C19" i="27"/>
  <c r="K148" i="19"/>
  <c r="C60" i="28"/>
  <c r="C90" i="36"/>
  <c r="C89" i="36"/>
  <c r="K150" i="19"/>
  <c r="C96" i="36"/>
  <c r="C95" i="36"/>
  <c r="K161" i="19"/>
  <c r="D9" i="32"/>
  <c r="C12" i="36"/>
  <c r="C13" i="36"/>
  <c r="K178" i="19"/>
  <c r="C157" i="36"/>
  <c r="C158" i="36"/>
  <c r="K183" i="19"/>
  <c r="C47" i="21"/>
  <c r="C119" i="36"/>
  <c r="C118" i="36"/>
  <c r="K191" i="19"/>
  <c r="C45" i="27"/>
  <c r="C165" i="36"/>
  <c r="C163" i="36"/>
  <c r="C164" i="36"/>
  <c r="K194" i="19"/>
  <c r="C15" i="21"/>
  <c r="C155" i="19"/>
  <c r="K155" i="19"/>
  <c r="C159" i="19"/>
  <c r="K159" i="19"/>
  <c r="C10" i="36"/>
  <c r="C11" i="36"/>
  <c r="C9" i="36"/>
  <c r="K127" i="19"/>
  <c r="C21" i="21"/>
  <c r="C175" i="19"/>
  <c r="K175" i="19"/>
  <c r="C179" i="19"/>
  <c r="K179" i="19"/>
  <c r="C31" i="21"/>
  <c r="C175" i="36"/>
  <c r="C174" i="36"/>
  <c r="K114" i="19"/>
  <c r="C187" i="19"/>
  <c r="K187" i="19"/>
  <c r="C25" i="36"/>
  <c r="C26" i="36"/>
  <c r="K45" i="19"/>
  <c r="C39" i="36"/>
  <c r="C38" i="36"/>
  <c r="D12" i="32"/>
  <c r="K9" i="19"/>
  <c r="C19" i="36"/>
  <c r="C17" i="36"/>
  <c r="C20" i="36"/>
  <c r="C18" i="36"/>
  <c r="C4" i="27"/>
  <c r="K18" i="19"/>
  <c r="C108" i="36"/>
  <c r="K30" i="19"/>
  <c r="C50" i="19"/>
  <c r="K50" i="19"/>
  <c r="W43" i="33"/>
  <c r="W47" i="33"/>
  <c r="W51" i="33"/>
  <c r="W55" i="33"/>
  <c r="W59" i="33"/>
  <c r="W63" i="33"/>
  <c r="W67" i="33"/>
  <c r="W72" i="33"/>
  <c r="W76" i="33"/>
  <c r="W80" i="33"/>
  <c r="W86" i="33"/>
  <c r="W92" i="33"/>
  <c r="W96" i="33"/>
  <c r="W100" i="33"/>
  <c r="W104" i="33"/>
  <c r="W108" i="33"/>
  <c r="W109" i="33"/>
  <c r="W113" i="33"/>
  <c r="W118" i="33"/>
  <c r="W123" i="33"/>
  <c r="W125" i="33"/>
  <c r="W131" i="33"/>
  <c r="W135" i="33"/>
  <c r="W141" i="33"/>
  <c r="W145" i="33"/>
  <c r="W146" i="33"/>
  <c r="W148" i="33"/>
  <c r="W150" i="33"/>
  <c r="W154" i="33"/>
  <c r="W158" i="33"/>
  <c r="W162" i="33"/>
  <c r="W166" i="33"/>
  <c r="W168" i="33"/>
  <c r="D67" i="36"/>
  <c r="D66" i="36"/>
  <c r="D68" i="36"/>
  <c r="D42" i="27"/>
  <c r="D41" i="27"/>
  <c r="D46" i="36"/>
  <c r="D45" i="36"/>
  <c r="D39" i="27"/>
  <c r="D156" i="36"/>
  <c r="D155" i="36"/>
  <c r="D144" i="36"/>
  <c r="D107" i="36"/>
  <c r="D106" i="36"/>
  <c r="D145" i="36"/>
  <c r="D105" i="36"/>
  <c r="D138" i="36"/>
  <c r="D37" i="27"/>
  <c r="D140" i="36"/>
  <c r="D139" i="36"/>
  <c r="D10" i="28"/>
  <c r="D12" i="21"/>
  <c r="D99" i="36"/>
  <c r="D127" i="36"/>
  <c r="D124" i="36"/>
  <c r="D100" i="36"/>
  <c r="D126" i="36"/>
  <c r="D125" i="36"/>
  <c r="D11" i="21"/>
  <c r="C11" i="19"/>
  <c r="K11" i="19"/>
  <c r="C25" i="19"/>
  <c r="C5" i="26" s="1"/>
  <c r="K25" i="19"/>
  <c r="C65" i="36"/>
  <c r="K29" i="19"/>
  <c r="C34" i="19"/>
  <c r="K34" i="19"/>
  <c r="C38" i="19"/>
  <c r="K38" i="19"/>
  <c r="C29" i="36"/>
  <c r="K55" i="19"/>
  <c r="C53" i="28"/>
  <c r="C32" i="36"/>
  <c r="C31" i="36"/>
  <c r="K60" i="19"/>
  <c r="C49" i="36"/>
  <c r="K99" i="19"/>
  <c r="C64" i="19"/>
  <c r="K64" i="19"/>
  <c r="C146" i="36"/>
  <c r="C147" i="36"/>
  <c r="K109" i="19"/>
  <c r="C76" i="36"/>
  <c r="C75" i="36"/>
  <c r="K145" i="19"/>
  <c r="C91" i="36"/>
  <c r="C92" i="36"/>
  <c r="K151" i="19"/>
  <c r="C97" i="36"/>
  <c r="C98" i="36"/>
  <c r="K162" i="19"/>
  <c r="C32" i="27"/>
  <c r="C160" i="36"/>
  <c r="C159" i="36"/>
  <c r="K184" i="19"/>
  <c r="C11" i="27"/>
  <c r="C37" i="36"/>
  <c r="C35" i="36"/>
  <c r="C36" i="36"/>
  <c r="C10" i="27"/>
  <c r="K189" i="19"/>
  <c r="C52" i="28"/>
  <c r="C116" i="36"/>
  <c r="C117" i="36"/>
  <c r="C115" i="36"/>
  <c r="C46" i="27"/>
  <c r="K190" i="19"/>
  <c r="C166" i="36"/>
  <c r="C167" i="36"/>
  <c r="K195" i="19"/>
  <c r="C160" i="19"/>
  <c r="K160" i="19"/>
  <c r="C172" i="19"/>
  <c r="K172" i="19"/>
  <c r="C85" i="36"/>
  <c r="C84" i="36"/>
  <c r="K186" i="19"/>
  <c r="C72" i="36"/>
  <c r="C71" i="36"/>
  <c r="K115" i="19"/>
  <c r="C43" i="36"/>
  <c r="C44" i="36"/>
  <c r="K121" i="19"/>
  <c r="C41" i="36"/>
  <c r="C42" i="36"/>
  <c r="C40" i="36"/>
  <c r="K49" i="19"/>
  <c r="C39" i="21"/>
  <c r="N41" i="27"/>
  <c r="O41" i="27" s="1"/>
  <c r="P41" i="27" s="1"/>
  <c r="K41" i="27" s="1"/>
  <c r="N42" i="27"/>
  <c r="O42" i="27" s="1"/>
  <c r="P42" i="27" s="1"/>
  <c r="K42" i="27" s="1"/>
  <c r="N11" i="21"/>
  <c r="O11" i="21" s="1"/>
  <c r="P11" i="21" s="1"/>
  <c r="K11" i="21" s="1"/>
  <c r="F31" i="38"/>
  <c r="F37" i="38" s="1"/>
  <c r="N68" i="36"/>
  <c r="O68" i="36" s="1"/>
  <c r="K68" i="36" s="1"/>
  <c r="N46" i="36"/>
  <c r="O46" i="36" s="1"/>
  <c r="N156" i="36"/>
  <c r="O156" i="36" s="1"/>
  <c r="N107" i="36"/>
  <c r="O107" i="36" s="1"/>
  <c r="K107" i="36" s="1"/>
  <c r="C10" i="19"/>
  <c r="K10" i="19"/>
  <c r="W41" i="33"/>
  <c r="W42" i="33"/>
  <c r="W46" i="33"/>
  <c r="W50" i="33"/>
  <c r="W54" i="33"/>
  <c r="W58" i="33"/>
  <c r="W62" i="33"/>
  <c r="W66" i="33"/>
  <c r="W71" i="33"/>
  <c r="W75" i="33"/>
  <c r="W79" i="33"/>
  <c r="W83" i="33"/>
  <c r="W85" i="33"/>
  <c r="W89" i="33"/>
  <c r="W90" i="33"/>
  <c r="W91" i="33"/>
  <c r="W95" i="33"/>
  <c r="W99" i="33"/>
  <c r="W103" i="33"/>
  <c r="W107" i="33"/>
  <c r="W112" i="33"/>
  <c r="W117" i="33"/>
  <c r="W121" i="33"/>
  <c r="W122" i="33"/>
  <c r="W124" i="33"/>
  <c r="W130" i="33"/>
  <c r="W134" i="33"/>
  <c r="W140" i="33"/>
  <c r="W144" i="33"/>
  <c r="W147" i="33"/>
  <c r="W153" i="33"/>
  <c r="W157" i="33"/>
  <c r="W161" i="33"/>
  <c r="W165" i="33"/>
  <c r="W171" i="33"/>
  <c r="W172" i="33"/>
  <c r="C12" i="19"/>
  <c r="K12" i="19"/>
  <c r="C16" i="19"/>
  <c r="K16" i="19"/>
  <c r="C4" i="36"/>
  <c r="C3" i="36"/>
  <c r="K14" i="19"/>
  <c r="C133" i="36"/>
  <c r="C132" i="36"/>
  <c r="K35" i="19"/>
  <c r="C152" i="36"/>
  <c r="K41" i="19"/>
  <c r="C111" i="36"/>
  <c r="C112" i="36"/>
  <c r="K32" i="19"/>
  <c r="C39" i="19"/>
  <c r="K39" i="19"/>
  <c r="C143" i="36"/>
  <c r="C142" i="36"/>
  <c r="K53" i="19"/>
  <c r="C48" i="27"/>
  <c r="C48" i="19"/>
  <c r="K48" i="19"/>
  <c r="C52" i="19"/>
  <c r="K52" i="19"/>
  <c r="C57" i="19"/>
  <c r="K57" i="19"/>
  <c r="C51" i="36"/>
  <c r="C52" i="36"/>
  <c r="C50" i="36"/>
  <c r="K101" i="19"/>
  <c r="C44" i="21"/>
  <c r="C69" i="19"/>
  <c r="K69" i="19"/>
  <c r="C73" i="19"/>
  <c r="K73" i="19"/>
  <c r="C77" i="19"/>
  <c r="K77" i="19"/>
  <c r="C85" i="19"/>
  <c r="K85" i="19"/>
  <c r="C130" i="36"/>
  <c r="C131" i="36"/>
  <c r="K129" i="19"/>
  <c r="C141" i="36"/>
  <c r="K140" i="19"/>
  <c r="C3" i="28"/>
  <c r="C78" i="36"/>
  <c r="C77" i="36"/>
  <c r="K146" i="19"/>
  <c r="C86" i="36"/>
  <c r="C87" i="36"/>
  <c r="C23" i="27"/>
  <c r="K149" i="19"/>
  <c r="C24" i="27"/>
  <c r="C93" i="36"/>
  <c r="C94" i="36"/>
  <c r="K152" i="19"/>
  <c r="C8" i="21"/>
  <c r="C123" i="36"/>
  <c r="C122" i="36"/>
  <c r="K180" i="19"/>
  <c r="C136" i="36"/>
  <c r="C137" i="36"/>
  <c r="K182" i="19"/>
  <c r="C131" i="19"/>
  <c r="K131" i="19"/>
  <c r="C144" i="19"/>
  <c r="K144" i="19"/>
  <c r="C121" i="36"/>
  <c r="C120" i="36"/>
  <c r="K192" i="19"/>
  <c r="C153" i="19"/>
  <c r="K153" i="19"/>
  <c r="C157" i="19"/>
  <c r="K157" i="19"/>
  <c r="C6" i="36"/>
  <c r="C5" i="36"/>
  <c r="K124" i="19"/>
  <c r="C70" i="36"/>
  <c r="C69" i="36"/>
  <c r="K70" i="19"/>
  <c r="C58" i="36"/>
  <c r="C57" i="36"/>
  <c r="K118" i="19"/>
  <c r="C24" i="36"/>
  <c r="C23" i="36"/>
  <c r="K120" i="19"/>
  <c r="C168" i="36"/>
  <c r="C169" i="36"/>
  <c r="K123" i="19"/>
  <c r="G14" i="32"/>
  <c r="G15" i="32"/>
  <c r="G11" i="32"/>
  <c r="G13" i="32"/>
  <c r="G12" i="32"/>
  <c r="G10" i="32"/>
  <c r="G9" i="32"/>
  <c r="K156" i="36"/>
  <c r="K46" i="36"/>
  <c r="N12" i="21"/>
  <c r="O12" i="21" s="1"/>
  <c r="P12" i="21" s="1"/>
  <c r="K12" i="21" s="1"/>
  <c r="H197" i="19"/>
  <c r="I197" i="19"/>
  <c r="N67" i="36"/>
  <c r="O67" i="36" s="1"/>
  <c r="K67" i="36" s="1"/>
  <c r="N155" i="36"/>
  <c r="O155" i="36" s="1"/>
  <c r="K155" i="36" s="1"/>
  <c r="N139" i="36"/>
  <c r="O139" i="36" s="1"/>
  <c r="K139" i="36" s="1"/>
  <c r="N100" i="36"/>
  <c r="O100" i="36" s="1"/>
  <c r="K100" i="36" s="1"/>
  <c r="N66" i="36"/>
  <c r="O66" i="36" s="1"/>
  <c r="K66" i="36" s="1"/>
  <c r="N10" i="28"/>
  <c r="O10" i="28" s="1"/>
  <c r="P10" i="28" s="1"/>
  <c r="K10" i="28" s="1"/>
  <c r="N124" i="36"/>
  <c r="O124" i="36" s="1"/>
  <c r="K124" i="36" s="1"/>
  <c r="N140" i="36"/>
  <c r="O140" i="36" s="1"/>
  <c r="K140" i="36" s="1"/>
  <c r="N37" i="27"/>
  <c r="O37" i="27" s="1"/>
  <c r="P37" i="27" s="1"/>
  <c r="K37" i="27" s="1"/>
  <c r="N39" i="27"/>
  <c r="O39" i="27" s="1"/>
  <c r="P39" i="27" s="1"/>
  <c r="K39" i="27" s="1"/>
  <c r="D79" i="28"/>
  <c r="L44" i="28"/>
  <c r="M44" i="28" s="1"/>
  <c r="N44" i="28" s="1"/>
  <c r="O44" i="28" s="1"/>
  <c r="P44" i="28" s="1"/>
  <c r="K44" i="28" s="1"/>
  <c r="L53" i="21"/>
  <c r="M53" i="21" s="1"/>
  <c r="C23" i="21"/>
  <c r="C18" i="28"/>
  <c r="C18" i="27"/>
  <c r="D9" i="26"/>
  <c r="H9" i="26" s="1"/>
  <c r="F9" i="26" s="1"/>
  <c r="I9" i="26" s="1"/>
  <c r="G9" i="26" s="1"/>
  <c r="D51" i="27"/>
  <c r="D36" i="27"/>
  <c r="C3" i="27"/>
  <c r="C13" i="21"/>
  <c r="L13" i="21" s="1"/>
  <c r="M13" i="21" s="1"/>
  <c r="L11" i="27"/>
  <c r="M11" i="27" s="1"/>
  <c r="N11" i="27" s="1"/>
  <c r="O11" i="27" s="1"/>
  <c r="P11" i="27" s="1"/>
  <c r="K11" i="27" s="1"/>
  <c r="C47" i="27"/>
  <c r="L47" i="27" s="1"/>
  <c r="M47" i="27" s="1"/>
  <c r="N47" i="27" s="1"/>
  <c r="O47" i="27" s="1"/>
  <c r="P47" i="27" s="1"/>
  <c r="K47" i="27" s="1"/>
  <c r="C44" i="27"/>
  <c r="C80" i="28"/>
  <c r="C35" i="19"/>
  <c r="C21" i="27"/>
  <c r="L21" i="27" s="1"/>
  <c r="M21" i="27" s="1"/>
  <c r="N21" i="27" s="1"/>
  <c r="O21" i="27" s="1"/>
  <c r="P21" i="27" s="1"/>
  <c r="K21" i="27" s="1"/>
  <c r="N105" i="36"/>
  <c r="O105" i="36" s="1"/>
  <c r="K105" i="36" s="1"/>
  <c r="N51" i="27"/>
  <c r="O51" i="27" s="1"/>
  <c r="P51" i="27" s="1"/>
  <c r="K51" i="27" s="1"/>
  <c r="N36" i="27"/>
  <c r="O36" i="27" s="1"/>
  <c r="P36" i="27" s="1"/>
  <c r="K36" i="27" s="1"/>
  <c r="N79" i="28"/>
  <c r="O79" i="28" s="1"/>
  <c r="P79" i="28" s="1"/>
  <c r="K79" i="28" s="1"/>
  <c r="L8" i="21"/>
  <c r="M8" i="21" s="1"/>
  <c r="C49" i="27"/>
  <c r="C9" i="27"/>
  <c r="B39" i="26"/>
  <c r="D39" i="26" s="1"/>
  <c r="C36" i="28"/>
  <c r="L36" i="28" s="1"/>
  <c r="M36" i="28" s="1"/>
  <c r="C88" i="28"/>
  <c r="L88" i="28" s="1"/>
  <c r="M88" i="28" s="1"/>
  <c r="N88" i="28" s="1"/>
  <c r="O88" i="28" s="1"/>
  <c r="P88" i="28" s="1"/>
  <c r="K88" i="28" s="1"/>
  <c r="C28" i="28"/>
  <c r="L28" i="28" s="1"/>
  <c r="M28" i="28" s="1"/>
  <c r="C43" i="21"/>
  <c r="L43" i="21" s="1"/>
  <c r="C77" i="28"/>
  <c r="L77" i="28" s="1"/>
  <c r="M77" i="28" s="1"/>
  <c r="N77" i="28" s="1"/>
  <c r="O77" i="28" s="1"/>
  <c r="P77" i="28" s="1"/>
  <c r="K77" i="28" s="1"/>
  <c r="L31" i="21"/>
  <c r="D43" i="27"/>
  <c r="N43" i="27"/>
  <c r="O43" i="27" s="1"/>
  <c r="P43" i="27" s="1"/>
  <c r="K43" i="27" s="1"/>
  <c r="C11" i="28"/>
  <c r="C27" i="28"/>
  <c r="N16" i="27"/>
  <c r="O16" i="27" s="1"/>
  <c r="P16" i="27" s="1"/>
  <c r="K16" i="27" s="1"/>
  <c r="C50" i="27"/>
  <c r="L50" i="27" s="1"/>
  <c r="M50" i="27" s="1"/>
  <c r="N50" i="27" s="1"/>
  <c r="O50" i="27" s="1"/>
  <c r="P50" i="27" s="1"/>
  <c r="K50" i="27" s="1"/>
  <c r="C35" i="21"/>
  <c r="L35" i="21" s="1"/>
  <c r="M35" i="21" s="1"/>
  <c r="C53" i="27"/>
  <c r="L53" i="27" s="1"/>
  <c r="M53" i="27" s="1"/>
  <c r="N53" i="27" s="1"/>
  <c r="O53" i="27" s="1"/>
  <c r="P53" i="27" s="1"/>
  <c r="K53" i="27" s="1"/>
  <c r="C39" i="28"/>
  <c r="L39" i="28" s="1"/>
  <c r="M39" i="28" s="1"/>
  <c r="N39" i="28" s="1"/>
  <c r="O39" i="28" s="1"/>
  <c r="P39" i="28" s="1"/>
  <c r="K39" i="28" s="1"/>
  <c r="C23" i="28"/>
  <c r="C16" i="27"/>
  <c r="C6" i="21"/>
  <c r="L6" i="21" s="1"/>
  <c r="M6" i="21" s="1"/>
  <c r="C193" i="19"/>
  <c r="C69" i="26" s="1"/>
  <c r="B4" i="26"/>
  <c r="C129" i="19"/>
  <c r="C46" i="26" s="1"/>
  <c r="C30" i="27"/>
  <c r="L30" i="27" s="1"/>
  <c r="M30" i="27" s="1"/>
  <c r="N30" i="27" s="1"/>
  <c r="O30" i="27" s="1"/>
  <c r="P30" i="27" s="1"/>
  <c r="K30" i="27" s="1"/>
  <c r="C35" i="27"/>
  <c r="C14" i="28"/>
  <c r="C10" i="21"/>
  <c r="C17" i="21"/>
  <c r="L17" i="21" s="1"/>
  <c r="M17" i="21" s="1"/>
  <c r="C186" i="19"/>
  <c r="C20" i="27"/>
  <c r="C70" i="28"/>
  <c r="C29" i="21"/>
  <c r="C40" i="27"/>
  <c r="C7" i="27"/>
  <c r="C20" i="28"/>
  <c r="C85" i="28"/>
  <c r="L85" i="28" s="1"/>
  <c r="M85" i="28" s="1"/>
  <c r="N85" i="28" s="1"/>
  <c r="O85" i="28" s="1"/>
  <c r="P85" i="28" s="1"/>
  <c r="K85" i="28" s="1"/>
  <c r="C84" i="28"/>
  <c r="C45" i="21"/>
  <c r="L45" i="21" s="1"/>
  <c r="M45" i="21" s="1"/>
  <c r="C28" i="27"/>
  <c r="C16" i="21"/>
  <c r="L16" i="21" s="1"/>
  <c r="M16" i="21" s="1"/>
  <c r="C22" i="21"/>
  <c r="L22" i="21" s="1"/>
  <c r="M22" i="21" s="1"/>
  <c r="C17" i="28"/>
  <c r="D13" i="27"/>
  <c r="D87" i="28"/>
  <c r="D52" i="27"/>
  <c r="D35" i="26"/>
  <c r="D80" i="26"/>
  <c r="D54" i="28"/>
  <c r="J35" i="19"/>
  <c r="N54" i="28"/>
  <c r="O54" i="28" s="1"/>
  <c r="P54" i="28" s="1"/>
  <c r="K54" i="28" s="1"/>
  <c r="N13" i="27"/>
  <c r="O13" i="27" s="1"/>
  <c r="P13" i="27" s="1"/>
  <c r="K13" i="27" s="1"/>
  <c r="N52" i="27"/>
  <c r="O52" i="27" s="1"/>
  <c r="P52" i="27" s="1"/>
  <c r="K52" i="27" s="1"/>
  <c r="N87" i="28"/>
  <c r="O87" i="28" s="1"/>
  <c r="P87" i="28" s="1"/>
  <c r="K87" i="28" s="1"/>
  <c r="C114" i="19"/>
  <c r="D31" i="21" s="1"/>
  <c r="C9" i="19"/>
  <c r="E12" i="32" s="1"/>
  <c r="B28" i="26"/>
  <c r="D28" i="26" s="1"/>
  <c r="C16" i="28"/>
  <c r="L16" i="28" s="1"/>
  <c r="M16" i="28" s="1"/>
  <c r="D75" i="28"/>
  <c r="C34" i="27"/>
  <c r="N75" i="28"/>
  <c r="O75" i="28" s="1"/>
  <c r="P75" i="28" s="1"/>
  <c r="K75" i="28" s="1"/>
  <c r="N99" i="36"/>
  <c r="O99" i="36" s="1"/>
  <c r="K99" i="36" s="1"/>
  <c r="C26" i="27"/>
  <c r="L26" i="27" s="1"/>
  <c r="M26" i="27" s="1"/>
  <c r="N26" i="27" s="1"/>
  <c r="O26" i="27" s="1"/>
  <c r="P26" i="27" s="1"/>
  <c r="K26" i="27" s="1"/>
  <c r="B44" i="26"/>
  <c r="D44" i="26" s="1"/>
  <c r="I44" i="26" s="1"/>
  <c r="G44" i="26" s="1"/>
  <c r="C14" i="21"/>
  <c r="L14" i="21" s="1"/>
  <c r="M14" i="21" s="1"/>
  <c r="C24" i="28"/>
  <c r="B65" i="26"/>
  <c r="D65" i="26" s="1"/>
  <c r="B79" i="26"/>
  <c r="C78" i="28"/>
  <c r="L78" i="28" s="1"/>
  <c r="M78" i="28" s="1"/>
  <c r="N78" i="28" s="1"/>
  <c r="O78" i="28" s="1"/>
  <c r="P78" i="28" s="1"/>
  <c r="K78" i="28" s="1"/>
  <c r="C45" i="28"/>
  <c r="L45" i="28" s="1"/>
  <c r="M45" i="28" s="1"/>
  <c r="N45" i="28" s="1"/>
  <c r="O45" i="28" s="1"/>
  <c r="P45" i="28" s="1"/>
  <c r="K45" i="28" s="1"/>
  <c r="C116" i="19"/>
  <c r="C43" i="26" s="1"/>
  <c r="C51" i="28"/>
  <c r="C189" i="19"/>
  <c r="D11" i="27" s="1"/>
  <c r="C119" i="19"/>
  <c r="E13" i="32" s="1"/>
  <c r="C30" i="21"/>
  <c r="L30" i="21" s="1"/>
  <c r="M30" i="21" s="1"/>
  <c r="C32" i="21"/>
  <c r="L32" i="21" s="1"/>
  <c r="M32" i="21" s="1"/>
  <c r="C5" i="27"/>
  <c r="C5" i="21"/>
  <c r="C35" i="28"/>
  <c r="L35" i="28" s="1"/>
  <c r="D30" i="26"/>
  <c r="I30" i="26" s="1"/>
  <c r="G30" i="26" s="1"/>
  <c r="D68" i="28"/>
  <c r="C38" i="27"/>
  <c r="C19" i="28"/>
  <c r="L19" i="28" s="1"/>
  <c r="M19" i="28" s="1"/>
  <c r="N19" i="28" s="1"/>
  <c r="O19" i="28" s="1"/>
  <c r="P19" i="28" s="1"/>
  <c r="K19" i="28" s="1"/>
  <c r="C162" i="19"/>
  <c r="B71" i="26"/>
  <c r="D71" i="26" s="1"/>
  <c r="I71" i="26" s="1"/>
  <c r="G71" i="26" s="1"/>
  <c r="C13" i="28"/>
  <c r="C30" i="19"/>
  <c r="B54" i="26"/>
  <c r="D54" i="26" s="1"/>
  <c r="B37" i="26"/>
  <c r="D37" i="26" s="1"/>
  <c r="I37" i="26" s="1"/>
  <c r="G37" i="26" s="1"/>
  <c r="D72" i="26"/>
  <c r="C42" i="21"/>
  <c r="L42" i="21" s="1"/>
  <c r="N68" i="28"/>
  <c r="O68" i="28" s="1"/>
  <c r="P68" i="28" s="1"/>
  <c r="K68" i="28" s="1"/>
  <c r="N6" i="39"/>
  <c r="C36" i="21"/>
  <c r="L36" i="21" s="1"/>
  <c r="N36" i="21" s="1"/>
  <c r="D29" i="27"/>
  <c r="N29" i="27"/>
  <c r="O29" i="27" s="1"/>
  <c r="P29" i="27" s="1"/>
  <c r="K29" i="27" s="1"/>
  <c r="C8" i="27"/>
  <c r="C152" i="19"/>
  <c r="C122" i="19"/>
  <c r="C7" i="28"/>
  <c r="C55" i="28"/>
  <c r="C25" i="21"/>
  <c r="L25" i="21" s="1"/>
  <c r="C58" i="19"/>
  <c r="C47" i="26"/>
  <c r="K4" i="19"/>
  <c r="C111" i="19"/>
  <c r="C97" i="19"/>
  <c r="C55" i="19"/>
  <c r="C59" i="28"/>
  <c r="L59" i="28" s="1"/>
  <c r="M59" i="28" s="1"/>
  <c r="N59" i="28" s="1"/>
  <c r="O59" i="28" s="1"/>
  <c r="P59" i="28" s="1"/>
  <c r="K59" i="28" s="1"/>
  <c r="B6" i="26"/>
  <c r="D6" i="26" s="1"/>
  <c r="I6" i="26" s="1"/>
  <c r="G6" i="26" s="1"/>
  <c r="B46" i="26"/>
  <c r="D46" i="26" s="1"/>
  <c r="I46" i="26" s="1"/>
  <c r="G46" i="26" s="1"/>
  <c r="C177" i="19"/>
  <c r="C99" i="19"/>
  <c r="C51" i="21"/>
  <c r="C83" i="28"/>
  <c r="L83" i="28" s="1"/>
  <c r="M83" i="28" s="1"/>
  <c r="N83" i="28" s="1"/>
  <c r="O83" i="28" s="1"/>
  <c r="P83" i="28" s="1"/>
  <c r="K83" i="28" s="1"/>
  <c r="C17" i="27"/>
  <c r="B53" i="26"/>
  <c r="D53" i="26" s="1"/>
  <c r="B25" i="26"/>
  <c r="D25" i="26" s="1"/>
  <c r="I25" i="26" s="1"/>
  <c r="G25" i="26" s="1"/>
  <c r="C31" i="28"/>
  <c r="L31" i="28" s="1"/>
  <c r="N31" i="28" s="1"/>
  <c r="B29" i="26"/>
  <c r="D29" i="26" s="1"/>
  <c r="C12" i="27"/>
  <c r="L12" i="27" s="1"/>
  <c r="M12" i="27" s="1"/>
  <c r="N12" i="27" s="1"/>
  <c r="O12" i="27" s="1"/>
  <c r="P12" i="27" s="1"/>
  <c r="K12" i="27" s="1"/>
  <c r="C24" i="21"/>
  <c r="C4" i="28"/>
  <c r="L4" i="28" s="1"/>
  <c r="M4" i="28" s="1"/>
  <c r="N4" i="28" s="1"/>
  <c r="O4" i="28" s="1"/>
  <c r="P4" i="28" s="1"/>
  <c r="K4" i="28" s="1"/>
  <c r="B36" i="26"/>
  <c r="D36" i="26" s="1"/>
  <c r="I36" i="26" s="1"/>
  <c r="G36" i="26" s="1"/>
  <c r="C47" i="28"/>
  <c r="L47" i="28" s="1"/>
  <c r="M47" i="28" s="1"/>
  <c r="N47" i="28" s="1"/>
  <c r="O47" i="28" s="1"/>
  <c r="P47" i="28" s="1"/>
  <c r="K47" i="28" s="1"/>
  <c r="B75" i="26"/>
  <c r="D75" i="26" s="1"/>
  <c r="C4" i="21"/>
  <c r="L4" i="21" s="1"/>
  <c r="N4" i="21" s="1"/>
  <c r="C71" i="28"/>
  <c r="L71" i="28" s="1"/>
  <c r="M71" i="28" s="1"/>
  <c r="N71" i="28" s="1"/>
  <c r="O71" i="28" s="1"/>
  <c r="P71" i="28" s="1"/>
  <c r="K71" i="28" s="1"/>
  <c r="B17" i="26"/>
  <c r="D17" i="26" s="1"/>
  <c r="I17" i="26" s="1"/>
  <c r="G17" i="26" s="1"/>
  <c r="C73" i="28"/>
  <c r="B49" i="26"/>
  <c r="D49" i="26" s="1"/>
  <c r="I49" i="26" s="1"/>
  <c r="G49" i="26" s="1"/>
  <c r="C121" i="19"/>
  <c r="C168" i="19"/>
  <c r="C31" i="27"/>
  <c r="L31" i="27" s="1"/>
  <c r="M31" i="27" s="1"/>
  <c r="N31" i="27" s="1"/>
  <c r="O31" i="27" s="1"/>
  <c r="P31" i="27" s="1"/>
  <c r="K31" i="27" s="1"/>
  <c r="C100" i="19"/>
  <c r="C37" i="21"/>
  <c r="D37" i="21" s="1"/>
  <c r="K8" i="19"/>
  <c r="C26" i="19"/>
  <c r="C65" i="26" s="1"/>
  <c r="C98" i="19"/>
  <c r="C12" i="28"/>
  <c r="L12" i="28" s="1"/>
  <c r="M12" i="28" s="1"/>
  <c r="N12" i="28" s="1"/>
  <c r="O12" i="28" s="1"/>
  <c r="P12" i="28" s="1"/>
  <c r="K12" i="28" s="1"/>
  <c r="D60" i="26"/>
  <c r="C125" i="19"/>
  <c r="C77" i="26" s="1"/>
  <c r="C30" i="28"/>
  <c r="L30" i="28" s="1"/>
  <c r="B32" i="26"/>
  <c r="D32" i="26" s="1"/>
  <c r="C7" i="19"/>
  <c r="C76" i="28"/>
  <c r="L76" i="28" s="1"/>
  <c r="M76" i="28" s="1"/>
  <c r="N76" i="28" s="1"/>
  <c r="O76" i="28" s="1"/>
  <c r="P76" i="28" s="1"/>
  <c r="K76" i="28" s="1"/>
  <c r="C20" i="21"/>
  <c r="L20" i="21" s="1"/>
  <c r="N20" i="21" s="1"/>
  <c r="B12" i="26"/>
  <c r="D12" i="26" s="1"/>
  <c r="H12" i="26" s="1"/>
  <c r="F12" i="26" s="1"/>
  <c r="I12" i="26" s="1"/>
  <c r="G12" i="26" s="1"/>
  <c r="D88" i="26"/>
  <c r="C32" i="28"/>
  <c r="L32" i="28" s="1"/>
  <c r="B5" i="26"/>
  <c r="D5" i="26" s="1"/>
  <c r="B38" i="26"/>
  <c r="D38" i="26" s="1"/>
  <c r="I38" i="26" s="1"/>
  <c r="G38" i="26" s="1"/>
  <c r="C26" i="28"/>
  <c r="L26" i="28" s="1"/>
  <c r="N26" i="28" s="1"/>
  <c r="C43" i="19"/>
  <c r="C134" i="19"/>
  <c r="C128" i="19"/>
  <c r="C79" i="26" s="1"/>
  <c r="B57" i="26"/>
  <c r="D57" i="26" s="1"/>
  <c r="K6" i="19"/>
  <c r="C38" i="28"/>
  <c r="L38" i="28" s="1"/>
  <c r="M38" i="28" s="1"/>
  <c r="N38" i="28" s="1"/>
  <c r="O38" i="28" s="1"/>
  <c r="P38" i="28" s="1"/>
  <c r="K38" i="28" s="1"/>
  <c r="B16" i="26"/>
  <c r="D16" i="26" s="1"/>
  <c r="B27" i="26"/>
  <c r="D27" i="26" s="1"/>
  <c r="C74" i="19"/>
  <c r="C62" i="28"/>
  <c r="L62" i="28" s="1"/>
  <c r="M62" i="28" s="1"/>
  <c r="N62" i="28" s="1"/>
  <c r="O62" i="28" s="1"/>
  <c r="P62" i="28" s="1"/>
  <c r="K62" i="28" s="1"/>
  <c r="B45" i="26"/>
  <c r="D45" i="26" s="1"/>
  <c r="I45" i="26" s="1"/>
  <c r="G45" i="26" s="1"/>
  <c r="C138" i="19"/>
  <c r="C90" i="19"/>
  <c r="C52" i="21"/>
  <c r="L52" i="21" s="1"/>
  <c r="M52" i="21" s="1"/>
  <c r="C58" i="28"/>
  <c r="C17" i="19"/>
  <c r="C117" i="19"/>
  <c r="D36" i="28" s="1"/>
  <c r="C104" i="19"/>
  <c r="B40" i="26"/>
  <c r="D40" i="26" s="1"/>
  <c r="I40" i="26" s="1"/>
  <c r="G40" i="26" s="1"/>
  <c r="B55" i="26"/>
  <c r="D55" i="26" s="1"/>
  <c r="I55" i="26" s="1"/>
  <c r="G55" i="26" s="1"/>
  <c r="C151" i="19"/>
  <c r="C70" i="19"/>
  <c r="B20" i="26"/>
  <c r="D20" i="26" s="1"/>
  <c r="B62" i="26"/>
  <c r="D62" i="26" s="1"/>
  <c r="C43" i="28"/>
  <c r="L43" i="28" s="1"/>
  <c r="M43" i="28" s="1"/>
  <c r="N43" i="28" s="1"/>
  <c r="O43" i="28" s="1"/>
  <c r="P43" i="28" s="1"/>
  <c r="K43" i="28" s="1"/>
  <c r="C56" i="19"/>
  <c r="C109" i="19"/>
  <c r="C88" i="19"/>
  <c r="B22" i="26"/>
  <c r="D22" i="26" s="1"/>
  <c r="C146" i="19"/>
  <c r="C22" i="26" s="1"/>
  <c r="C165" i="19"/>
  <c r="C115" i="19"/>
  <c r="C137" i="19"/>
  <c r="C61" i="28"/>
  <c r="L61" i="28" s="1"/>
  <c r="M61" i="28" s="1"/>
  <c r="N61" i="28" s="1"/>
  <c r="O61" i="28" s="1"/>
  <c r="P61" i="28" s="1"/>
  <c r="K61" i="28" s="1"/>
  <c r="C48" i="28"/>
  <c r="C6" i="27"/>
  <c r="L6" i="27" s="1"/>
  <c r="M6" i="27" s="1"/>
  <c r="N6" i="27" s="1"/>
  <c r="O6" i="27" s="1"/>
  <c r="P6" i="27" s="1"/>
  <c r="K6" i="27" s="1"/>
  <c r="B7" i="26"/>
  <c r="D7" i="26" s="1"/>
  <c r="I7" i="26" s="1"/>
  <c r="G7" i="26" s="1"/>
  <c r="C19" i="19"/>
  <c r="C15" i="19"/>
  <c r="C103" i="19"/>
  <c r="C133" i="19"/>
  <c r="B13" i="26"/>
  <c r="D13" i="26" s="1"/>
  <c r="C47" i="19"/>
  <c r="C54" i="21"/>
  <c r="L54" i="21" s="1"/>
  <c r="M54" i="21" s="1"/>
  <c r="C50" i="21"/>
  <c r="L50" i="21" s="1"/>
  <c r="N50" i="21" s="1"/>
  <c r="B3" i="26"/>
  <c r="D3" i="26" s="1"/>
  <c r="I3" i="26" s="1"/>
  <c r="G3" i="26" s="1"/>
  <c r="C42" i="28"/>
  <c r="C63" i="19"/>
  <c r="D53" i="21" s="1"/>
  <c r="C62" i="19"/>
  <c r="C78" i="19"/>
  <c r="C58" i="26" s="1"/>
  <c r="C94" i="19"/>
  <c r="C149" i="19"/>
  <c r="B33" i="26"/>
  <c r="D33" i="26" s="1"/>
  <c r="B63" i="26"/>
  <c r="D63" i="26" s="1"/>
  <c r="I63" i="26" s="1"/>
  <c r="G63" i="26" s="1"/>
  <c r="C49" i="28"/>
  <c r="C141" i="19"/>
  <c r="C33" i="27"/>
  <c r="B66" i="26"/>
  <c r="D66" i="26" s="1"/>
  <c r="I66" i="26" s="1"/>
  <c r="G66" i="26" s="1"/>
  <c r="C32" i="19"/>
  <c r="C63" i="26" s="1"/>
  <c r="C72" i="28"/>
  <c r="L72" i="28" s="1"/>
  <c r="M72" i="28" s="1"/>
  <c r="N72" i="28" s="1"/>
  <c r="O72" i="28" s="1"/>
  <c r="P72" i="28" s="1"/>
  <c r="K72" i="28" s="1"/>
  <c r="C41" i="19"/>
  <c r="C86" i="28"/>
  <c r="B56" i="26"/>
  <c r="D56" i="26" s="1"/>
  <c r="I56" i="26" s="1"/>
  <c r="G56" i="26" s="1"/>
  <c r="C143" i="19"/>
  <c r="C26" i="26" s="1"/>
  <c r="B26" i="26"/>
  <c r="D26" i="26" s="1"/>
  <c r="C64" i="28"/>
  <c r="C25" i="27"/>
  <c r="L25" i="27" s="1"/>
  <c r="M25" i="27" s="1"/>
  <c r="N25" i="27" s="1"/>
  <c r="O25" i="27" s="1"/>
  <c r="P25" i="27" s="1"/>
  <c r="K25" i="27" s="1"/>
  <c r="C139" i="19"/>
  <c r="C57" i="28"/>
  <c r="B73" i="26"/>
  <c r="D73" i="26" s="1"/>
  <c r="I73" i="26" s="1"/>
  <c r="G73" i="26" s="1"/>
  <c r="D87" i="26"/>
  <c r="C81" i="28"/>
  <c r="C24" i="19"/>
  <c r="C68" i="19"/>
  <c r="C21" i="28"/>
  <c r="L21" i="28" s="1"/>
  <c r="M21" i="28" s="1"/>
  <c r="N21" i="28" s="1"/>
  <c r="O21" i="28" s="1"/>
  <c r="P21" i="28" s="1"/>
  <c r="K21" i="28" s="1"/>
  <c r="C26" i="21"/>
  <c r="L26" i="21" s="1"/>
  <c r="N26" i="21" s="1"/>
  <c r="C113" i="19"/>
  <c r="C54" i="26" s="1"/>
  <c r="C46" i="28"/>
  <c r="B50" i="26"/>
  <c r="D50" i="26" s="1"/>
  <c r="B14" i="26"/>
  <c r="D14" i="26" s="1"/>
  <c r="I14" i="26" s="1"/>
  <c r="G14" i="26" s="1"/>
  <c r="C140" i="19"/>
  <c r="C51" i="26" s="1"/>
  <c r="B51" i="26"/>
  <c r="D51" i="26" s="1"/>
  <c r="C3" i="21"/>
  <c r="C169" i="19"/>
  <c r="B11" i="26"/>
  <c r="D11" i="26" s="1"/>
  <c r="H11" i="26" s="1"/>
  <c r="F11" i="26" s="1"/>
  <c r="I11" i="26" s="1"/>
  <c r="G11" i="26" s="1"/>
  <c r="C27" i="27"/>
  <c r="L27" i="27" s="1"/>
  <c r="M27" i="27" s="1"/>
  <c r="N27" i="27" s="1"/>
  <c r="O27" i="27" s="1"/>
  <c r="P27" i="27" s="1"/>
  <c r="K27" i="27" s="1"/>
  <c r="C66" i="28"/>
  <c r="L66" i="28" s="1"/>
  <c r="M66" i="28" s="1"/>
  <c r="N66" i="28" s="1"/>
  <c r="O66" i="28" s="1"/>
  <c r="P66" i="28" s="1"/>
  <c r="K66" i="28" s="1"/>
  <c r="B61" i="26"/>
  <c r="D61" i="26" s="1"/>
  <c r="C158" i="19"/>
  <c r="C61" i="26" s="1"/>
  <c r="B47" i="26"/>
  <c r="D47" i="26" s="1"/>
  <c r="H47" i="26" s="1"/>
  <c r="F47" i="26" s="1"/>
  <c r="I47" i="26" s="1"/>
  <c r="G47" i="26" s="1"/>
  <c r="C28" i="19"/>
  <c r="C71" i="19"/>
  <c r="C34" i="26" s="1"/>
  <c r="C110" i="19"/>
  <c r="B67" i="26"/>
  <c r="D67" i="26" s="1"/>
  <c r="I67" i="26" s="1"/>
  <c r="G67" i="26" s="1"/>
  <c r="C6" i="28"/>
  <c r="L6" i="28" s="1"/>
  <c r="M6" i="28" s="1"/>
  <c r="N6" i="28" s="1"/>
  <c r="O6" i="28" s="1"/>
  <c r="P6" i="28" s="1"/>
  <c r="K6" i="28" s="1"/>
  <c r="C156" i="19"/>
  <c r="B34" i="26"/>
  <c r="D34" i="26" s="1"/>
  <c r="I34" i="26" s="1"/>
  <c r="G34" i="26" s="1"/>
  <c r="D91" i="26"/>
  <c r="I91" i="26" s="1"/>
  <c r="G91" i="26" s="1"/>
  <c r="C22" i="28"/>
  <c r="D22" i="28" s="1"/>
  <c r="C27" i="21"/>
  <c r="D27" i="21" s="1"/>
  <c r="D58" i="26"/>
  <c r="B59" i="26"/>
  <c r="D59" i="26" s="1"/>
  <c r="D84" i="26"/>
  <c r="I84" i="26" s="1"/>
  <c r="G84" i="26" s="1"/>
  <c r="C14" i="19"/>
  <c r="C11" i="26" s="1"/>
  <c r="C15" i="27"/>
  <c r="D15" i="27" s="1"/>
  <c r="B18" i="26"/>
  <c r="D18" i="26" s="1"/>
  <c r="I18" i="26" s="1"/>
  <c r="G18" i="26" s="1"/>
  <c r="C56" i="28"/>
  <c r="D56" i="28" s="1"/>
  <c r="C192" i="19"/>
  <c r="C41" i="26" s="1"/>
  <c r="B41" i="26"/>
  <c r="D41" i="26" s="1"/>
  <c r="C173" i="19"/>
  <c r="C74" i="26" s="1"/>
  <c r="B74" i="26"/>
  <c r="D74" i="26" s="1"/>
  <c r="C80" i="19"/>
  <c r="C96" i="19"/>
  <c r="C82" i="28"/>
  <c r="L82" i="28" s="1"/>
  <c r="M82" i="28" s="1"/>
  <c r="N82" i="28" s="1"/>
  <c r="O82" i="28" s="1"/>
  <c r="P82" i="28" s="1"/>
  <c r="K82" i="28" s="1"/>
  <c r="C191" i="19"/>
  <c r="C40" i="26" s="1"/>
  <c r="C171" i="19"/>
  <c r="C76" i="19"/>
  <c r="C92" i="19"/>
  <c r="C37" i="28"/>
  <c r="C86" i="19"/>
  <c r="C60" i="26" s="1"/>
  <c r="C127" i="19"/>
  <c r="C78" i="26" s="1"/>
  <c r="C107" i="19"/>
  <c r="C184" i="19"/>
  <c r="C60" i="19"/>
  <c r="C84" i="19"/>
  <c r="C59" i="26" s="1"/>
  <c r="B82" i="26"/>
  <c r="D82" i="26" s="1"/>
  <c r="I82" i="26" s="1"/>
  <c r="G82" i="26" s="1"/>
  <c r="C9" i="28"/>
  <c r="C154" i="19"/>
  <c r="C25" i="28"/>
  <c r="L25" i="28" s="1"/>
  <c r="B19" i="26"/>
  <c r="D19" i="26" s="1"/>
  <c r="I19" i="26" s="1"/>
  <c r="G19" i="26" s="1"/>
  <c r="C82" i="19"/>
  <c r="C105" i="19"/>
  <c r="C135" i="19"/>
  <c r="C195" i="19"/>
  <c r="C71" i="26" s="1"/>
  <c r="C34" i="28"/>
  <c r="L34" i="28" s="1"/>
  <c r="C40" i="21"/>
  <c r="L40" i="21" s="1"/>
  <c r="M40" i="21" s="1"/>
  <c r="C22" i="19"/>
  <c r="C126" i="19"/>
  <c r="C48" i="21"/>
  <c r="L48" i="21" s="1"/>
  <c r="M48" i="21" s="1"/>
  <c r="C41" i="28"/>
  <c r="B69" i="26"/>
  <c r="D69" i="26" s="1"/>
  <c r="C49" i="19"/>
  <c r="B43" i="26"/>
  <c r="D43" i="26" s="1"/>
  <c r="I43" i="26" s="1"/>
  <c r="G43" i="26" s="1"/>
  <c r="D92" i="26"/>
  <c r="D79" i="26"/>
  <c r="B31" i="26"/>
  <c r="D31" i="26" s="1"/>
  <c r="C69" i="28"/>
  <c r="L69" i="28" s="1"/>
  <c r="M69" i="28" s="1"/>
  <c r="N69" i="28" s="1"/>
  <c r="O69" i="28" s="1"/>
  <c r="P69" i="28" s="1"/>
  <c r="K69" i="28" s="1"/>
  <c r="C5" i="19"/>
  <c r="C74" i="28"/>
  <c r="C130" i="19"/>
  <c r="C5" i="28"/>
  <c r="B48" i="26"/>
  <c r="D48" i="26" s="1"/>
  <c r="C148" i="19"/>
  <c r="C24" i="26" s="1"/>
  <c r="B24" i="26"/>
  <c r="D24" i="26" s="1"/>
  <c r="I24" i="26" s="1"/>
  <c r="G24" i="26" s="1"/>
  <c r="C164" i="19"/>
  <c r="C31" i="26" s="1"/>
  <c r="C167" i="19"/>
  <c r="C34" i="21"/>
  <c r="L34" i="21" s="1"/>
  <c r="C29" i="28"/>
  <c r="L29" i="28" s="1"/>
  <c r="M29" i="28" s="1"/>
  <c r="B78" i="26"/>
  <c r="D78" i="26" s="1"/>
  <c r="I78" i="26" s="1"/>
  <c r="G78" i="26" s="1"/>
  <c r="C176" i="19"/>
  <c r="C45" i="19"/>
  <c r="C33" i="28"/>
  <c r="L33" i="28" s="1"/>
  <c r="M33" i="28" s="1"/>
  <c r="C93" i="19"/>
  <c r="C65" i="28"/>
  <c r="L65" i="28" s="1"/>
  <c r="M65" i="28" s="1"/>
  <c r="N65" i="28" s="1"/>
  <c r="O65" i="28" s="1"/>
  <c r="P65" i="28" s="1"/>
  <c r="K65" i="28" s="1"/>
  <c r="D83" i="26"/>
  <c r="B42" i="26"/>
  <c r="D42" i="26" s="1"/>
  <c r="I42" i="26" s="1"/>
  <c r="G42" i="26" s="1"/>
  <c r="C180" i="19"/>
  <c r="C42" i="26" s="1"/>
  <c r="C188" i="19"/>
  <c r="C39" i="26" s="1"/>
  <c r="C33" i="21"/>
  <c r="C120" i="19"/>
  <c r="D28" i="28" s="1"/>
  <c r="C38" i="21"/>
  <c r="L38" i="21" s="1"/>
  <c r="M38" i="21" s="1"/>
  <c r="C50" i="28"/>
  <c r="L50" i="28" s="1"/>
  <c r="M50" i="28" s="1"/>
  <c r="N50" i="28" s="1"/>
  <c r="O50" i="28" s="1"/>
  <c r="P50" i="28" s="1"/>
  <c r="K50" i="28" s="1"/>
  <c r="B23" i="26"/>
  <c r="D23" i="26" s="1"/>
  <c r="I23" i="26" s="1"/>
  <c r="G23" i="26" s="1"/>
  <c r="B64" i="26"/>
  <c r="D64" i="26" s="1"/>
  <c r="C124" i="19"/>
  <c r="C76" i="26" s="1"/>
  <c r="B76" i="26"/>
  <c r="D76" i="26" s="1"/>
  <c r="C15" i="28"/>
  <c r="C41" i="21"/>
  <c r="C123" i="19"/>
  <c r="C19" i="21"/>
  <c r="C112" i="19"/>
  <c r="B68" i="26"/>
  <c r="D68" i="26" s="1"/>
  <c r="I68" i="26" s="1"/>
  <c r="G68" i="26" s="1"/>
  <c r="C40" i="28"/>
  <c r="L40" i="28" s="1"/>
  <c r="M40" i="28" s="1"/>
  <c r="N40" i="28" s="1"/>
  <c r="O40" i="28" s="1"/>
  <c r="P40" i="28" s="1"/>
  <c r="K40" i="28" s="1"/>
  <c r="C183" i="19"/>
  <c r="C14" i="27"/>
  <c r="C190" i="19"/>
  <c r="C37" i="26" s="1"/>
  <c r="B10" i="26"/>
  <c r="D10" i="26" s="1"/>
  <c r="H10" i="26" s="1"/>
  <c r="D4" i="26"/>
  <c r="C28" i="21"/>
  <c r="C185" i="19"/>
  <c r="D23" i="28" s="1"/>
  <c r="C46" i="21"/>
  <c r="L46" i="21" s="1"/>
  <c r="M46" i="21" s="1"/>
  <c r="D89" i="26"/>
  <c r="I89" i="26" s="1"/>
  <c r="G89" i="26" s="1"/>
  <c r="C4" i="19"/>
  <c r="C18" i="19"/>
  <c r="C23" i="19"/>
  <c r="C33" i="19"/>
  <c r="C12" i="26" s="1"/>
  <c r="C27" i="19"/>
  <c r="C29" i="19"/>
  <c r="C52" i="26" s="1"/>
  <c r="C31" i="19"/>
  <c r="C4" i="26" s="1"/>
  <c r="C53" i="19"/>
  <c r="C46" i="19"/>
  <c r="C101" i="19"/>
  <c r="C15" i="26" s="1"/>
  <c r="C108" i="19"/>
  <c r="D39" i="28" s="1"/>
  <c r="C65" i="19"/>
  <c r="C79" i="19"/>
  <c r="C81" i="19"/>
  <c r="C83" i="19"/>
  <c r="C87" i="19"/>
  <c r="C89" i="19"/>
  <c r="C91" i="19"/>
  <c r="B70" i="26"/>
  <c r="D70" i="26" s="1"/>
  <c r="I70" i="26" s="1"/>
  <c r="G70" i="26" s="1"/>
  <c r="C194" i="19"/>
  <c r="C70" i="26" s="1"/>
  <c r="B77" i="26"/>
  <c r="D77" i="26" s="1"/>
  <c r="C22" i="27"/>
  <c r="L22" i="27" s="1"/>
  <c r="M22" i="27" s="1"/>
  <c r="N22" i="27" s="1"/>
  <c r="O22" i="27" s="1"/>
  <c r="P22" i="27" s="1"/>
  <c r="K22" i="27" s="1"/>
  <c r="B21" i="26"/>
  <c r="D21" i="26" s="1"/>
  <c r="I21" i="26" s="1"/>
  <c r="G21" i="26" s="1"/>
  <c r="C147" i="19"/>
  <c r="C7" i="21"/>
  <c r="C182" i="19"/>
  <c r="C51" i="19"/>
  <c r="C81" i="26" s="1"/>
  <c r="C174" i="19"/>
  <c r="C75" i="26" s="1"/>
  <c r="B52" i="26"/>
  <c r="D52" i="26" s="1"/>
  <c r="H52" i="26" s="1"/>
  <c r="F52" i="26" s="1"/>
  <c r="I52" i="26" s="1"/>
  <c r="G52" i="26" s="1"/>
  <c r="C61" i="19"/>
  <c r="C36" i="26" s="1"/>
  <c r="C145" i="19"/>
  <c r="C21" i="26" s="1"/>
  <c r="C178" i="19"/>
  <c r="C44" i="26" s="1"/>
  <c r="C161" i="19"/>
  <c r="E9" i="32" s="1"/>
  <c r="C102" i="19"/>
  <c r="C136" i="19"/>
  <c r="C118" i="19"/>
  <c r="B8" i="26"/>
  <c r="D8" i="26" s="1"/>
  <c r="B15" i="26"/>
  <c r="D15" i="26" s="1"/>
  <c r="D86" i="26"/>
  <c r="I86" i="26" s="1"/>
  <c r="G86" i="26" s="1"/>
  <c r="D90" i="26"/>
  <c r="D93" i="26"/>
  <c r="D85" i="26"/>
  <c r="I85" i="26" s="1"/>
  <c r="G85" i="26" s="1"/>
  <c r="C150" i="19"/>
  <c r="C196" i="19"/>
  <c r="C8" i="28"/>
  <c r="L8" i="28" s="1"/>
  <c r="M8" i="28" s="1"/>
  <c r="N8" i="28" s="1"/>
  <c r="O8" i="28" s="1"/>
  <c r="P8" i="28" s="1"/>
  <c r="K8" i="28" s="1"/>
  <c r="C67" i="28"/>
  <c r="D67" i="28" s="1"/>
  <c r="B81" i="26"/>
  <c r="D81" i="26" s="1"/>
  <c r="I81" i="26" s="1"/>
  <c r="G81" i="26" s="1"/>
  <c r="I50" i="26"/>
  <c r="G50" i="26" s="1"/>
  <c r="V183" i="33"/>
  <c r="N15" i="27"/>
  <c r="O15" i="27" s="1"/>
  <c r="P15" i="27" s="1"/>
  <c r="K15" i="27" s="1"/>
  <c r="N17" i="27"/>
  <c r="O17" i="27" s="1"/>
  <c r="P17" i="27" s="1"/>
  <c r="K17" i="27" s="1"/>
  <c r="N16" i="28"/>
  <c r="O16" i="28" s="1"/>
  <c r="P16" i="28" s="1"/>
  <c r="K16" i="28" s="1"/>
  <c r="N55" i="28"/>
  <c r="O55" i="28" s="1"/>
  <c r="P55" i="28" s="1"/>
  <c r="K55" i="28" s="1"/>
  <c r="N56" i="28"/>
  <c r="O56" i="28" s="1"/>
  <c r="P56" i="28" s="1"/>
  <c r="K56" i="28" s="1"/>
  <c r="N57" i="28"/>
  <c r="O57" i="28" s="1"/>
  <c r="P57" i="28" s="1"/>
  <c r="K57" i="28" s="1"/>
  <c r="N58" i="28"/>
  <c r="O58" i="28" s="1"/>
  <c r="P58" i="28" s="1"/>
  <c r="K58" i="28" s="1"/>
  <c r="L197" i="19"/>
  <c r="F197" i="19"/>
  <c r="L24" i="28"/>
  <c r="M24" i="28" s="1"/>
  <c r="J13" i="19"/>
  <c r="J15" i="19"/>
  <c r="J16" i="19"/>
  <c r="J33" i="19"/>
  <c r="J24" i="19"/>
  <c r="J25" i="19"/>
  <c r="J34" i="19"/>
  <c r="J31" i="19"/>
  <c r="J30" i="19"/>
  <c r="J38" i="19"/>
  <c r="J46" i="19"/>
  <c r="J61" i="19"/>
  <c r="J68" i="19"/>
  <c r="J69" i="19"/>
  <c r="J109" i="19"/>
  <c r="J77" i="19"/>
  <c r="J78" i="19"/>
  <c r="J79" i="19"/>
  <c r="J85" i="19"/>
  <c r="J86" i="19"/>
  <c r="J87" i="19"/>
  <c r="J93" i="19"/>
  <c r="J94" i="19"/>
  <c r="J95" i="19"/>
  <c r="J47" i="19"/>
  <c r="J123" i="19"/>
  <c r="J117" i="19"/>
  <c r="L51" i="28"/>
  <c r="M51" i="28" s="1"/>
  <c r="N51" i="28" s="1"/>
  <c r="O51" i="28" s="1"/>
  <c r="P51" i="28" s="1"/>
  <c r="K51" i="28" s="1"/>
  <c r="J6" i="19"/>
  <c r="J7" i="19"/>
  <c r="J17" i="19"/>
  <c r="J10" i="19"/>
  <c r="J18" i="19"/>
  <c r="J22" i="19"/>
  <c r="J14" i="19"/>
  <c r="J107" i="19"/>
  <c r="J147" i="19"/>
  <c r="J148" i="19"/>
  <c r="J112" i="19"/>
  <c r="J164" i="19"/>
  <c r="J126" i="19"/>
  <c r="J134" i="19"/>
  <c r="J189" i="19"/>
  <c r="J153" i="19"/>
  <c r="J159" i="19"/>
  <c r="J167" i="19"/>
  <c r="J175" i="19"/>
  <c r="J185" i="19"/>
  <c r="J105" i="19"/>
  <c r="J145" i="19"/>
  <c r="J146" i="19"/>
  <c r="J149" i="19"/>
  <c r="J151" i="19"/>
  <c r="J152" i="19"/>
  <c r="J161" i="19"/>
  <c r="J162" i="19"/>
  <c r="J178" i="19"/>
  <c r="J73" i="19"/>
  <c r="J75" i="19"/>
  <c r="J76" i="19"/>
  <c r="J80" i="19"/>
  <c r="J83" i="19"/>
  <c r="J84" i="19"/>
  <c r="J155" i="19"/>
  <c r="J158" i="19"/>
  <c r="J125" i="19"/>
  <c r="J127" i="19"/>
  <c r="J166" i="19"/>
  <c r="J191" i="19"/>
  <c r="J190" i="19"/>
  <c r="J194" i="19"/>
  <c r="J154" i="19"/>
  <c r="J42" i="19"/>
  <c r="J63" i="19"/>
  <c r="J58" i="19"/>
  <c r="J50" i="19"/>
  <c r="J71" i="19"/>
  <c r="J29" i="19"/>
  <c r="J41" i="19"/>
  <c r="J97" i="19"/>
  <c r="J59" i="19"/>
  <c r="J62" i="19"/>
  <c r="J108" i="19"/>
  <c r="J66" i="19"/>
  <c r="J67" i="19"/>
  <c r="J88" i="19"/>
  <c r="J91" i="19"/>
  <c r="J92" i="19"/>
  <c r="J183" i="19"/>
  <c r="J184" i="19"/>
  <c r="J133" i="19"/>
  <c r="J170" i="19"/>
  <c r="J171" i="19"/>
  <c r="J174" i="19"/>
  <c r="J32" i="19"/>
  <c r="J26" i="19"/>
  <c r="J110" i="19"/>
  <c r="J96" i="19"/>
  <c r="J130" i="19"/>
  <c r="J102" i="19"/>
  <c r="J137" i="19"/>
  <c r="J138" i="19"/>
  <c r="J141" i="19"/>
  <c r="J113" i="19"/>
  <c r="J179" i="19"/>
  <c r="J119" i="19"/>
  <c r="J120" i="19"/>
  <c r="J122" i="19"/>
  <c r="F53" i="32"/>
  <c r="W32" i="33"/>
  <c r="W183" i="33" s="1"/>
  <c r="J36" i="19"/>
  <c r="J65" i="19"/>
  <c r="J129" i="19"/>
  <c r="J98" i="19"/>
  <c r="J103" i="19"/>
  <c r="J104" i="19"/>
  <c r="J143" i="19"/>
  <c r="J150" i="19"/>
  <c r="J160" i="19"/>
  <c r="J124" i="19"/>
  <c r="J176" i="19"/>
  <c r="J70" i="19"/>
  <c r="J45" i="19"/>
  <c r="J49" i="19"/>
  <c r="G197" i="19"/>
  <c r="J27" i="19"/>
  <c r="J28" i="19"/>
  <c r="J89" i="19"/>
  <c r="J90" i="19"/>
  <c r="J100" i="19"/>
  <c r="J140" i="19"/>
  <c r="J106" i="19"/>
  <c r="J168" i="19"/>
  <c r="J169" i="19"/>
  <c r="J114" i="19"/>
  <c r="J115" i="19"/>
  <c r="J39" i="19"/>
  <c r="J40" i="19"/>
  <c r="J55" i="19"/>
  <c r="J48" i="19"/>
  <c r="J56" i="19"/>
  <c r="J57" i="19"/>
  <c r="J64" i="19"/>
  <c r="J180" i="19"/>
  <c r="J116" i="19"/>
  <c r="J131" i="19"/>
  <c r="J132" i="19"/>
  <c r="J139" i="19"/>
  <c r="J188" i="19"/>
  <c r="J192" i="19"/>
  <c r="J195" i="19"/>
  <c r="J4" i="19"/>
  <c r="J5" i="19"/>
  <c r="J11" i="19"/>
  <c r="J12" i="19"/>
  <c r="J74" i="19"/>
  <c r="J81" i="19"/>
  <c r="J82" i="19"/>
  <c r="J23" i="19"/>
  <c r="J19" i="19"/>
  <c r="J8" i="19"/>
  <c r="J43" i="19"/>
  <c r="J53" i="19"/>
  <c r="J60" i="19"/>
  <c r="J52" i="19"/>
  <c r="J99" i="19"/>
  <c r="J101" i="19"/>
  <c r="J111" i="19"/>
  <c r="J182" i="19"/>
  <c r="J177" i="19"/>
  <c r="J135" i="19"/>
  <c r="J136" i="19"/>
  <c r="J144" i="19"/>
  <c r="J51" i="19"/>
  <c r="J193" i="19"/>
  <c r="J156" i="19"/>
  <c r="J157" i="19"/>
  <c r="J128" i="19"/>
  <c r="J165" i="19"/>
  <c r="J172" i="19"/>
  <c r="J173" i="19"/>
  <c r="J186" i="19"/>
  <c r="J118" i="19"/>
  <c r="J187" i="19"/>
  <c r="J121" i="19"/>
  <c r="J9" i="19"/>
  <c r="J196" i="19"/>
  <c r="F50" i="32"/>
  <c r="D169" i="36" l="1"/>
  <c r="D24" i="36"/>
  <c r="D5" i="36"/>
  <c r="D121" i="36"/>
  <c r="L121" i="36"/>
  <c r="D130" i="36"/>
  <c r="D52" i="36"/>
  <c r="L52" i="36"/>
  <c r="L48" i="27"/>
  <c r="M48" i="27" s="1"/>
  <c r="N48" i="27" s="1"/>
  <c r="O48" i="27" s="1"/>
  <c r="P48" i="27" s="1"/>
  <c r="K48" i="27" s="1"/>
  <c r="D48" i="27"/>
  <c r="D111" i="36"/>
  <c r="D132" i="36"/>
  <c r="L132" i="36"/>
  <c r="D4" i="36"/>
  <c r="L4" i="36"/>
  <c r="D42" i="36"/>
  <c r="L42" i="36"/>
  <c r="D43" i="36"/>
  <c r="D167" i="36"/>
  <c r="L167" i="36"/>
  <c r="D115" i="36"/>
  <c r="D37" i="36"/>
  <c r="D160" i="36"/>
  <c r="D97" i="36"/>
  <c r="L97" i="36"/>
  <c r="D147" i="36"/>
  <c r="D32" i="36"/>
  <c r="L4" i="27"/>
  <c r="M4" i="27" s="1"/>
  <c r="N4" i="27" s="1"/>
  <c r="O4" i="27" s="1"/>
  <c r="P4" i="27" s="1"/>
  <c r="K4" i="27" s="1"/>
  <c r="D4" i="27"/>
  <c r="D19" i="36"/>
  <c r="L19" i="36"/>
  <c r="D26" i="36"/>
  <c r="L26" i="36"/>
  <c r="L21" i="21"/>
  <c r="D21" i="21"/>
  <c r="D10" i="36"/>
  <c r="L10" i="36"/>
  <c r="D163" i="36"/>
  <c r="D118" i="36"/>
  <c r="L118" i="36"/>
  <c r="D158" i="36"/>
  <c r="L158" i="36"/>
  <c r="D12" i="36"/>
  <c r="D96" i="36"/>
  <c r="L96" i="36"/>
  <c r="L60" i="28"/>
  <c r="M60" i="28" s="1"/>
  <c r="N60" i="28" s="1"/>
  <c r="O60" i="28" s="1"/>
  <c r="P60" i="28" s="1"/>
  <c r="K60" i="28" s="1"/>
  <c r="D60" i="28"/>
  <c r="D82" i="36"/>
  <c r="L82" i="36"/>
  <c r="D135" i="36"/>
  <c r="L135" i="36"/>
  <c r="D151" i="36"/>
  <c r="D64" i="36"/>
  <c r="D55" i="36"/>
  <c r="L55" i="36"/>
  <c r="D22" i="36"/>
  <c r="D154" i="36"/>
  <c r="L154" i="36"/>
  <c r="D162" i="36"/>
  <c r="L162" i="36"/>
  <c r="L9" i="21"/>
  <c r="D9" i="21"/>
  <c r="D180" i="36"/>
  <c r="D177" i="36"/>
  <c r="D80" i="36"/>
  <c r="D172" i="36"/>
  <c r="L172" i="36"/>
  <c r="D47" i="36"/>
  <c r="L47" i="36"/>
  <c r="D110" i="36"/>
  <c r="L110" i="36"/>
  <c r="D113" i="36"/>
  <c r="L113" i="36"/>
  <c r="D15" i="36"/>
  <c r="L15" i="36"/>
  <c r="D62" i="36"/>
  <c r="D168" i="36"/>
  <c r="D69" i="36"/>
  <c r="D6" i="36"/>
  <c r="L6" i="36"/>
  <c r="D122" i="36"/>
  <c r="L122" i="36"/>
  <c r="D94" i="36"/>
  <c r="L23" i="27"/>
  <c r="M23" i="27" s="1"/>
  <c r="N23" i="27" s="1"/>
  <c r="O23" i="27" s="1"/>
  <c r="P23" i="27" s="1"/>
  <c r="K23" i="27" s="1"/>
  <c r="D23" i="27"/>
  <c r="D77" i="36"/>
  <c r="L77" i="36"/>
  <c r="D141" i="36"/>
  <c r="L141" i="36"/>
  <c r="L44" i="21"/>
  <c r="D44" i="21"/>
  <c r="D51" i="36"/>
  <c r="D133" i="36"/>
  <c r="L133" i="36"/>
  <c r="L39" i="21"/>
  <c r="D39" i="21"/>
  <c r="D41" i="36"/>
  <c r="L41" i="36"/>
  <c r="D84" i="36"/>
  <c r="L84" i="36"/>
  <c r="D166" i="36"/>
  <c r="D117" i="36"/>
  <c r="L117" i="36"/>
  <c r="L10" i="27"/>
  <c r="M10" i="27" s="1"/>
  <c r="N10" i="27" s="1"/>
  <c r="O10" i="27" s="1"/>
  <c r="P10" i="27" s="1"/>
  <c r="K10" i="27" s="1"/>
  <c r="D10" i="27"/>
  <c r="L32" i="27"/>
  <c r="M32" i="27" s="1"/>
  <c r="N32" i="27" s="1"/>
  <c r="O32" i="27" s="1"/>
  <c r="P32" i="27" s="1"/>
  <c r="K32" i="27" s="1"/>
  <c r="D32" i="27"/>
  <c r="D75" i="36"/>
  <c r="L75" i="36"/>
  <c r="D146" i="36"/>
  <c r="D49" i="36"/>
  <c r="L53" i="28"/>
  <c r="M53" i="28" s="1"/>
  <c r="N53" i="28" s="1"/>
  <c r="O53" i="28" s="1"/>
  <c r="P53" i="28" s="1"/>
  <c r="K53" i="28" s="1"/>
  <c r="D53" i="28"/>
  <c r="D65" i="36"/>
  <c r="L65" i="36"/>
  <c r="D18" i="36"/>
  <c r="L18" i="36"/>
  <c r="D38" i="36"/>
  <c r="L38" i="36"/>
  <c r="D25" i="36"/>
  <c r="L25" i="36"/>
  <c r="D174" i="36"/>
  <c r="L174" i="36"/>
  <c r="L15" i="21"/>
  <c r="D15" i="21"/>
  <c r="D165" i="36"/>
  <c r="L165" i="36"/>
  <c r="D119" i="36"/>
  <c r="L119" i="36"/>
  <c r="D157" i="36"/>
  <c r="L157" i="36"/>
  <c r="D83" i="36"/>
  <c r="D150" i="36"/>
  <c r="L150" i="36"/>
  <c r="D54" i="36"/>
  <c r="L54" i="36"/>
  <c r="D27" i="36"/>
  <c r="L27" i="36"/>
  <c r="D56" i="36"/>
  <c r="L56" i="36"/>
  <c r="D21" i="36"/>
  <c r="L21" i="36"/>
  <c r="D30" i="36"/>
  <c r="L18" i="21"/>
  <c r="D18" i="21"/>
  <c r="D74" i="36"/>
  <c r="L74" i="36"/>
  <c r="D79" i="36"/>
  <c r="L79" i="36"/>
  <c r="D148" i="36"/>
  <c r="D103" i="36"/>
  <c r="D173" i="36"/>
  <c r="L173" i="36"/>
  <c r="D16" i="36"/>
  <c r="L16" i="36"/>
  <c r="C57" i="26"/>
  <c r="E15" i="32"/>
  <c r="E11" i="32"/>
  <c r="D57" i="36"/>
  <c r="D70" i="36"/>
  <c r="D137" i="36"/>
  <c r="D123" i="36"/>
  <c r="D93" i="36"/>
  <c r="L93" i="36"/>
  <c r="D87" i="36"/>
  <c r="L87" i="36"/>
  <c r="D78" i="36"/>
  <c r="L78" i="36"/>
  <c r="D142" i="36"/>
  <c r="L142" i="36"/>
  <c r="D152" i="36"/>
  <c r="D71" i="36"/>
  <c r="D85" i="36"/>
  <c r="D116" i="36"/>
  <c r="L116" i="36"/>
  <c r="D36" i="36"/>
  <c r="L36" i="36"/>
  <c r="D92" i="36"/>
  <c r="D76" i="36"/>
  <c r="L76" i="36"/>
  <c r="D108" i="36"/>
  <c r="L108" i="36"/>
  <c r="D20" i="36"/>
  <c r="D39" i="36"/>
  <c r="D175" i="36"/>
  <c r="D9" i="36"/>
  <c r="L45" i="27"/>
  <c r="M45" i="27" s="1"/>
  <c r="N45" i="27" s="1"/>
  <c r="O45" i="27" s="1"/>
  <c r="P45" i="27" s="1"/>
  <c r="K45" i="27" s="1"/>
  <c r="D45" i="27"/>
  <c r="L47" i="21"/>
  <c r="D47" i="21"/>
  <c r="D89" i="36"/>
  <c r="L19" i="27"/>
  <c r="M19" i="27" s="1"/>
  <c r="N19" i="27" s="1"/>
  <c r="O19" i="27" s="1"/>
  <c r="P19" i="27" s="1"/>
  <c r="K19" i="27" s="1"/>
  <c r="D19" i="27"/>
  <c r="D53" i="36"/>
  <c r="D33" i="36"/>
  <c r="L33" i="36"/>
  <c r="D179" i="36"/>
  <c r="D28" i="36"/>
  <c r="D7" i="36"/>
  <c r="D170" i="36"/>
  <c r="D181" i="36"/>
  <c r="D102" i="36"/>
  <c r="D73" i="36"/>
  <c r="D149" i="36"/>
  <c r="D128" i="36"/>
  <c r="L128" i="36"/>
  <c r="D104" i="36"/>
  <c r="L104" i="36"/>
  <c r="D59" i="36"/>
  <c r="L59" i="36"/>
  <c r="L49" i="21"/>
  <c r="D49" i="21"/>
  <c r="D14" i="36"/>
  <c r="D23" i="36"/>
  <c r="L23" i="36"/>
  <c r="D58" i="36"/>
  <c r="L58" i="36"/>
  <c r="D120" i="36"/>
  <c r="L120" i="36"/>
  <c r="D136" i="36"/>
  <c r="L136" i="36"/>
  <c r="L24" i="27"/>
  <c r="M24" i="27" s="1"/>
  <c r="N24" i="27" s="1"/>
  <c r="O24" i="27" s="1"/>
  <c r="P24" i="27" s="1"/>
  <c r="K24" i="27" s="1"/>
  <c r="D24" i="27"/>
  <c r="D86" i="36"/>
  <c r="L3" i="28"/>
  <c r="M3" i="28" s="1"/>
  <c r="N3" i="28" s="1"/>
  <c r="O3" i="28" s="1"/>
  <c r="P3" i="28" s="1"/>
  <c r="K3" i="28" s="1"/>
  <c r="D3" i="28"/>
  <c r="D131" i="36"/>
  <c r="L131" i="36"/>
  <c r="D50" i="36"/>
  <c r="L50" i="36"/>
  <c r="D143" i="36"/>
  <c r="L143" i="36"/>
  <c r="D112" i="36"/>
  <c r="D3" i="36"/>
  <c r="L3" i="36"/>
  <c r="D40" i="36"/>
  <c r="L40" i="36"/>
  <c r="D44" i="36"/>
  <c r="D72" i="36"/>
  <c r="L46" i="27"/>
  <c r="M46" i="27" s="1"/>
  <c r="N46" i="27" s="1"/>
  <c r="O46" i="27" s="1"/>
  <c r="P46" i="27" s="1"/>
  <c r="K46" i="27" s="1"/>
  <c r="D46" i="27"/>
  <c r="L52" i="28"/>
  <c r="M52" i="28" s="1"/>
  <c r="N52" i="28" s="1"/>
  <c r="O52" i="28" s="1"/>
  <c r="P52" i="28" s="1"/>
  <c r="K52" i="28" s="1"/>
  <c r="D52" i="28"/>
  <c r="D35" i="36"/>
  <c r="L35" i="36"/>
  <c r="D159" i="36"/>
  <c r="D98" i="36"/>
  <c r="D91" i="36"/>
  <c r="D31" i="36"/>
  <c r="L31" i="36"/>
  <c r="D29" i="36"/>
  <c r="L29" i="36"/>
  <c r="D17" i="36"/>
  <c r="K197" i="19"/>
  <c r="D11" i="36"/>
  <c r="L11" i="36"/>
  <c r="D164" i="36"/>
  <c r="L164" i="36"/>
  <c r="D13" i="36"/>
  <c r="L13" i="36"/>
  <c r="D95" i="36"/>
  <c r="L95" i="36"/>
  <c r="D90" i="36"/>
  <c r="L90" i="36"/>
  <c r="D81" i="36"/>
  <c r="D134" i="36"/>
  <c r="D34" i="36"/>
  <c r="L34" i="36"/>
  <c r="D63" i="36"/>
  <c r="D178" i="36"/>
  <c r="L178" i="36"/>
  <c r="D153" i="36"/>
  <c r="L153" i="36"/>
  <c r="D8" i="36"/>
  <c r="D161" i="36"/>
  <c r="D171" i="36"/>
  <c r="L171" i="36"/>
  <c r="D182" i="36"/>
  <c r="L182" i="36"/>
  <c r="D176" i="36"/>
  <c r="D101" i="36"/>
  <c r="D129" i="36"/>
  <c r="D48" i="36"/>
  <c r="D109" i="36"/>
  <c r="L114" i="36"/>
  <c r="D114" i="36"/>
  <c r="D60" i="36"/>
  <c r="L60" i="36"/>
  <c r="D61" i="36"/>
  <c r="J197" i="19"/>
  <c r="N53" i="21"/>
  <c r="O53" i="21" s="1"/>
  <c r="P53" i="21" s="1"/>
  <c r="K53" i="21" s="1"/>
  <c r="L44" i="27"/>
  <c r="M44" i="27" s="1"/>
  <c r="N44" i="27" s="1"/>
  <c r="O44" i="27" s="1"/>
  <c r="P44" i="27" s="1"/>
  <c r="K44" i="27" s="1"/>
  <c r="D44" i="27"/>
  <c r="L18" i="27"/>
  <c r="M18" i="27" s="1"/>
  <c r="N18" i="27" s="1"/>
  <c r="O18" i="27" s="1"/>
  <c r="P18" i="27" s="1"/>
  <c r="K18" i="27" s="1"/>
  <c r="D18" i="27"/>
  <c r="C28" i="26"/>
  <c r="L18" i="28"/>
  <c r="M18" i="28" s="1"/>
  <c r="N18" i="28" s="1"/>
  <c r="O18" i="28" s="1"/>
  <c r="P18" i="28" s="1"/>
  <c r="K18" i="28" s="1"/>
  <c r="D18" i="28"/>
  <c r="D44" i="28"/>
  <c r="D80" i="28"/>
  <c r="L80" i="28"/>
  <c r="M80" i="28" s="1"/>
  <c r="N80" i="28" s="1"/>
  <c r="O80" i="28" s="1"/>
  <c r="P80" i="28" s="1"/>
  <c r="K80" i="28" s="1"/>
  <c r="L3" i="27"/>
  <c r="M3" i="27" s="1"/>
  <c r="N3" i="27" s="1"/>
  <c r="O3" i="27" s="1"/>
  <c r="P3" i="27" s="1"/>
  <c r="K3" i="27" s="1"/>
  <c r="D3" i="27"/>
  <c r="L23" i="21"/>
  <c r="D23" i="21"/>
  <c r="Q20" i="19"/>
  <c r="M20" i="19" s="1"/>
  <c r="R20" i="19" s="1"/>
  <c r="N8" i="21"/>
  <c r="O8" i="21" s="1"/>
  <c r="P8" i="21" s="1"/>
  <c r="K8" i="21" s="1"/>
  <c r="D33" i="27"/>
  <c r="L9" i="27"/>
  <c r="M9" i="27" s="1"/>
  <c r="N9" i="27" s="1"/>
  <c r="O9" i="27" s="1"/>
  <c r="P9" i="27" s="1"/>
  <c r="K9" i="27" s="1"/>
  <c r="D9" i="27"/>
  <c r="D8" i="21"/>
  <c r="C55" i="26"/>
  <c r="D47" i="27"/>
  <c r="N13" i="21"/>
  <c r="O13" i="21" s="1"/>
  <c r="P13" i="21" s="1"/>
  <c r="K13" i="21" s="1"/>
  <c r="D43" i="21"/>
  <c r="D13" i="21"/>
  <c r="Q72" i="19"/>
  <c r="M72" i="19" s="1"/>
  <c r="Q44" i="19"/>
  <c r="M44" i="19" s="1"/>
  <c r="R44" i="19" s="1"/>
  <c r="D77" i="28"/>
  <c r="C25" i="26"/>
  <c r="C17" i="26"/>
  <c r="N31" i="21"/>
  <c r="M31" i="21"/>
  <c r="N28" i="28"/>
  <c r="O28" i="28" s="1"/>
  <c r="P28" i="28" s="1"/>
  <c r="K28" i="28" s="1"/>
  <c r="D35" i="21"/>
  <c r="Q21" i="19"/>
  <c r="M21" i="19" s="1"/>
  <c r="R21" i="19" s="1"/>
  <c r="D6" i="21"/>
  <c r="N36" i="28"/>
  <c r="O36" i="28" s="1"/>
  <c r="P36" i="28" s="1"/>
  <c r="K36" i="28" s="1"/>
  <c r="D24" i="28"/>
  <c r="D17" i="27"/>
  <c r="D21" i="27"/>
  <c r="M43" i="21"/>
  <c r="N43" i="21"/>
  <c r="L11" i="28"/>
  <c r="M11" i="28" s="1"/>
  <c r="N11" i="28" s="1"/>
  <c r="O11" i="28" s="1"/>
  <c r="P11" i="28" s="1"/>
  <c r="K11" i="28" s="1"/>
  <c r="D11" i="28"/>
  <c r="L27" i="28"/>
  <c r="D27" i="28"/>
  <c r="D88" i="28"/>
  <c r="D16" i="27"/>
  <c r="L161" i="36"/>
  <c r="L179" i="36"/>
  <c r="L148" i="36"/>
  <c r="L30" i="36"/>
  <c r="L101" i="36"/>
  <c r="L83" i="36"/>
  <c r="L151" i="36"/>
  <c r="L166" i="36"/>
  <c r="L103" i="36"/>
  <c r="L123" i="36"/>
  <c r="L71" i="36"/>
  <c r="L72" i="36"/>
  <c r="L64" i="36"/>
  <c r="L9" i="36"/>
  <c r="L81" i="36"/>
  <c r="L22" i="36"/>
  <c r="L112" i="36"/>
  <c r="L91" i="36"/>
  <c r="L44" i="36"/>
  <c r="L92" i="36"/>
  <c r="L88" i="36"/>
  <c r="L57" i="36"/>
  <c r="L180" i="36"/>
  <c r="L175" i="36"/>
  <c r="L147" i="36"/>
  <c r="L125" i="36"/>
  <c r="L149" i="36"/>
  <c r="L63" i="36"/>
  <c r="L43" i="36"/>
  <c r="L53" i="36"/>
  <c r="L28" i="36"/>
  <c r="L62" i="36"/>
  <c r="L160" i="36"/>
  <c r="L169" i="36"/>
  <c r="L138" i="36"/>
  <c r="L127" i="36"/>
  <c r="L129" i="36"/>
  <c r="L145" i="36"/>
  <c r="L24" i="36"/>
  <c r="L176" i="36"/>
  <c r="L181" i="36"/>
  <c r="L49" i="36"/>
  <c r="L8" i="36"/>
  <c r="L152" i="36"/>
  <c r="L48" i="36"/>
  <c r="L170" i="36"/>
  <c r="L111" i="36"/>
  <c r="L134" i="36"/>
  <c r="L51" i="36"/>
  <c r="L94" i="36"/>
  <c r="L39" i="36"/>
  <c r="L7" i="36"/>
  <c r="L80" i="36"/>
  <c r="L130" i="36"/>
  <c r="L37" i="36"/>
  <c r="L146" i="36"/>
  <c r="L61" i="36"/>
  <c r="L177" i="36"/>
  <c r="L98" i="36"/>
  <c r="L70" i="36"/>
  <c r="L17" i="36"/>
  <c r="L5" i="36"/>
  <c r="L73" i="36"/>
  <c r="L20" i="36"/>
  <c r="L86" i="36"/>
  <c r="L69" i="36"/>
  <c r="L126" i="36"/>
  <c r="L115" i="36"/>
  <c r="L12" i="36"/>
  <c r="L89" i="36"/>
  <c r="L159" i="36"/>
  <c r="L106" i="36"/>
  <c r="L168" i="36"/>
  <c r="L163" i="36"/>
  <c r="L45" i="36"/>
  <c r="L137" i="36"/>
  <c r="L14" i="36"/>
  <c r="L32" i="36"/>
  <c r="L102" i="36"/>
  <c r="L109" i="36"/>
  <c r="L144" i="36"/>
  <c r="L85" i="36"/>
  <c r="N6" i="21"/>
  <c r="O6" i="21" s="1"/>
  <c r="P6" i="21" s="1"/>
  <c r="K6" i="21" s="1"/>
  <c r="N35" i="21"/>
  <c r="O35" i="21" s="1"/>
  <c r="P35" i="21" s="1"/>
  <c r="K35" i="21" s="1"/>
  <c r="L28" i="27"/>
  <c r="M28" i="27" s="1"/>
  <c r="N28" i="27" s="1"/>
  <c r="O28" i="27" s="1"/>
  <c r="P28" i="27" s="1"/>
  <c r="K28" i="27" s="1"/>
  <c r="D28" i="27"/>
  <c r="L20" i="28"/>
  <c r="M20" i="28" s="1"/>
  <c r="N20" i="28" s="1"/>
  <c r="O20" i="28" s="1"/>
  <c r="P20" i="28" s="1"/>
  <c r="K20" i="28" s="1"/>
  <c r="D20" i="28"/>
  <c r="L7" i="27"/>
  <c r="M7" i="27" s="1"/>
  <c r="N7" i="27" s="1"/>
  <c r="O7" i="27" s="1"/>
  <c r="P7" i="27" s="1"/>
  <c r="K7" i="27" s="1"/>
  <c r="D7" i="27"/>
  <c r="L10" i="21"/>
  <c r="D10" i="21"/>
  <c r="L70" i="28"/>
  <c r="M70" i="28" s="1"/>
  <c r="N70" i="28" s="1"/>
  <c r="O70" i="28" s="1"/>
  <c r="P70" i="28" s="1"/>
  <c r="K70" i="28" s="1"/>
  <c r="D70" i="28"/>
  <c r="L14" i="28"/>
  <c r="M14" i="28" s="1"/>
  <c r="N14" i="28" s="1"/>
  <c r="O14" i="28" s="1"/>
  <c r="P14" i="28" s="1"/>
  <c r="K14" i="28" s="1"/>
  <c r="D14" i="28"/>
  <c r="L35" i="27"/>
  <c r="M35" i="27" s="1"/>
  <c r="N35" i="27" s="1"/>
  <c r="O35" i="27" s="1"/>
  <c r="P35" i="27" s="1"/>
  <c r="K35" i="27" s="1"/>
  <c r="D35" i="27"/>
  <c r="C66" i="26"/>
  <c r="L17" i="28"/>
  <c r="M17" i="28" s="1"/>
  <c r="N17" i="28" s="1"/>
  <c r="O17" i="28" s="1"/>
  <c r="P17" i="28" s="1"/>
  <c r="K17" i="28" s="1"/>
  <c r="D17" i="28"/>
  <c r="L84" i="28"/>
  <c r="M84" i="28" s="1"/>
  <c r="N84" i="28" s="1"/>
  <c r="O84" i="28" s="1"/>
  <c r="P84" i="28" s="1"/>
  <c r="K84" i="28" s="1"/>
  <c r="D84" i="28"/>
  <c r="L40" i="27"/>
  <c r="M40" i="27" s="1"/>
  <c r="N40" i="27" s="1"/>
  <c r="O40" i="27" s="1"/>
  <c r="P40" i="27" s="1"/>
  <c r="K40" i="27" s="1"/>
  <c r="D40" i="27"/>
  <c r="L29" i="21"/>
  <c r="D29" i="21"/>
  <c r="C29" i="26"/>
  <c r="L20" i="27"/>
  <c r="M20" i="27" s="1"/>
  <c r="N20" i="27" s="1"/>
  <c r="O20" i="27" s="1"/>
  <c r="P20" i="27" s="1"/>
  <c r="K20" i="27" s="1"/>
  <c r="D20" i="27"/>
  <c r="D53" i="27"/>
  <c r="D50" i="27"/>
  <c r="F10" i="26"/>
  <c r="I10" i="26" s="1"/>
  <c r="G10" i="26" s="1"/>
  <c r="N17" i="21"/>
  <c r="O17" i="21" s="1"/>
  <c r="P17" i="21" s="1"/>
  <c r="K17" i="21" s="1"/>
  <c r="Q54" i="19"/>
  <c r="M54" i="19" s="1"/>
  <c r="N45" i="21"/>
  <c r="O45" i="21" s="1"/>
  <c r="P45" i="21" s="1"/>
  <c r="K45" i="21" s="1"/>
  <c r="C6" i="26"/>
  <c r="C48" i="26"/>
  <c r="N16" i="21"/>
  <c r="O16" i="21" s="1"/>
  <c r="P16" i="21" s="1"/>
  <c r="K16" i="21" s="1"/>
  <c r="D16" i="21"/>
  <c r="D17" i="21"/>
  <c r="D45" i="21"/>
  <c r="D32" i="21"/>
  <c r="L34" i="27"/>
  <c r="M34" i="27" s="1"/>
  <c r="N34" i="27" s="1"/>
  <c r="O34" i="27" s="1"/>
  <c r="P34" i="27" s="1"/>
  <c r="K34" i="27" s="1"/>
  <c r="D34" i="27"/>
  <c r="C20" i="26"/>
  <c r="C13" i="26"/>
  <c r="Q37" i="19"/>
  <c r="M37" i="19" s="1"/>
  <c r="N14" i="21"/>
  <c r="O14" i="21" s="1"/>
  <c r="P14" i="21" s="1"/>
  <c r="K14" i="21" s="1"/>
  <c r="N30" i="21"/>
  <c r="O30" i="21" s="1"/>
  <c r="P30" i="21" s="1"/>
  <c r="K30" i="21" s="1"/>
  <c r="D30" i="21"/>
  <c r="N22" i="21"/>
  <c r="O22" i="21" s="1"/>
  <c r="P22" i="21" s="1"/>
  <c r="K22" i="21" s="1"/>
  <c r="D22" i="21"/>
  <c r="L5" i="21"/>
  <c r="D5" i="21"/>
  <c r="D26" i="27"/>
  <c r="C3" i="26"/>
  <c r="C50" i="26"/>
  <c r="D14" i="21"/>
  <c r="C38" i="26"/>
  <c r="C10" i="26"/>
  <c r="D78" i="28"/>
  <c r="D5" i="27"/>
  <c r="L5" i="27"/>
  <c r="M5" i="27" s="1"/>
  <c r="N5" i="27" s="1"/>
  <c r="O5" i="27" s="1"/>
  <c r="P5" i="27" s="1"/>
  <c r="K5" i="27" s="1"/>
  <c r="D35" i="28"/>
  <c r="D32" i="28"/>
  <c r="D42" i="21"/>
  <c r="C73" i="26"/>
  <c r="C72" i="26"/>
  <c r="D38" i="27"/>
  <c r="L38" i="27"/>
  <c r="M38" i="27" s="1"/>
  <c r="N38" i="27" s="1"/>
  <c r="O38" i="27" s="1"/>
  <c r="P38" i="27" s="1"/>
  <c r="K38" i="27" s="1"/>
  <c r="C18" i="26"/>
  <c r="C33" i="26"/>
  <c r="N32" i="21"/>
  <c r="O32" i="21" s="1"/>
  <c r="P32" i="21" s="1"/>
  <c r="K32" i="21" s="1"/>
  <c r="C49" i="26"/>
  <c r="C56" i="26"/>
  <c r="C14" i="26"/>
  <c r="L13" i="28"/>
  <c r="M13" i="28" s="1"/>
  <c r="N13" i="28" s="1"/>
  <c r="O13" i="28" s="1"/>
  <c r="P13" i="28" s="1"/>
  <c r="K13" i="28" s="1"/>
  <c r="D13" i="28"/>
  <c r="D36" i="21"/>
  <c r="Q163" i="19"/>
  <c r="M163" i="19" s="1"/>
  <c r="Q181" i="19"/>
  <c r="M181" i="19" s="1"/>
  <c r="D24" i="21"/>
  <c r="L8" i="27"/>
  <c r="M8" i="27" s="1"/>
  <c r="N8" i="27" s="1"/>
  <c r="O8" i="27" s="1"/>
  <c r="P8" i="27" s="1"/>
  <c r="K8" i="27" s="1"/>
  <c r="D8" i="27"/>
  <c r="D5" i="28"/>
  <c r="L7" i="28"/>
  <c r="M7" i="28" s="1"/>
  <c r="N7" i="28" s="1"/>
  <c r="O7" i="28" s="1"/>
  <c r="P7" i="28" s="1"/>
  <c r="K7" i="28" s="1"/>
  <c r="D7" i="28"/>
  <c r="C23" i="26"/>
  <c r="C82" i="26"/>
  <c r="C62" i="26"/>
  <c r="D51" i="21"/>
  <c r="L51" i="21"/>
  <c r="C32" i="26"/>
  <c r="C45" i="26"/>
  <c r="D19" i="28"/>
  <c r="D37" i="28"/>
  <c r="C19" i="26"/>
  <c r="D9" i="28"/>
  <c r="C7" i="26"/>
  <c r="L37" i="21"/>
  <c r="M37" i="21" s="1"/>
  <c r="N38" i="21"/>
  <c r="O38" i="21" s="1"/>
  <c r="P38" i="21" s="1"/>
  <c r="K38" i="21" s="1"/>
  <c r="D34" i="28"/>
  <c r="L37" i="28"/>
  <c r="M37" i="28" s="1"/>
  <c r="N37" i="28" s="1"/>
  <c r="O37" i="28" s="1"/>
  <c r="P37" i="28" s="1"/>
  <c r="K37" i="28" s="1"/>
  <c r="M31" i="28"/>
  <c r="O31" i="28" s="1"/>
  <c r="P31" i="28" s="1"/>
  <c r="K31" i="28" s="1"/>
  <c r="M26" i="28"/>
  <c r="O26" i="28" s="1"/>
  <c r="P26" i="28" s="1"/>
  <c r="K26" i="28" s="1"/>
  <c r="Q189" i="19"/>
  <c r="M189" i="19" s="1"/>
  <c r="D25" i="28"/>
  <c r="D12" i="27"/>
  <c r="D73" i="28"/>
  <c r="D4" i="28"/>
  <c r="Q142" i="19"/>
  <c r="M142" i="19" s="1"/>
  <c r="R142" i="19" s="1"/>
  <c r="D4" i="21"/>
  <c r="Q55" i="19"/>
  <c r="M55" i="19" s="1"/>
  <c r="D72" i="28"/>
  <c r="D30" i="28"/>
  <c r="Q191" i="19"/>
  <c r="M191" i="19" s="1"/>
  <c r="D71" i="28"/>
  <c r="Q46" i="19"/>
  <c r="M46" i="19" s="1"/>
  <c r="R46" i="19" s="1"/>
  <c r="N48" i="21"/>
  <c r="O48" i="21" s="1"/>
  <c r="P48" i="21" s="1"/>
  <c r="K48" i="21" s="1"/>
  <c r="M4" i="21"/>
  <c r="O4" i="21" s="1"/>
  <c r="P4" i="21" s="1"/>
  <c r="K4" i="21" s="1"/>
  <c r="D40" i="21"/>
  <c r="D62" i="28"/>
  <c r="D20" i="21"/>
  <c r="Q164" i="19"/>
  <c r="M164" i="19" s="1"/>
  <c r="D15" i="28"/>
  <c r="D50" i="21"/>
  <c r="D66" i="28"/>
  <c r="D61" i="28"/>
  <c r="L5" i="28"/>
  <c r="M5" i="28" s="1"/>
  <c r="N5" i="28" s="1"/>
  <c r="O5" i="28" s="1"/>
  <c r="P5" i="28" s="1"/>
  <c r="K5" i="28" s="1"/>
  <c r="N52" i="21"/>
  <c r="O52" i="21" s="1"/>
  <c r="P52" i="21" s="1"/>
  <c r="K52" i="21" s="1"/>
  <c r="L9" i="28"/>
  <c r="M9" i="28" s="1"/>
  <c r="N9" i="28" s="1"/>
  <c r="O9" i="28" s="1"/>
  <c r="P9" i="28" s="1"/>
  <c r="K9" i="28" s="1"/>
  <c r="L73" i="28"/>
  <c r="M73" i="28" s="1"/>
  <c r="N73" i="28" s="1"/>
  <c r="O73" i="28" s="1"/>
  <c r="P73" i="28" s="1"/>
  <c r="K73" i="28" s="1"/>
  <c r="D34" i="21"/>
  <c r="Q56" i="19"/>
  <c r="M56" i="19" s="1"/>
  <c r="R56" i="19" s="1"/>
  <c r="D46" i="28"/>
  <c r="Q42" i="19"/>
  <c r="M42" i="19" s="1"/>
  <c r="R42" i="19" s="1"/>
  <c r="M50" i="21"/>
  <c r="O50" i="21" s="1"/>
  <c r="P50" i="21" s="1"/>
  <c r="K50" i="21" s="1"/>
  <c r="D40" i="28"/>
  <c r="L24" i="21"/>
  <c r="N24" i="21" s="1"/>
  <c r="Q23" i="19"/>
  <c r="M23" i="19" s="1"/>
  <c r="D16" i="28"/>
  <c r="D21" i="28"/>
  <c r="Q99" i="19"/>
  <c r="M99" i="19" s="1"/>
  <c r="Q187" i="19"/>
  <c r="M187" i="19" s="1"/>
  <c r="R187" i="19" s="1"/>
  <c r="Q75" i="19"/>
  <c r="M75" i="19" s="1"/>
  <c r="R75" i="19" s="1"/>
  <c r="Q117" i="19"/>
  <c r="M117" i="19" s="1"/>
  <c r="Q115" i="19"/>
  <c r="M115" i="19" s="1"/>
  <c r="Q83" i="19"/>
  <c r="M83" i="19" s="1"/>
  <c r="R83" i="19" s="1"/>
  <c r="D58" i="28"/>
  <c r="Q179" i="19"/>
  <c r="M179" i="19" s="1"/>
  <c r="R179" i="19" s="1"/>
  <c r="Q121" i="19"/>
  <c r="M121" i="19" s="1"/>
  <c r="Q176" i="19"/>
  <c r="M176" i="19" s="1"/>
  <c r="R176" i="19" s="1"/>
  <c r="Q50" i="19"/>
  <c r="M50" i="19" s="1"/>
  <c r="R50" i="19" s="1"/>
  <c r="L15" i="28"/>
  <c r="M15" i="28" s="1"/>
  <c r="N15" i="28" s="1"/>
  <c r="O15" i="28" s="1"/>
  <c r="P15" i="28" s="1"/>
  <c r="K15" i="28" s="1"/>
  <c r="D25" i="27"/>
  <c r="Q125" i="19"/>
  <c r="M125" i="19" s="1"/>
  <c r="Q53" i="19"/>
  <c r="M53" i="19" s="1"/>
  <c r="N54" i="21"/>
  <c r="O54" i="21" s="1"/>
  <c r="P54" i="21" s="1"/>
  <c r="K54" i="21" s="1"/>
  <c r="Q186" i="19"/>
  <c r="M186" i="19" s="1"/>
  <c r="Q95" i="19"/>
  <c r="M95" i="19" s="1"/>
  <c r="R95" i="19" s="1"/>
  <c r="Q88" i="19"/>
  <c r="M88" i="19" s="1"/>
  <c r="R88" i="19" s="1"/>
  <c r="Q33" i="19"/>
  <c r="M33" i="19" s="1"/>
  <c r="D38" i="28"/>
  <c r="D59" i="28"/>
  <c r="N40" i="21"/>
  <c r="O40" i="21" s="1"/>
  <c r="P40" i="21" s="1"/>
  <c r="K40" i="21" s="1"/>
  <c r="Q84" i="19"/>
  <c r="M84" i="19" s="1"/>
  <c r="R84" i="19" s="1"/>
  <c r="Q185" i="19"/>
  <c r="M185" i="19" s="1"/>
  <c r="Q122" i="19"/>
  <c r="M122" i="19" s="1"/>
  <c r="Q118" i="19"/>
  <c r="M118" i="19" s="1"/>
  <c r="Q57" i="19"/>
  <c r="M57" i="19" s="1"/>
  <c r="R57" i="19" s="1"/>
  <c r="L27" i="21"/>
  <c r="N27" i="21" s="1"/>
  <c r="Q45" i="19"/>
  <c r="M45" i="19" s="1"/>
  <c r="Q113" i="19"/>
  <c r="M113" i="19" s="1"/>
  <c r="Q71" i="19"/>
  <c r="M71" i="19" s="1"/>
  <c r="Q170" i="19"/>
  <c r="M170" i="19" s="1"/>
  <c r="R170" i="19" s="1"/>
  <c r="Q120" i="19"/>
  <c r="M120" i="19" s="1"/>
  <c r="Q138" i="19"/>
  <c r="M138" i="19" s="1"/>
  <c r="R138" i="19" s="1"/>
  <c r="Q114" i="19"/>
  <c r="M114" i="19" s="1"/>
  <c r="Q154" i="19"/>
  <c r="M154" i="19" s="1"/>
  <c r="R154" i="19" s="1"/>
  <c r="Q135" i="19"/>
  <c r="M135" i="19" s="1"/>
  <c r="R135" i="19" s="1"/>
  <c r="Q62" i="19"/>
  <c r="M62" i="19" s="1"/>
  <c r="R62" i="19" s="1"/>
  <c r="Q70" i="19"/>
  <c r="M70" i="19" s="1"/>
  <c r="Q93" i="19"/>
  <c r="M93" i="19" s="1"/>
  <c r="R93" i="19" s="1"/>
  <c r="Q80" i="19"/>
  <c r="M80" i="19" s="1"/>
  <c r="R80" i="19" s="1"/>
  <c r="D45" i="28"/>
  <c r="D42" i="28"/>
  <c r="Q38" i="19"/>
  <c r="M38" i="19" s="1"/>
  <c r="R38" i="19" s="1"/>
  <c r="Q76" i="19"/>
  <c r="M76" i="19" s="1"/>
  <c r="R76" i="19" s="1"/>
  <c r="Q34" i="19"/>
  <c r="M34" i="19" s="1"/>
  <c r="R34" i="19" s="1"/>
  <c r="Q81" i="19"/>
  <c r="M81" i="19" s="1"/>
  <c r="R81" i="19" s="1"/>
  <c r="L22" i="28"/>
  <c r="M22" i="28" s="1"/>
  <c r="D85" i="28"/>
  <c r="D31" i="27"/>
  <c r="D6" i="27"/>
  <c r="D26" i="28"/>
  <c r="Q68" i="19"/>
  <c r="M68" i="19" s="1"/>
  <c r="R68" i="19" s="1"/>
  <c r="Q78" i="19"/>
  <c r="M78" i="19" s="1"/>
  <c r="R78" i="19" s="1"/>
  <c r="L33" i="27"/>
  <c r="M33" i="27" s="1"/>
  <c r="N33" i="27" s="1"/>
  <c r="O33" i="27" s="1"/>
  <c r="P33" i="27" s="1"/>
  <c r="K33" i="27" s="1"/>
  <c r="D52" i="21"/>
  <c r="D30" i="27"/>
  <c r="D49" i="28"/>
  <c r="D8" i="28"/>
  <c r="Q52" i="19"/>
  <c r="M52" i="19" s="1"/>
  <c r="R52" i="19" s="1"/>
  <c r="Q109" i="19"/>
  <c r="M109" i="19" s="1"/>
  <c r="D83" i="28"/>
  <c r="Q192" i="19"/>
  <c r="M192" i="19" s="1"/>
  <c r="Q58" i="19"/>
  <c r="M58" i="19" s="1"/>
  <c r="Q64" i="19"/>
  <c r="M64" i="19" s="1"/>
  <c r="R64" i="19" s="1"/>
  <c r="Q193" i="19"/>
  <c r="M193" i="19" s="1"/>
  <c r="D64" i="28"/>
  <c r="L33" i="21"/>
  <c r="D33" i="21"/>
  <c r="D6" i="28"/>
  <c r="L49" i="27"/>
  <c r="M49" i="27" s="1"/>
  <c r="N49" i="27" s="1"/>
  <c r="O49" i="27" s="1"/>
  <c r="P49" i="27" s="1"/>
  <c r="K49" i="27" s="1"/>
  <c r="D49" i="27"/>
  <c r="C53" i="26"/>
  <c r="D81" i="28"/>
  <c r="L81" i="28"/>
  <c r="M81" i="28" s="1"/>
  <c r="N81" i="28" s="1"/>
  <c r="O81" i="28" s="1"/>
  <c r="P81" i="28" s="1"/>
  <c r="K81" i="28" s="1"/>
  <c r="C16" i="26"/>
  <c r="L19" i="21"/>
  <c r="D19" i="21"/>
  <c r="N29" i="28"/>
  <c r="O29" i="28" s="1"/>
  <c r="P29" i="28" s="1"/>
  <c r="K29" i="28" s="1"/>
  <c r="Q137" i="19"/>
  <c r="M137" i="19" s="1"/>
  <c r="R137" i="19" s="1"/>
  <c r="Q87" i="19"/>
  <c r="M87" i="19" s="1"/>
  <c r="R87" i="19" s="1"/>
  <c r="Q190" i="19"/>
  <c r="M190" i="19" s="1"/>
  <c r="Q31" i="19"/>
  <c r="M31" i="19" s="1"/>
  <c r="M34" i="28"/>
  <c r="N34" i="28"/>
  <c r="C27" i="26"/>
  <c r="D65" i="28"/>
  <c r="C67" i="26"/>
  <c r="D48" i="21"/>
  <c r="L49" i="28"/>
  <c r="M49" i="28" s="1"/>
  <c r="N49" i="28" s="1"/>
  <c r="O49" i="28" s="1"/>
  <c r="P49" i="28" s="1"/>
  <c r="K49" i="28" s="1"/>
  <c r="D31" i="28"/>
  <c r="Q100" i="19"/>
  <c r="M100" i="19" s="1"/>
  <c r="R100" i="19" s="1"/>
  <c r="Q85" i="19"/>
  <c r="M85" i="19" s="1"/>
  <c r="R85" i="19" s="1"/>
  <c r="Q144" i="19"/>
  <c r="M144" i="19" s="1"/>
  <c r="R144" i="19" s="1"/>
  <c r="D29" i="28"/>
  <c r="D41" i="28"/>
  <c r="L41" i="28"/>
  <c r="M41" i="28" s="1"/>
  <c r="N41" i="28" s="1"/>
  <c r="O41" i="28" s="1"/>
  <c r="P41" i="28" s="1"/>
  <c r="K41" i="28" s="1"/>
  <c r="D41" i="21"/>
  <c r="L41" i="21"/>
  <c r="N41" i="21" s="1"/>
  <c r="D3" i="21"/>
  <c r="L3" i="21"/>
  <c r="M3" i="21" s="1"/>
  <c r="D38" i="21"/>
  <c r="Q119" i="19"/>
  <c r="M119" i="19" s="1"/>
  <c r="Q94" i="19"/>
  <c r="M94" i="19" s="1"/>
  <c r="R94" i="19" s="1"/>
  <c r="Q89" i="19"/>
  <c r="M89" i="19" s="1"/>
  <c r="R89" i="19" s="1"/>
  <c r="Q107" i="19"/>
  <c r="M107" i="19" s="1"/>
  <c r="R107" i="19" s="1"/>
  <c r="Q96" i="19"/>
  <c r="M96" i="19" s="1"/>
  <c r="R96" i="19" s="1"/>
  <c r="Q49" i="19"/>
  <c r="M49" i="19" s="1"/>
  <c r="Q61" i="19"/>
  <c r="M61" i="19" s="1"/>
  <c r="Q98" i="19"/>
  <c r="M98" i="19" s="1"/>
  <c r="R98" i="19" s="1"/>
  <c r="Q196" i="19"/>
  <c r="M196" i="19" s="1"/>
  <c r="R196" i="19" s="1"/>
  <c r="Q145" i="19"/>
  <c r="M145" i="19" s="1"/>
  <c r="Q194" i="19"/>
  <c r="M194" i="19" s="1"/>
  <c r="Q47" i="19"/>
  <c r="M47" i="19" s="1"/>
  <c r="Q136" i="19"/>
  <c r="M136" i="19" s="1"/>
  <c r="R136" i="19" s="1"/>
  <c r="Q147" i="19"/>
  <c r="M147" i="19" s="1"/>
  <c r="Q104" i="19"/>
  <c r="M104" i="19" s="1"/>
  <c r="R104" i="19" s="1"/>
  <c r="Q195" i="19"/>
  <c r="M195" i="19" s="1"/>
  <c r="Q5" i="19"/>
  <c r="M5" i="19" s="1"/>
  <c r="R5" i="19" s="1"/>
  <c r="Q140" i="19"/>
  <c r="M140" i="19" s="1"/>
  <c r="Q7" i="19"/>
  <c r="M7" i="19" s="1"/>
  <c r="R7" i="19" s="1"/>
  <c r="Q153" i="19"/>
  <c r="M153" i="19" s="1"/>
  <c r="R153" i="19" s="1"/>
  <c r="Q6" i="19"/>
  <c r="M6" i="19" s="1"/>
  <c r="R6" i="19" s="1"/>
  <c r="Q51" i="19"/>
  <c r="M51" i="19" s="1"/>
  <c r="Q155" i="19"/>
  <c r="M155" i="19" s="1"/>
  <c r="R155" i="19" s="1"/>
  <c r="Q101" i="19"/>
  <c r="M101" i="19" s="1"/>
  <c r="Q11" i="19"/>
  <c r="M11" i="19" s="1"/>
  <c r="R11" i="19" s="1"/>
  <c r="Q156" i="19"/>
  <c r="M156" i="19" s="1"/>
  <c r="R156" i="19" s="1"/>
  <c r="Q91" i="19"/>
  <c r="M91" i="19" s="1"/>
  <c r="R91" i="19" s="1"/>
  <c r="Q41" i="19"/>
  <c r="M41" i="19" s="1"/>
  <c r="Q165" i="19"/>
  <c r="M165" i="19" s="1"/>
  <c r="R165" i="19" s="1"/>
  <c r="Q111" i="19"/>
  <c r="M111" i="19" s="1"/>
  <c r="Q26" i="19"/>
  <c r="M26" i="19" s="1"/>
  <c r="Q167" i="19"/>
  <c r="M167" i="19" s="1"/>
  <c r="R167" i="19" s="1"/>
  <c r="Q130" i="19"/>
  <c r="M130" i="19" s="1"/>
  <c r="Q27" i="19"/>
  <c r="M27" i="19" s="1"/>
  <c r="R27" i="19" s="1"/>
  <c r="Q10" i="19"/>
  <c r="M10" i="19" s="1"/>
  <c r="R10" i="19" s="1"/>
  <c r="Q43" i="19"/>
  <c r="M43" i="19" s="1"/>
  <c r="R43" i="19" s="1"/>
  <c r="Q133" i="19"/>
  <c r="M133" i="19" s="1"/>
  <c r="R133" i="19" s="1"/>
  <c r="Q173" i="19"/>
  <c r="M173" i="19" s="1"/>
  <c r="R173" i="19" s="1"/>
  <c r="Q29" i="19"/>
  <c r="M29" i="19" s="1"/>
  <c r="Q79" i="19"/>
  <c r="M79" i="19" s="1"/>
  <c r="R79" i="19" s="1"/>
  <c r="Q60" i="19"/>
  <c r="M60" i="19" s="1"/>
  <c r="Q134" i="19"/>
  <c r="M134" i="19" s="1"/>
  <c r="R134" i="19" s="1"/>
  <c r="Q175" i="19"/>
  <c r="M175" i="19" s="1"/>
  <c r="R175" i="19" s="1"/>
  <c r="Q16" i="19"/>
  <c r="M16" i="19" s="1"/>
  <c r="R16" i="19" s="1"/>
  <c r="Q97" i="19"/>
  <c r="M97" i="19" s="1"/>
  <c r="Q148" i="19"/>
  <c r="M148" i="19" s="1"/>
  <c r="Q9" i="19"/>
  <c r="M9" i="19" s="1"/>
  <c r="Q166" i="19"/>
  <c r="M166" i="19" s="1"/>
  <c r="R166" i="19" s="1"/>
  <c r="Q112" i="19"/>
  <c r="M112" i="19" s="1"/>
  <c r="R112" i="19" s="1"/>
  <c r="Q17" i="19"/>
  <c r="M17" i="19" s="1"/>
  <c r="Q103" i="19"/>
  <c r="M103" i="19" s="1"/>
  <c r="R103" i="19" s="1"/>
  <c r="Q149" i="19"/>
  <c r="M149" i="19" s="1"/>
  <c r="Q36" i="19"/>
  <c r="M36" i="19" s="1"/>
  <c r="R36" i="19" s="1"/>
  <c r="Q158" i="19"/>
  <c r="M158" i="19" s="1"/>
  <c r="R158" i="19" s="1"/>
  <c r="Q178" i="19"/>
  <c r="M178" i="19" s="1"/>
  <c r="Q19" i="19"/>
  <c r="M19" i="19" s="1"/>
  <c r="R19" i="19" s="1"/>
  <c r="Q116" i="19"/>
  <c r="M116" i="19" s="1"/>
  <c r="Q126" i="19"/>
  <c r="M126" i="19" s="1"/>
  <c r="R126" i="19" s="1"/>
  <c r="Q102" i="19"/>
  <c r="M102" i="19" s="1"/>
  <c r="R102" i="19" s="1"/>
  <c r="Q73" i="19"/>
  <c r="M73" i="19" s="1"/>
  <c r="R73" i="19" s="1"/>
  <c r="Q12" i="19"/>
  <c r="M12" i="19" s="1"/>
  <c r="R12" i="19" s="1"/>
  <c r="Q184" i="19"/>
  <c r="M184" i="19" s="1"/>
  <c r="Q171" i="19"/>
  <c r="M171" i="19" s="1"/>
  <c r="R171" i="19" s="1"/>
  <c r="Q77" i="19"/>
  <c r="M77" i="19" s="1"/>
  <c r="R77" i="19" s="1"/>
  <c r="Q63" i="19"/>
  <c r="M63" i="19" s="1"/>
  <c r="Q131" i="19"/>
  <c r="M131" i="19" s="1"/>
  <c r="R131" i="19" s="1"/>
  <c r="Q67" i="19"/>
  <c r="M67" i="19" s="1"/>
  <c r="R67" i="19" s="1"/>
  <c r="Q4" i="19"/>
  <c r="Q177" i="19"/>
  <c r="M177" i="19" s="1"/>
  <c r="Q32" i="19"/>
  <c r="M32" i="19" s="1"/>
  <c r="Q182" i="19"/>
  <c r="M182" i="19" s="1"/>
  <c r="Q168" i="19"/>
  <c r="M168" i="19" s="1"/>
  <c r="R168" i="19" s="1"/>
  <c r="Q14" i="19"/>
  <c r="M14" i="19" s="1"/>
  <c r="Q74" i="19"/>
  <c r="M74" i="19" s="1"/>
  <c r="R74" i="19" s="1"/>
  <c r="Q132" i="19"/>
  <c r="M132" i="19" s="1"/>
  <c r="R132" i="19" s="1"/>
  <c r="Q183" i="19"/>
  <c r="M183" i="19" s="1"/>
  <c r="Q169" i="19"/>
  <c r="M169" i="19" s="1"/>
  <c r="R169" i="19" s="1"/>
  <c r="Q105" i="19"/>
  <c r="M105" i="19" s="1"/>
  <c r="R105" i="19" s="1"/>
  <c r="Q40" i="19"/>
  <c r="M40" i="19" s="1"/>
  <c r="R40" i="19" s="1"/>
  <c r="Q123" i="19"/>
  <c r="M123" i="19" s="1"/>
  <c r="Q174" i="19"/>
  <c r="M174" i="19" s="1"/>
  <c r="R174" i="19" s="1"/>
  <c r="Q150" i="19"/>
  <c r="M150" i="19" s="1"/>
  <c r="Q157" i="19"/>
  <c r="M157" i="19" s="1"/>
  <c r="R157" i="19" s="1"/>
  <c r="Q13" i="19"/>
  <c r="M13" i="19" s="1"/>
  <c r="R13" i="19" s="1"/>
  <c r="Q108" i="19"/>
  <c r="M108" i="19" s="1"/>
  <c r="Q106" i="19"/>
  <c r="M106" i="19" s="1"/>
  <c r="R106" i="19" s="1"/>
  <c r="Q24" i="19"/>
  <c r="M24" i="19" s="1"/>
  <c r="R24" i="19" s="1"/>
  <c r="Q151" i="19"/>
  <c r="M151" i="19" s="1"/>
  <c r="Q159" i="19"/>
  <c r="M159" i="19" s="1"/>
  <c r="R159" i="19" s="1"/>
  <c r="Q8" i="19"/>
  <c r="M8" i="19" s="1"/>
  <c r="R8" i="19" s="1"/>
  <c r="Q65" i="19"/>
  <c r="M65" i="19" s="1"/>
  <c r="R65" i="19" s="1"/>
  <c r="Q18" i="19"/>
  <c r="M18" i="19" s="1"/>
  <c r="Q152" i="19"/>
  <c r="M152" i="19" s="1"/>
  <c r="Q160" i="19"/>
  <c r="M160" i="19" s="1"/>
  <c r="R160" i="19" s="1"/>
  <c r="Q15" i="19"/>
  <c r="M15" i="19" s="1"/>
  <c r="R15" i="19" s="1"/>
  <c r="Q66" i="19"/>
  <c r="M66" i="19" s="1"/>
  <c r="R66" i="19" s="1"/>
  <c r="Q146" i="19"/>
  <c r="M146" i="19" s="1"/>
  <c r="Q28" i="19"/>
  <c r="M28" i="19" s="1"/>
  <c r="R28" i="19" s="1"/>
  <c r="Q161" i="19"/>
  <c r="M161" i="19" s="1"/>
  <c r="Q124" i="19"/>
  <c r="M124" i="19" s="1"/>
  <c r="Q110" i="19"/>
  <c r="M110" i="19" s="1"/>
  <c r="Q129" i="19"/>
  <c r="M129" i="19" s="1"/>
  <c r="Q59" i="19"/>
  <c r="M59" i="19" s="1"/>
  <c r="R59" i="19" s="1"/>
  <c r="Q35" i="19"/>
  <c r="M35" i="19" s="1"/>
  <c r="Q162" i="19"/>
  <c r="M162" i="19" s="1"/>
  <c r="Q127" i="19"/>
  <c r="M127" i="19" s="1"/>
  <c r="Q22" i="19"/>
  <c r="M22" i="19" s="1"/>
  <c r="Q69" i="19"/>
  <c r="M69" i="19" s="1"/>
  <c r="R69" i="19" s="1"/>
  <c r="Q143" i="19"/>
  <c r="M143" i="19" s="1"/>
  <c r="Q30" i="19"/>
  <c r="M30" i="19" s="1"/>
  <c r="Q180" i="19"/>
  <c r="M180" i="19" s="1"/>
  <c r="Q128" i="19"/>
  <c r="M128" i="19" s="1"/>
  <c r="Q39" i="19"/>
  <c r="M39" i="19" s="1"/>
  <c r="R39" i="19" s="1"/>
  <c r="Q25" i="19"/>
  <c r="M25" i="19" s="1"/>
  <c r="R25" i="19" s="1"/>
  <c r="Q188" i="19"/>
  <c r="M188" i="19" s="1"/>
  <c r="Q172" i="19"/>
  <c r="M172" i="19" s="1"/>
  <c r="R172" i="19" s="1"/>
  <c r="Q139" i="19"/>
  <c r="M139" i="19" s="1"/>
  <c r="R139" i="19" s="1"/>
  <c r="Q90" i="19"/>
  <c r="M90" i="19" s="1"/>
  <c r="R90" i="19" s="1"/>
  <c r="Q48" i="19"/>
  <c r="M48" i="19" s="1"/>
  <c r="R48" i="19" s="1"/>
  <c r="Q92" i="19"/>
  <c r="M92" i="19" s="1"/>
  <c r="R92" i="19" s="1"/>
  <c r="Q82" i="19"/>
  <c r="M82" i="19" s="1"/>
  <c r="R82" i="19" s="1"/>
  <c r="Q141" i="19"/>
  <c r="M141" i="19" s="1"/>
  <c r="R141" i="19" s="1"/>
  <c r="Q86" i="19"/>
  <c r="M86" i="19" s="1"/>
  <c r="R86" i="19" s="1"/>
  <c r="C8" i="26"/>
  <c r="L14" i="27"/>
  <c r="M14" i="27" s="1"/>
  <c r="N14" i="27" s="1"/>
  <c r="O14" i="27" s="1"/>
  <c r="P14" i="27" s="1"/>
  <c r="K14" i="27" s="1"/>
  <c r="D14" i="27"/>
  <c r="D48" i="28"/>
  <c r="L48" i="28"/>
  <c r="M48" i="28" s="1"/>
  <c r="N48" i="28" s="1"/>
  <c r="O48" i="28" s="1"/>
  <c r="P48" i="28" s="1"/>
  <c r="K48" i="28" s="1"/>
  <c r="L64" i="28"/>
  <c r="M64" i="28" s="1"/>
  <c r="N64" i="28" s="1"/>
  <c r="O64" i="28" s="1"/>
  <c r="P64" i="28" s="1"/>
  <c r="K64" i="28" s="1"/>
  <c r="D43" i="28"/>
  <c r="D82" i="28"/>
  <c r="D76" i="28"/>
  <c r="L42" i="28"/>
  <c r="M42" i="28" s="1"/>
  <c r="N42" i="28" s="1"/>
  <c r="O42" i="28" s="1"/>
  <c r="P42" i="28" s="1"/>
  <c r="K42" i="28" s="1"/>
  <c r="L7" i="21"/>
  <c r="D7" i="21"/>
  <c r="C68" i="26"/>
  <c r="L67" i="28"/>
  <c r="M67" i="28" s="1"/>
  <c r="N67" i="28" s="1"/>
  <c r="O67" i="28" s="1"/>
  <c r="P67" i="28" s="1"/>
  <c r="K67" i="28" s="1"/>
  <c r="D46" i="21"/>
  <c r="D69" i="28"/>
  <c r="D27" i="27"/>
  <c r="L86" i="28"/>
  <c r="M86" i="28" s="1"/>
  <c r="N86" i="28" s="1"/>
  <c r="O86" i="28" s="1"/>
  <c r="P86" i="28" s="1"/>
  <c r="K86" i="28" s="1"/>
  <c r="D86" i="28"/>
  <c r="D51" i="28"/>
  <c r="L46" i="28"/>
  <c r="M46" i="28" s="1"/>
  <c r="N46" i="28" s="1"/>
  <c r="O46" i="28" s="1"/>
  <c r="P46" i="28" s="1"/>
  <c r="K46" i="28" s="1"/>
  <c r="M26" i="21"/>
  <c r="O26" i="21" s="1"/>
  <c r="P26" i="21" s="1"/>
  <c r="K26" i="21" s="1"/>
  <c r="D55" i="28"/>
  <c r="D74" i="28"/>
  <c r="L74" i="28"/>
  <c r="M74" i="28" s="1"/>
  <c r="N74" i="28" s="1"/>
  <c r="O74" i="28" s="1"/>
  <c r="P74" i="28" s="1"/>
  <c r="K74" i="28" s="1"/>
  <c r="D25" i="21"/>
  <c r="D33" i="28"/>
  <c r="D12" i="28"/>
  <c r="D50" i="28"/>
  <c r="D47" i="28"/>
  <c r="N33" i="28"/>
  <c r="O33" i="28" s="1"/>
  <c r="P33" i="28" s="1"/>
  <c r="K33" i="28" s="1"/>
  <c r="D54" i="21"/>
  <c r="D26" i="21"/>
  <c r="D22" i="27"/>
  <c r="L28" i="21"/>
  <c r="D28" i="21"/>
  <c r="D57" i="28"/>
  <c r="N46" i="21"/>
  <c r="O46" i="21" s="1"/>
  <c r="P46" i="21" s="1"/>
  <c r="K46" i="21" s="1"/>
  <c r="N24" i="28"/>
  <c r="O24" i="28" s="1"/>
  <c r="P24" i="28" s="1"/>
  <c r="K24" i="28" s="1"/>
  <c r="F56" i="32"/>
  <c r="M36" i="21"/>
  <c r="O36" i="21" s="1"/>
  <c r="P36" i="21" s="1"/>
  <c r="K36" i="21" s="1"/>
  <c r="M20" i="21"/>
  <c r="O20" i="21" s="1"/>
  <c r="P20" i="21" s="1"/>
  <c r="K20" i="21" s="1"/>
  <c r="M34" i="21"/>
  <c r="N34" i="21"/>
  <c r="M42" i="21"/>
  <c r="N42" i="21"/>
  <c r="N25" i="21"/>
  <c r="M25" i="21"/>
  <c r="N35" i="28"/>
  <c r="M35" i="28"/>
  <c r="M30" i="28"/>
  <c r="N30" i="28"/>
  <c r="M25" i="28"/>
  <c r="N25" i="28"/>
  <c r="M32" i="28"/>
  <c r="N32" i="28"/>
  <c r="M60" i="36" l="1"/>
  <c r="N60" i="36"/>
  <c r="O60" i="36" s="1"/>
  <c r="K60" i="36" s="1"/>
  <c r="M34" i="36"/>
  <c r="O34" i="36" s="1"/>
  <c r="K34" i="36" s="1"/>
  <c r="N34" i="36"/>
  <c r="M90" i="36"/>
  <c r="N90" i="36"/>
  <c r="O90" i="36" s="1"/>
  <c r="K90" i="36" s="1"/>
  <c r="M13" i="36"/>
  <c r="N13" i="36"/>
  <c r="M11" i="36"/>
  <c r="N11" i="36"/>
  <c r="O11" i="36" s="1"/>
  <c r="K11" i="36" s="1"/>
  <c r="M29" i="36"/>
  <c r="N29" i="36"/>
  <c r="N143" i="36"/>
  <c r="M143" i="36"/>
  <c r="O143" i="36" s="1"/>
  <c r="K143" i="36" s="1"/>
  <c r="M131" i="36"/>
  <c r="N131" i="36"/>
  <c r="O131" i="36" s="1"/>
  <c r="K131" i="36" s="1"/>
  <c r="N104" i="36"/>
  <c r="M104" i="36"/>
  <c r="O104" i="36" s="1"/>
  <c r="K104" i="36" s="1"/>
  <c r="M33" i="36"/>
  <c r="N33" i="36"/>
  <c r="O33" i="36" s="1"/>
  <c r="K33" i="36" s="1"/>
  <c r="M76" i="36"/>
  <c r="N76" i="36"/>
  <c r="O76" i="36" s="1"/>
  <c r="K76" i="36" s="1"/>
  <c r="M78" i="36"/>
  <c r="N78" i="36"/>
  <c r="O78" i="36" s="1"/>
  <c r="K78" i="36" s="1"/>
  <c r="M93" i="36"/>
  <c r="N93" i="36"/>
  <c r="O93" i="36" s="1"/>
  <c r="K93" i="36" s="1"/>
  <c r="M18" i="21"/>
  <c r="N18" i="21"/>
  <c r="O18" i="21" s="1"/>
  <c r="P18" i="21" s="1"/>
  <c r="K18" i="21" s="1"/>
  <c r="M56" i="36"/>
  <c r="N56" i="36"/>
  <c r="O56" i="36" s="1"/>
  <c r="K56" i="36" s="1"/>
  <c r="M54" i="36"/>
  <c r="N54" i="36"/>
  <c r="O54" i="36" s="1"/>
  <c r="K54" i="36" s="1"/>
  <c r="M15" i="21"/>
  <c r="N15" i="21"/>
  <c r="O15" i="21" s="1"/>
  <c r="P15" i="21" s="1"/>
  <c r="K15" i="21" s="1"/>
  <c r="M84" i="36"/>
  <c r="N84" i="36"/>
  <c r="O84" i="36" s="1"/>
  <c r="K84" i="36" s="1"/>
  <c r="M6" i="36"/>
  <c r="N6" i="36"/>
  <c r="O6" i="36" s="1"/>
  <c r="K6" i="36" s="1"/>
  <c r="M162" i="36"/>
  <c r="N162" i="36"/>
  <c r="O162" i="36" s="1"/>
  <c r="K162" i="36" s="1"/>
  <c r="M118" i="36"/>
  <c r="N118" i="36"/>
  <c r="O118" i="36" s="1"/>
  <c r="K118" i="36" s="1"/>
  <c r="M167" i="36"/>
  <c r="N167" i="36"/>
  <c r="O167" i="36" s="1"/>
  <c r="K167" i="36" s="1"/>
  <c r="M52" i="36"/>
  <c r="N52" i="36"/>
  <c r="O52" i="36" s="1"/>
  <c r="K52" i="36" s="1"/>
  <c r="M182" i="36"/>
  <c r="N182" i="36"/>
  <c r="O182" i="36" s="1"/>
  <c r="K182" i="36" s="1"/>
  <c r="M178" i="36"/>
  <c r="N178" i="36"/>
  <c r="O178" i="36" s="1"/>
  <c r="K178" i="36" s="1"/>
  <c r="M3" i="36"/>
  <c r="N3" i="36"/>
  <c r="O3" i="36" s="1"/>
  <c r="K3" i="36" s="1"/>
  <c r="M120" i="36"/>
  <c r="N120" i="36"/>
  <c r="O120" i="36" s="1"/>
  <c r="K120" i="36" s="1"/>
  <c r="M23" i="36"/>
  <c r="N23" i="36"/>
  <c r="O23" i="36" s="1"/>
  <c r="K23" i="36" s="1"/>
  <c r="M49" i="21"/>
  <c r="N49" i="21"/>
  <c r="O49" i="21" s="1"/>
  <c r="P49" i="21" s="1"/>
  <c r="K49" i="21" s="1"/>
  <c r="M116" i="36"/>
  <c r="N116" i="36"/>
  <c r="O116" i="36" s="1"/>
  <c r="K116" i="36" s="1"/>
  <c r="M16" i="36"/>
  <c r="N16" i="36"/>
  <c r="O16" i="36" s="1"/>
  <c r="K16" i="36" s="1"/>
  <c r="M74" i="36"/>
  <c r="N74" i="36"/>
  <c r="O74" i="36" s="1"/>
  <c r="K74" i="36" s="1"/>
  <c r="M157" i="36"/>
  <c r="N157" i="36"/>
  <c r="O157" i="36" s="1"/>
  <c r="K157" i="36" s="1"/>
  <c r="M165" i="36"/>
  <c r="N165" i="36"/>
  <c r="O165" i="36" s="1"/>
  <c r="K165" i="36" s="1"/>
  <c r="M174" i="36"/>
  <c r="N174" i="36"/>
  <c r="O174" i="36" s="1"/>
  <c r="K174" i="36" s="1"/>
  <c r="M38" i="36"/>
  <c r="N38" i="36"/>
  <c r="O38" i="36" s="1"/>
  <c r="K38" i="36" s="1"/>
  <c r="M65" i="36"/>
  <c r="N65" i="36"/>
  <c r="O65" i="36" s="1"/>
  <c r="K65" i="36" s="1"/>
  <c r="M117" i="36"/>
  <c r="N117" i="36"/>
  <c r="O117" i="36" s="1"/>
  <c r="K117" i="36" s="1"/>
  <c r="M39" i="21"/>
  <c r="N39" i="21"/>
  <c r="O39" i="21" s="1"/>
  <c r="P39" i="21" s="1"/>
  <c r="K39" i="21" s="1"/>
  <c r="M77" i="36"/>
  <c r="N77" i="36"/>
  <c r="O77" i="36" s="1"/>
  <c r="K77" i="36" s="1"/>
  <c r="M15" i="36"/>
  <c r="N15" i="36"/>
  <c r="O15" i="36" s="1"/>
  <c r="K15" i="36" s="1"/>
  <c r="M110" i="36"/>
  <c r="N110" i="36"/>
  <c r="O110" i="36" s="1"/>
  <c r="K110" i="36" s="1"/>
  <c r="M172" i="36"/>
  <c r="N172" i="36"/>
  <c r="O172" i="36" s="1"/>
  <c r="K172" i="36" s="1"/>
  <c r="M55" i="36"/>
  <c r="N55" i="36"/>
  <c r="O55" i="36" s="1"/>
  <c r="K55" i="36" s="1"/>
  <c r="M135" i="36"/>
  <c r="N135" i="36"/>
  <c r="O135" i="36" s="1"/>
  <c r="K135" i="36" s="1"/>
  <c r="M19" i="36"/>
  <c r="N19" i="36"/>
  <c r="O19" i="36" s="1"/>
  <c r="K19" i="36" s="1"/>
  <c r="N4" i="36"/>
  <c r="M4" i="36"/>
  <c r="O4" i="36" s="1"/>
  <c r="K4" i="36" s="1"/>
  <c r="M95" i="36"/>
  <c r="N95" i="36"/>
  <c r="O95" i="36" s="1"/>
  <c r="K95" i="36" s="1"/>
  <c r="M164" i="36"/>
  <c r="N164" i="36"/>
  <c r="O164" i="36" s="1"/>
  <c r="K164" i="36" s="1"/>
  <c r="M31" i="36"/>
  <c r="N31" i="36"/>
  <c r="O31" i="36" s="1"/>
  <c r="K31" i="36" s="1"/>
  <c r="M50" i="36"/>
  <c r="N50" i="36"/>
  <c r="O50" i="36" s="1"/>
  <c r="K50" i="36" s="1"/>
  <c r="M59" i="36"/>
  <c r="N59" i="36"/>
  <c r="O59" i="36" s="1"/>
  <c r="K59" i="36" s="1"/>
  <c r="M128" i="36"/>
  <c r="N128" i="36"/>
  <c r="O128" i="36" s="1"/>
  <c r="K128" i="36" s="1"/>
  <c r="M108" i="36"/>
  <c r="N108" i="36"/>
  <c r="O108" i="36" s="1"/>
  <c r="K108" i="36" s="1"/>
  <c r="M142" i="36"/>
  <c r="N142" i="36"/>
  <c r="O142" i="36" s="1"/>
  <c r="K142" i="36" s="1"/>
  <c r="M87" i="36"/>
  <c r="N87" i="36"/>
  <c r="O87" i="36" s="1"/>
  <c r="K87" i="36" s="1"/>
  <c r="M21" i="36"/>
  <c r="N21" i="36"/>
  <c r="O21" i="36" s="1"/>
  <c r="K21" i="36" s="1"/>
  <c r="M27" i="36"/>
  <c r="N27" i="36"/>
  <c r="O27" i="36" s="1"/>
  <c r="K27" i="36" s="1"/>
  <c r="M150" i="36"/>
  <c r="N150" i="36"/>
  <c r="O150" i="36" s="1"/>
  <c r="K150" i="36" s="1"/>
  <c r="M41" i="36"/>
  <c r="N41" i="36"/>
  <c r="O41" i="36" s="1"/>
  <c r="K41" i="36" s="1"/>
  <c r="M133" i="36"/>
  <c r="N133" i="36"/>
  <c r="M44" i="21"/>
  <c r="N44" i="21"/>
  <c r="O44" i="21" s="1"/>
  <c r="P44" i="21" s="1"/>
  <c r="K44" i="21" s="1"/>
  <c r="M122" i="36"/>
  <c r="N122" i="36"/>
  <c r="O122" i="36" s="1"/>
  <c r="K122" i="36" s="1"/>
  <c r="M154" i="36"/>
  <c r="N154" i="36"/>
  <c r="O154" i="36" s="1"/>
  <c r="K154" i="36" s="1"/>
  <c r="M158" i="36"/>
  <c r="N158" i="36"/>
  <c r="O158" i="36" s="1"/>
  <c r="K158" i="36" s="1"/>
  <c r="M21" i="21"/>
  <c r="N21" i="21"/>
  <c r="O21" i="21" s="1"/>
  <c r="P21" i="21" s="1"/>
  <c r="K21" i="21" s="1"/>
  <c r="M114" i="36"/>
  <c r="N114" i="36"/>
  <c r="M171" i="36"/>
  <c r="N171" i="36"/>
  <c r="O171" i="36" s="1"/>
  <c r="K171" i="36" s="1"/>
  <c r="M153" i="36"/>
  <c r="N153" i="36"/>
  <c r="O153" i="36" s="1"/>
  <c r="K153" i="36" s="1"/>
  <c r="M35" i="36"/>
  <c r="N35" i="36"/>
  <c r="O35" i="36" s="1"/>
  <c r="K35" i="36" s="1"/>
  <c r="M40" i="36"/>
  <c r="N40" i="36"/>
  <c r="O40" i="36" s="1"/>
  <c r="K40" i="36" s="1"/>
  <c r="M136" i="36"/>
  <c r="N136" i="36"/>
  <c r="O136" i="36" s="1"/>
  <c r="K136" i="36" s="1"/>
  <c r="M58" i="36"/>
  <c r="N58" i="36"/>
  <c r="O58" i="36" s="1"/>
  <c r="K58" i="36" s="1"/>
  <c r="M47" i="21"/>
  <c r="N47" i="21"/>
  <c r="O47" i="21" s="1"/>
  <c r="P47" i="21" s="1"/>
  <c r="K47" i="21" s="1"/>
  <c r="M36" i="36"/>
  <c r="N36" i="36"/>
  <c r="O36" i="36" s="1"/>
  <c r="K36" i="36" s="1"/>
  <c r="M173" i="36"/>
  <c r="N173" i="36"/>
  <c r="O173" i="36" s="1"/>
  <c r="K173" i="36" s="1"/>
  <c r="M79" i="36"/>
  <c r="N79" i="36"/>
  <c r="O79" i="36" s="1"/>
  <c r="K79" i="36" s="1"/>
  <c r="M119" i="36"/>
  <c r="N119" i="36"/>
  <c r="M25" i="36"/>
  <c r="N25" i="36"/>
  <c r="O25" i="36" s="1"/>
  <c r="K25" i="36" s="1"/>
  <c r="M18" i="36"/>
  <c r="N18" i="36"/>
  <c r="O18" i="36" s="1"/>
  <c r="K18" i="36" s="1"/>
  <c r="M75" i="36"/>
  <c r="N75" i="36"/>
  <c r="O75" i="36" s="1"/>
  <c r="K75" i="36" s="1"/>
  <c r="M141" i="36"/>
  <c r="N141" i="36"/>
  <c r="O141" i="36" s="1"/>
  <c r="K141" i="36" s="1"/>
  <c r="M113" i="36"/>
  <c r="N113" i="36"/>
  <c r="O113" i="36" s="1"/>
  <c r="K113" i="36" s="1"/>
  <c r="M47" i="36"/>
  <c r="N47" i="36"/>
  <c r="O47" i="36" s="1"/>
  <c r="K47" i="36" s="1"/>
  <c r="M9" i="21"/>
  <c r="N9" i="21"/>
  <c r="O9" i="21" s="1"/>
  <c r="P9" i="21" s="1"/>
  <c r="K9" i="21" s="1"/>
  <c r="M82" i="36"/>
  <c r="N82" i="36"/>
  <c r="O82" i="36" s="1"/>
  <c r="K82" i="36" s="1"/>
  <c r="M96" i="36"/>
  <c r="N96" i="36"/>
  <c r="O96" i="36" s="1"/>
  <c r="K96" i="36" s="1"/>
  <c r="M10" i="36"/>
  <c r="N10" i="36"/>
  <c r="O10" i="36" s="1"/>
  <c r="K10" i="36" s="1"/>
  <c r="M26" i="36"/>
  <c r="N26" i="36"/>
  <c r="O26" i="36" s="1"/>
  <c r="K26" i="36" s="1"/>
  <c r="M97" i="36"/>
  <c r="N97" i="36"/>
  <c r="O97" i="36" s="1"/>
  <c r="K97" i="36" s="1"/>
  <c r="M42" i="36"/>
  <c r="N42" i="36"/>
  <c r="O42" i="36" s="1"/>
  <c r="K42" i="36" s="1"/>
  <c r="M132" i="36"/>
  <c r="N132" i="36"/>
  <c r="O132" i="36" s="1"/>
  <c r="K132" i="36" s="1"/>
  <c r="M121" i="36"/>
  <c r="N121" i="36"/>
  <c r="O121" i="36" s="1"/>
  <c r="K121" i="36" s="1"/>
  <c r="M197" i="19"/>
  <c r="M23" i="21"/>
  <c r="N23" i="21"/>
  <c r="R72" i="19"/>
  <c r="R190" i="19"/>
  <c r="R111" i="19"/>
  <c r="O31" i="21"/>
  <c r="P31" i="21" s="1"/>
  <c r="K31" i="21" s="1"/>
  <c r="O43" i="21"/>
  <c r="P43" i="21" s="1"/>
  <c r="K43" i="21" s="1"/>
  <c r="M27" i="28"/>
  <c r="N27" i="28"/>
  <c r="R191" i="19"/>
  <c r="R125" i="19"/>
  <c r="R122" i="19"/>
  <c r="R192" i="19"/>
  <c r="R14" i="19"/>
  <c r="M53" i="36"/>
  <c r="N53" i="36"/>
  <c r="M63" i="36"/>
  <c r="N63" i="36"/>
  <c r="M125" i="36"/>
  <c r="N125" i="36"/>
  <c r="M57" i="36"/>
  <c r="N57" i="36"/>
  <c r="M91" i="36"/>
  <c r="N91" i="36"/>
  <c r="M22" i="36"/>
  <c r="N22" i="36"/>
  <c r="M81" i="36"/>
  <c r="N81" i="36"/>
  <c r="M72" i="36"/>
  <c r="N72" i="36"/>
  <c r="M71" i="36"/>
  <c r="N71" i="36"/>
  <c r="M123" i="36"/>
  <c r="N123" i="36"/>
  <c r="M103" i="36"/>
  <c r="N103" i="36"/>
  <c r="M166" i="36"/>
  <c r="N166" i="36"/>
  <c r="M83" i="36"/>
  <c r="N83" i="36"/>
  <c r="M101" i="36"/>
  <c r="N101" i="36"/>
  <c r="M161" i="36"/>
  <c r="N161" i="36"/>
  <c r="M144" i="36"/>
  <c r="N144" i="36"/>
  <c r="M102" i="36"/>
  <c r="N102" i="36"/>
  <c r="M137" i="36"/>
  <c r="N137" i="36"/>
  <c r="M45" i="36"/>
  <c r="N45" i="36"/>
  <c r="M106" i="36"/>
  <c r="N106" i="36"/>
  <c r="M89" i="36"/>
  <c r="N89" i="36"/>
  <c r="M115" i="36"/>
  <c r="N115" i="36"/>
  <c r="M126" i="36"/>
  <c r="N126" i="36"/>
  <c r="M73" i="36"/>
  <c r="N73" i="36"/>
  <c r="M98" i="36"/>
  <c r="N98" i="36"/>
  <c r="M61" i="36"/>
  <c r="N61" i="36"/>
  <c r="M130" i="36"/>
  <c r="N130" i="36"/>
  <c r="M80" i="36"/>
  <c r="N80" i="36"/>
  <c r="M39" i="36"/>
  <c r="N39" i="36"/>
  <c r="M94" i="36"/>
  <c r="N94" i="36"/>
  <c r="M51" i="36"/>
  <c r="N51" i="36"/>
  <c r="M111" i="36"/>
  <c r="N111" i="36"/>
  <c r="M170" i="36"/>
  <c r="N170" i="36"/>
  <c r="M48" i="36"/>
  <c r="N48" i="36"/>
  <c r="M8" i="36"/>
  <c r="N8" i="36"/>
  <c r="M24" i="36"/>
  <c r="N24" i="36"/>
  <c r="M129" i="36"/>
  <c r="N129" i="36"/>
  <c r="M138" i="36"/>
  <c r="N138" i="36"/>
  <c r="M169" i="36"/>
  <c r="N169" i="36"/>
  <c r="M160" i="36"/>
  <c r="N160" i="36"/>
  <c r="M28" i="36"/>
  <c r="N28" i="36"/>
  <c r="F94" i="26"/>
  <c r="N67" i="26" s="1"/>
  <c r="P67" i="26" s="1"/>
  <c r="M43" i="36"/>
  <c r="N43" i="36"/>
  <c r="M149" i="36"/>
  <c r="N149" i="36"/>
  <c r="M147" i="36"/>
  <c r="N147" i="36"/>
  <c r="M175" i="36"/>
  <c r="N175" i="36"/>
  <c r="M180" i="36"/>
  <c r="N180" i="36"/>
  <c r="M88" i="36"/>
  <c r="N88" i="36"/>
  <c r="M92" i="36"/>
  <c r="N92" i="36"/>
  <c r="M44" i="36"/>
  <c r="N44" i="36"/>
  <c r="M112" i="36"/>
  <c r="N112" i="36"/>
  <c r="M9" i="36"/>
  <c r="N9" i="36"/>
  <c r="M64" i="36"/>
  <c r="N64" i="36"/>
  <c r="M151" i="36"/>
  <c r="N151" i="36"/>
  <c r="M30" i="36"/>
  <c r="N30" i="36"/>
  <c r="M148" i="36"/>
  <c r="N148" i="36"/>
  <c r="M179" i="36"/>
  <c r="N179" i="36"/>
  <c r="M85" i="36"/>
  <c r="N85" i="36"/>
  <c r="M109" i="36"/>
  <c r="N109" i="36"/>
  <c r="M32" i="36"/>
  <c r="N32" i="36"/>
  <c r="M14" i="36"/>
  <c r="N14" i="36"/>
  <c r="M163" i="36"/>
  <c r="N163" i="36"/>
  <c r="M168" i="36"/>
  <c r="N168" i="36"/>
  <c r="M159" i="36"/>
  <c r="N159" i="36"/>
  <c r="M12" i="36"/>
  <c r="N12" i="36"/>
  <c r="M69" i="36"/>
  <c r="N69" i="36"/>
  <c r="M86" i="36"/>
  <c r="N86" i="36"/>
  <c r="M20" i="36"/>
  <c r="N20" i="36"/>
  <c r="M5" i="36"/>
  <c r="N5" i="36"/>
  <c r="M17" i="36"/>
  <c r="N17" i="36"/>
  <c r="M70" i="36"/>
  <c r="N70" i="36"/>
  <c r="M177" i="36"/>
  <c r="N177" i="36"/>
  <c r="M146" i="36"/>
  <c r="N146" i="36"/>
  <c r="M37" i="36"/>
  <c r="N37" i="36"/>
  <c r="M7" i="36"/>
  <c r="N7" i="36"/>
  <c r="M134" i="36"/>
  <c r="N134" i="36"/>
  <c r="M152" i="36"/>
  <c r="N152" i="36"/>
  <c r="M49" i="36"/>
  <c r="N49" i="36"/>
  <c r="M181" i="36"/>
  <c r="N181" i="36"/>
  <c r="M176" i="36"/>
  <c r="N176" i="36"/>
  <c r="M145" i="36"/>
  <c r="N145" i="36"/>
  <c r="M127" i="36"/>
  <c r="N127" i="36"/>
  <c r="M62" i="36"/>
  <c r="N62" i="36"/>
  <c r="R99" i="19"/>
  <c r="R33" i="19"/>
  <c r="R115" i="19"/>
  <c r="R164" i="19"/>
  <c r="R37" i="19"/>
  <c r="R97" i="19"/>
  <c r="R113" i="19"/>
  <c r="R189" i="19"/>
  <c r="R163" i="19"/>
  <c r="R121" i="19"/>
  <c r="R31" i="19"/>
  <c r="R71" i="19"/>
  <c r="R181" i="19"/>
  <c r="R58" i="19"/>
  <c r="R61" i="19"/>
  <c r="R114" i="19"/>
  <c r="R70" i="19"/>
  <c r="R109" i="19"/>
  <c r="R117" i="19"/>
  <c r="R55" i="19"/>
  <c r="R140" i="19"/>
  <c r="R17" i="19"/>
  <c r="R120" i="19"/>
  <c r="R41" i="19"/>
  <c r="R51" i="19"/>
  <c r="R63" i="19"/>
  <c r="R186" i="19"/>
  <c r="R23" i="19"/>
  <c r="R35" i="19"/>
  <c r="R151" i="19"/>
  <c r="R49" i="19"/>
  <c r="R124" i="19"/>
  <c r="R152" i="19"/>
  <c r="R148" i="19"/>
  <c r="R177" i="19"/>
  <c r="R183" i="19"/>
  <c r="R127" i="19"/>
  <c r="R30" i="19"/>
  <c r="R26" i="19"/>
  <c r="R161" i="19"/>
  <c r="R116" i="19"/>
  <c r="R193" i="19"/>
  <c r="R129" i="19"/>
  <c r="R22" i="19"/>
  <c r="R128" i="19"/>
  <c r="R45" i="19"/>
  <c r="R9" i="19"/>
  <c r="R146" i="19"/>
  <c r="R101" i="19"/>
  <c r="R110" i="19"/>
  <c r="R108" i="19"/>
  <c r="R149" i="19"/>
  <c r="R185" i="19"/>
  <c r="R178" i="19"/>
  <c r="R180" i="19"/>
  <c r="R188" i="19"/>
  <c r="R18" i="19"/>
  <c r="R47" i="19"/>
  <c r="R143" i="19"/>
  <c r="R118" i="19"/>
  <c r="R182" i="19"/>
  <c r="R32" i="19"/>
  <c r="R150" i="19"/>
  <c r="R184" i="19"/>
  <c r="R60" i="19"/>
  <c r="R119" i="19"/>
  <c r="R147" i="19"/>
  <c r="R194" i="19"/>
  <c r="R29" i="19"/>
  <c r="R145" i="19"/>
  <c r="M29" i="21"/>
  <c r="N29" i="21"/>
  <c r="R130" i="19"/>
  <c r="R195" i="19"/>
  <c r="R53" i="19"/>
  <c r="R162" i="19"/>
  <c r="R123" i="19"/>
  <c r="R54" i="19"/>
  <c r="M10" i="21"/>
  <c r="N10" i="21"/>
  <c r="M5" i="21"/>
  <c r="N5" i="21"/>
  <c r="N37" i="21"/>
  <c r="O37" i="21" s="1"/>
  <c r="P37" i="21" s="1"/>
  <c r="K37" i="21" s="1"/>
  <c r="M51" i="21"/>
  <c r="N51" i="21"/>
  <c r="N22" i="28"/>
  <c r="O22" i="28" s="1"/>
  <c r="P22" i="28" s="1"/>
  <c r="K22" i="28" s="1"/>
  <c r="M24" i="21"/>
  <c r="O24" i="21" s="1"/>
  <c r="P24" i="21" s="1"/>
  <c r="K24" i="21" s="1"/>
  <c r="N3" i="21"/>
  <c r="O3" i="21" s="1"/>
  <c r="P3" i="21" s="1"/>
  <c r="K3" i="21" s="1"/>
  <c r="M27" i="21"/>
  <c r="O27" i="21" s="1"/>
  <c r="P27" i="21" s="1"/>
  <c r="K27" i="21" s="1"/>
  <c r="Q197" i="19"/>
  <c r="O34" i="28"/>
  <c r="P34" i="28" s="1"/>
  <c r="K34" i="28" s="1"/>
  <c r="M33" i="21"/>
  <c r="N33" i="21"/>
  <c r="M41" i="21"/>
  <c r="O41" i="21" s="1"/>
  <c r="P41" i="21" s="1"/>
  <c r="K41" i="21" s="1"/>
  <c r="N19" i="21"/>
  <c r="M19" i="21"/>
  <c r="M28" i="21"/>
  <c r="N28" i="21"/>
  <c r="M7" i="21"/>
  <c r="N7" i="21"/>
  <c r="M4" i="19"/>
  <c r="R4" i="19" s="1"/>
  <c r="O25" i="21"/>
  <c r="P25" i="21" s="1"/>
  <c r="K25" i="21" s="1"/>
  <c r="O42" i="21"/>
  <c r="P42" i="21" s="1"/>
  <c r="K42" i="21" s="1"/>
  <c r="O34" i="21"/>
  <c r="P34" i="21" s="1"/>
  <c r="K34" i="21" s="1"/>
  <c r="O35" i="28"/>
  <c r="P35" i="28" s="1"/>
  <c r="K35" i="28" s="1"/>
  <c r="O32" i="28"/>
  <c r="P32" i="28" s="1"/>
  <c r="K32" i="28" s="1"/>
  <c r="O30" i="28"/>
  <c r="P30" i="28" s="1"/>
  <c r="K30" i="28" s="1"/>
  <c r="O25" i="28"/>
  <c r="P25" i="28" s="1"/>
  <c r="K25" i="28" s="1"/>
  <c r="O29" i="36" l="1"/>
  <c r="K29" i="36" s="1"/>
  <c r="O13" i="36"/>
  <c r="K13" i="36" s="1"/>
  <c r="O119" i="36"/>
  <c r="K119" i="36" s="1"/>
  <c r="O23" i="21"/>
  <c r="P23" i="21" s="1"/>
  <c r="K23" i="21" s="1"/>
  <c r="O114" i="36"/>
  <c r="K114" i="36" s="1"/>
  <c r="O133" i="36"/>
  <c r="K133" i="36" s="1"/>
  <c r="O125" i="36"/>
  <c r="K125" i="36" s="1"/>
  <c r="O27" i="28"/>
  <c r="P27" i="28" s="1"/>
  <c r="K27" i="28" s="1"/>
  <c r="O103" i="36"/>
  <c r="K103" i="36" s="1"/>
  <c r="O71" i="36"/>
  <c r="K71" i="36" s="1"/>
  <c r="O81" i="36"/>
  <c r="K81" i="36" s="1"/>
  <c r="O57" i="36"/>
  <c r="K57" i="36" s="1"/>
  <c r="O48" i="36"/>
  <c r="K48" i="36" s="1"/>
  <c r="O111" i="36"/>
  <c r="K111" i="36" s="1"/>
  <c r="O94" i="36"/>
  <c r="K94" i="36" s="1"/>
  <c r="O80" i="36"/>
  <c r="K80" i="36" s="1"/>
  <c r="O98" i="36"/>
  <c r="K98" i="36" s="1"/>
  <c r="O115" i="36"/>
  <c r="K115" i="36" s="1"/>
  <c r="O106" i="36"/>
  <c r="K106" i="36" s="1"/>
  <c r="O137" i="36"/>
  <c r="K137" i="36" s="1"/>
  <c r="O144" i="36"/>
  <c r="K144" i="36" s="1"/>
  <c r="O161" i="36"/>
  <c r="K161" i="36" s="1"/>
  <c r="O28" i="36"/>
  <c r="K28" i="36" s="1"/>
  <c r="O138" i="36"/>
  <c r="K138" i="36" s="1"/>
  <c r="O24" i="36"/>
  <c r="K24" i="36" s="1"/>
  <c r="O51" i="36"/>
  <c r="K51" i="36" s="1"/>
  <c r="O130" i="36"/>
  <c r="K130" i="36" s="1"/>
  <c r="O61" i="36"/>
  <c r="K61" i="36" s="1"/>
  <c r="O166" i="36"/>
  <c r="K166" i="36" s="1"/>
  <c r="O160" i="36"/>
  <c r="K160" i="36" s="1"/>
  <c r="O169" i="36"/>
  <c r="K169" i="36" s="1"/>
  <c r="O8" i="36"/>
  <c r="K8" i="36" s="1"/>
  <c r="O39" i="36"/>
  <c r="K39" i="36" s="1"/>
  <c r="O53" i="36"/>
  <c r="K53" i="36" s="1"/>
  <c r="O72" i="36"/>
  <c r="K72" i="36" s="1"/>
  <c r="O22" i="36"/>
  <c r="K22" i="36" s="1"/>
  <c r="O91" i="36"/>
  <c r="K91" i="36" s="1"/>
  <c r="O129" i="36"/>
  <c r="K129" i="36" s="1"/>
  <c r="O170" i="36"/>
  <c r="K170" i="36" s="1"/>
  <c r="O101" i="36"/>
  <c r="K101" i="36" s="1"/>
  <c r="O83" i="36"/>
  <c r="K83" i="36" s="1"/>
  <c r="O123" i="36"/>
  <c r="K123" i="36" s="1"/>
  <c r="O63" i="36"/>
  <c r="K63" i="36" s="1"/>
  <c r="O145" i="36"/>
  <c r="K145" i="36" s="1"/>
  <c r="O181" i="36"/>
  <c r="K181" i="36" s="1"/>
  <c r="O152" i="36"/>
  <c r="K152" i="36" s="1"/>
  <c r="O146" i="36"/>
  <c r="K146" i="36" s="1"/>
  <c r="O70" i="36"/>
  <c r="K70" i="36" s="1"/>
  <c r="O5" i="36"/>
  <c r="K5" i="36" s="1"/>
  <c r="O20" i="36"/>
  <c r="K20" i="36" s="1"/>
  <c r="O69" i="36"/>
  <c r="K69" i="36" s="1"/>
  <c r="O159" i="36"/>
  <c r="K159" i="36" s="1"/>
  <c r="O163" i="36"/>
  <c r="K163" i="36" s="1"/>
  <c r="O32" i="36"/>
  <c r="K32" i="36" s="1"/>
  <c r="O109" i="36"/>
  <c r="K109" i="36" s="1"/>
  <c r="O179" i="36"/>
  <c r="K179" i="36" s="1"/>
  <c r="O148" i="36"/>
  <c r="K148" i="36" s="1"/>
  <c r="O30" i="36"/>
  <c r="K30" i="36" s="1"/>
  <c r="O151" i="36"/>
  <c r="K151" i="36" s="1"/>
  <c r="O9" i="36"/>
  <c r="K9" i="36" s="1"/>
  <c r="O92" i="36"/>
  <c r="K92" i="36" s="1"/>
  <c r="O180" i="36"/>
  <c r="K180" i="36" s="1"/>
  <c r="O175" i="36"/>
  <c r="K175" i="36" s="1"/>
  <c r="O149" i="36"/>
  <c r="K149" i="36" s="1"/>
  <c r="O73" i="36"/>
  <c r="K73" i="36" s="1"/>
  <c r="O126" i="36"/>
  <c r="K126" i="36" s="1"/>
  <c r="O89" i="36"/>
  <c r="K89" i="36" s="1"/>
  <c r="O45" i="36"/>
  <c r="K45" i="36" s="1"/>
  <c r="O102" i="36"/>
  <c r="K102" i="36" s="1"/>
  <c r="O62" i="36"/>
  <c r="K62" i="36" s="1"/>
  <c r="O127" i="36"/>
  <c r="K127" i="36" s="1"/>
  <c r="O176" i="36"/>
  <c r="K176" i="36" s="1"/>
  <c r="O49" i="36"/>
  <c r="K49" i="36" s="1"/>
  <c r="O134" i="36"/>
  <c r="K134" i="36" s="1"/>
  <c r="O7" i="36"/>
  <c r="K7" i="36" s="1"/>
  <c r="O37" i="36"/>
  <c r="K37" i="36" s="1"/>
  <c r="O177" i="36"/>
  <c r="K177" i="36" s="1"/>
  <c r="O17" i="36"/>
  <c r="K17" i="36" s="1"/>
  <c r="O86" i="36"/>
  <c r="K86" i="36" s="1"/>
  <c r="O12" i="36"/>
  <c r="K12" i="36" s="1"/>
  <c r="O168" i="36"/>
  <c r="K168" i="36" s="1"/>
  <c r="O14" i="36"/>
  <c r="K14" i="36" s="1"/>
  <c r="O85" i="36"/>
  <c r="K85" i="36" s="1"/>
  <c r="O64" i="36"/>
  <c r="K64" i="36" s="1"/>
  <c r="O112" i="36"/>
  <c r="K112" i="36" s="1"/>
  <c r="O44" i="36"/>
  <c r="K44" i="36" s="1"/>
  <c r="O88" i="36"/>
  <c r="K88" i="36" s="1"/>
  <c r="O147" i="36"/>
  <c r="K147" i="36" s="1"/>
  <c r="O43" i="36"/>
  <c r="K43" i="36" s="1"/>
  <c r="O10" i="21"/>
  <c r="P10" i="21" s="1"/>
  <c r="K10" i="21" s="1"/>
  <c r="O29" i="21"/>
  <c r="P29" i="21" s="1"/>
  <c r="K29" i="21" s="1"/>
  <c r="O5" i="21"/>
  <c r="P5" i="21" s="1"/>
  <c r="K5" i="21" s="1"/>
  <c r="O28" i="21"/>
  <c r="P28" i="21" s="1"/>
  <c r="K28" i="21" s="1"/>
  <c r="O51" i="21"/>
  <c r="P51" i="21" s="1"/>
  <c r="K51" i="21" s="1"/>
  <c r="O7" i="21"/>
  <c r="P7" i="21" s="1"/>
  <c r="K7" i="21" s="1"/>
  <c r="O19" i="21"/>
  <c r="P19" i="21" s="1"/>
  <c r="K19" i="21" s="1"/>
  <c r="O33" i="21"/>
  <c r="P33" i="21" s="1"/>
  <c r="K33" i="21" s="1"/>
</calcChain>
</file>

<file path=xl/sharedStrings.xml><?xml version="1.0" encoding="utf-8"?>
<sst xmlns="http://schemas.openxmlformats.org/spreadsheetml/2006/main" count="4569" uniqueCount="2834">
  <si>
    <t>Brand Name</t>
  </si>
  <si>
    <t>환타오렌지 1.25PET X12</t>
  </si>
  <si>
    <t>코코팜화이트240CAN X30</t>
  </si>
  <si>
    <t>SK레몬에이드240CAN X30</t>
  </si>
  <si>
    <t>SK사과드링크240CAN X30</t>
  </si>
  <si>
    <t>SK포도드링크240CAN X30</t>
  </si>
  <si>
    <t>SK체리에이드350PET X24</t>
  </si>
  <si>
    <t>SK레몬에이드350PET X24</t>
  </si>
  <si>
    <t>SK스위티에이드350P X24</t>
  </si>
  <si>
    <t>SK허니유자 280NRB X20</t>
  </si>
  <si>
    <t>SK후레쉬JB OR100 1.5PX12</t>
  </si>
  <si>
    <t>과일촌제주감귤1.5P X12</t>
  </si>
  <si>
    <t>코코팜피치핑크240C X30</t>
  </si>
  <si>
    <t>써니텐BL파인250C X30</t>
  </si>
  <si>
    <t>써니텐BL포도250C X30</t>
  </si>
  <si>
    <t>SK후레쉬JB OR100 2.0P X6</t>
  </si>
  <si>
    <t>SK훼미리MV오포사180N 3X12</t>
  </si>
  <si>
    <t>SK훼미리MV AP100 180N 3X12</t>
  </si>
  <si>
    <t>SK오렌지드링크240CAN X30</t>
  </si>
  <si>
    <t>S)SK볼트에너지블루250C 5X6</t>
  </si>
  <si>
    <t>써니텐BL오렌1.5P X12</t>
  </si>
  <si>
    <t>써니텐BL오렌250C X30</t>
  </si>
  <si>
    <t>코코팜피치핑크스쿨240C X30</t>
  </si>
  <si>
    <t>코코팜화이트스쿨240CAN X30</t>
  </si>
  <si>
    <t>써니텐스파클레몬ADE 250CX30</t>
  </si>
  <si>
    <t>써니텐스파클체리ADE 250CX30</t>
  </si>
  <si>
    <t>써니텐스파클레몬ADE 350PX24</t>
  </si>
  <si>
    <t>써니텐BL오렌1.2P X12</t>
  </si>
  <si>
    <t>골든드랍나는오리지널175CX30</t>
  </si>
  <si>
    <t>골든드랍나는카푸치노175CX30</t>
  </si>
  <si>
    <t>몸에좋은막대기헛개340P X20</t>
  </si>
  <si>
    <t>과일촌아침에사과500P X24</t>
  </si>
  <si>
    <t>코코팜피치핑크복숭300P X24</t>
  </si>
  <si>
    <t>체리　코크  355CAN X24</t>
  </si>
  <si>
    <t>체리　코크(S) 355C 4X6</t>
  </si>
  <si>
    <t>코카콜라EDLP355CAN 4X6</t>
  </si>
  <si>
    <t>코카콜라SSP 355CAN X24</t>
  </si>
  <si>
    <t>코카콜라업소용500PETX24</t>
  </si>
  <si>
    <t>코크라이트ERGO 500PET X24</t>
  </si>
  <si>
    <t>퓨즈티복숭아500PET X20</t>
  </si>
  <si>
    <t>S)퓨즈티복숭아500P 5X4</t>
  </si>
  <si>
    <t>퓨즈티복숭아240CAN X30</t>
  </si>
  <si>
    <t>퓨즈티복숭아355CAN X24</t>
  </si>
  <si>
    <t>슈웹스그레이프토닉270N X24</t>
  </si>
  <si>
    <t>슈웹스그레이프토닉350P X24</t>
  </si>
  <si>
    <t>S슈웹스그레이프토닉350P 4X6</t>
  </si>
  <si>
    <t>코크환타오렌1.5L 6X2</t>
  </si>
  <si>
    <t>암바사화이트1.5PET X12</t>
  </si>
  <si>
    <t>킨사이다알파1.5PET X12</t>
  </si>
  <si>
    <t>킨알파업소용1.5PET X12</t>
  </si>
  <si>
    <t>코크스터비QSR 245C X24</t>
  </si>
  <si>
    <t>L-M)코카콜라245CAN X24</t>
  </si>
  <si>
    <t>코카콜라올림픽500C X24</t>
  </si>
  <si>
    <t>환타오렌지250CAN 5X6 M</t>
  </si>
  <si>
    <t>암바사화이트250CAN 5X6</t>
  </si>
  <si>
    <t>암바사화이트250CAN X30</t>
  </si>
  <si>
    <t>스프라이트SSP 210C X30</t>
  </si>
  <si>
    <t>코카콜라SSP 210CAN X30</t>
  </si>
  <si>
    <t>환타오렌SSP 210CAN X30</t>
  </si>
  <si>
    <t>조지아오리지널175C 5X6</t>
  </si>
  <si>
    <t>조지아오리지널240C X30</t>
  </si>
  <si>
    <t>조지아카페라테240C X30</t>
  </si>
  <si>
    <t>조지아오리지널240C 5X6</t>
  </si>
  <si>
    <t>조지아오리지널175C X30</t>
  </si>
  <si>
    <t>조지아카페라테240C 5X6</t>
  </si>
  <si>
    <t>조지아오리이지280P X20</t>
  </si>
  <si>
    <t>조지아맥스쵸코라떼240C X30</t>
  </si>
  <si>
    <t>환타파인업소용355C X24</t>
  </si>
  <si>
    <t>조지아다크블렌드240C X30</t>
  </si>
  <si>
    <t>조지아오리지널900P X12</t>
  </si>
  <si>
    <t>미닛쿠우오렌지300P X24</t>
  </si>
  <si>
    <t>킨사이다알파250CAN X30</t>
  </si>
  <si>
    <t>글라소멀티브이500P X12</t>
  </si>
  <si>
    <t>글라소리스토어500P X12</t>
  </si>
  <si>
    <t>글라소멀티브이500P 4X3</t>
  </si>
  <si>
    <t>글라소PC+FC+3X 500P 4X3</t>
  </si>
  <si>
    <t>글라소멀티브이500P 4X6</t>
  </si>
  <si>
    <t>코카콜라소분300PET 4X6</t>
  </si>
  <si>
    <t>환타오렌지소분300P 4X6</t>
  </si>
  <si>
    <t>환타오렌지(S) 600P 4X6</t>
  </si>
  <si>
    <t>킨사이다알파500PET X24</t>
  </si>
  <si>
    <t>스프라이트업소용355C X24</t>
  </si>
  <si>
    <t>스프라이트QSR 500P X24</t>
  </si>
  <si>
    <t>스프라이트QSR 1.5P X12</t>
  </si>
  <si>
    <t>환타오렌플린355RGB X24</t>
  </si>
  <si>
    <t>환타파인애플1.5PET X12</t>
  </si>
  <si>
    <t>환타오렌지(S) 1.5P 2X6</t>
  </si>
  <si>
    <t>코카콜라ERGO 500PET X24</t>
  </si>
  <si>
    <t>코카콜라ERGO 500PET 6X4</t>
  </si>
  <si>
    <t>MM펀치오렌지자몽400P X24</t>
  </si>
  <si>
    <t>MM펀치오렌지자몽1.5P X12</t>
  </si>
  <si>
    <t>MM프리미엄감귤1.8P X12</t>
  </si>
  <si>
    <t>환타스무디복숭아250C X30</t>
  </si>
  <si>
    <t>환타스무디복숭아500P X24</t>
  </si>
  <si>
    <t>환타스무디복숭아1.5P X12</t>
  </si>
  <si>
    <t>미닛메이드토마토1.5P X12</t>
  </si>
  <si>
    <t>퓨즈티복숭아5L BIB PMX</t>
  </si>
  <si>
    <t>M오50%+포40% 1.5 6X2</t>
  </si>
  <si>
    <t>M OR(C)2+GR(C)+AL 1.5PX4</t>
  </si>
  <si>
    <t>신MM프리OR100 180N X24</t>
  </si>
  <si>
    <t>신MM프리GR100 180N X24</t>
  </si>
  <si>
    <t>신MM프리감귤180N X24</t>
  </si>
  <si>
    <t>신MM프리알로에180N X24</t>
  </si>
  <si>
    <t>신MM프리토마토180N X24</t>
  </si>
  <si>
    <t>조지아EMB아메250NRBX20</t>
  </si>
  <si>
    <t>조지아EMB라떼250NRBX20</t>
  </si>
  <si>
    <t>조지아EMB더블랙270B X20</t>
  </si>
  <si>
    <t>조지아EMB라떼270B X20</t>
  </si>
  <si>
    <t>S조지아EMB라떼270B 2X10</t>
  </si>
  <si>
    <t>조지아EMB아메270B X20</t>
  </si>
  <si>
    <t>조지아EMB더블랙200C X30</t>
  </si>
  <si>
    <t>조지아EMB라떼200C X30</t>
  </si>
  <si>
    <t>조지아EMB미당200C X30</t>
  </si>
  <si>
    <t>조지아EMB아메200C X30</t>
  </si>
  <si>
    <t>아이스큐브100CUBE X24</t>
  </si>
  <si>
    <t>소켄비맑은기운차350P X24</t>
  </si>
  <si>
    <t>환타파인애플600PET X24</t>
  </si>
  <si>
    <t>코크　제로  355CAN X24</t>
  </si>
  <si>
    <t>파워아쿠아파워플600P X20</t>
  </si>
  <si>
    <t>파워아쿠아파워플1.5P X12</t>
  </si>
  <si>
    <t>파워마운틴소분1.5P 2X6</t>
  </si>
  <si>
    <t>파워에너지펀치600P X20</t>
  </si>
  <si>
    <t>파워에너지펀치1.5P X12</t>
  </si>
  <si>
    <t>아쿠아리우스240CAN X30</t>
  </si>
  <si>
    <t>아쿠아리우스500PET X20</t>
  </si>
  <si>
    <t>아쿠아리우스1.5PET X12</t>
  </si>
  <si>
    <t>S)파워에너지펀치600P 4X6</t>
  </si>
  <si>
    <t>환타파인애플355RGB X24</t>
  </si>
  <si>
    <t>휘오다이아몬드EC 2.0P X6</t>
  </si>
  <si>
    <t>휘오다이아몬드500P X20</t>
  </si>
  <si>
    <t>휘오다이아몬드1.8P X12</t>
  </si>
  <si>
    <t>휘오다이아몬드18.9P X1</t>
  </si>
  <si>
    <t>휘오다이아군납용18.9P X1</t>
  </si>
  <si>
    <t>휘오다이아군납용500P X20</t>
  </si>
  <si>
    <t>휘오다이아군납용1.8P X12</t>
  </si>
  <si>
    <t>휘오다이아군납용900P X20</t>
  </si>
  <si>
    <t>TOTAL</t>
    <phoneticPr fontId="87" type="noConversion"/>
  </si>
  <si>
    <t>M&amp;P)환타오렌지1.25P X12</t>
  </si>
  <si>
    <t>SK칵테일샤인더비치350P X24</t>
  </si>
  <si>
    <t>SK칵테일샤인더비치350P 4X6</t>
  </si>
  <si>
    <t>SK석류드링크240CAN X30</t>
  </si>
  <si>
    <t>SK칵테일블루하와이350P X24</t>
  </si>
  <si>
    <t>SK모과생강 280NRB X20</t>
  </si>
  <si>
    <t>환타오렌지185C 5X6(4+2)</t>
  </si>
  <si>
    <t>스프라이트185C 5X6(4+2)</t>
  </si>
  <si>
    <t>퓨즈티복숭아1.5PET X12</t>
  </si>
  <si>
    <t>조지아카페오레240C X30</t>
  </si>
  <si>
    <t>조지아카페오레240C 5X6</t>
  </si>
  <si>
    <t>S)스프라이트500P X12(C-C</t>
  </si>
  <si>
    <t>MM프리미엄GR100 180C X30</t>
  </si>
  <si>
    <t>M리치블랜드아사이1.0N X8</t>
  </si>
  <si>
    <t>M리치블랜드크렌베1.0N X8</t>
  </si>
  <si>
    <t>M리치블랜드아사이300P X24</t>
  </si>
  <si>
    <t>M리치블랜드크렌베300P X24</t>
  </si>
  <si>
    <t>M리치블랜드아사이1.5P X12</t>
  </si>
  <si>
    <t>M리치블랜드크렌베1.5P X12</t>
  </si>
  <si>
    <t>M리치블랜드AB+CB 1.5P 6X2</t>
  </si>
  <si>
    <t>S)M리치블랜아사이300P 4X6</t>
  </si>
  <si>
    <t>S)M리치블랜크렌베300P 4X6</t>
  </si>
  <si>
    <t>미닛테트라오렌지1.0T X9</t>
  </si>
  <si>
    <t>미닛조이애플리치175C X30</t>
  </si>
  <si>
    <t>미닛조이애플리치240C X30</t>
  </si>
  <si>
    <t>미닛펀치트로피칼175C X30</t>
  </si>
  <si>
    <t>MM세트NRB 3X(1.0X2+180X4)</t>
  </si>
  <si>
    <t>M리치블랜드아사이180N X24</t>
  </si>
  <si>
    <t>M리치블랜드크렌베180N X24</t>
  </si>
  <si>
    <t>M리치블랜드아사이180N 3X12</t>
  </si>
  <si>
    <t>조지아EMB에스250NRBX20</t>
  </si>
  <si>
    <t>조지아EMB라떼250CUP X10</t>
  </si>
  <si>
    <t>조지아EMB에스270B X20</t>
  </si>
  <si>
    <t>S조지아아이스아메170PU 5X10</t>
  </si>
  <si>
    <t>조지아EMB에스200C X30</t>
  </si>
  <si>
    <t>조지아EMB라떼200C 5X6</t>
  </si>
  <si>
    <t>조지아EMB아메200C 5X6</t>
  </si>
  <si>
    <t>미닛메이드알로에1.5P X4</t>
  </si>
  <si>
    <t>미닛메이드토마토1.5P X4</t>
  </si>
  <si>
    <t>파워M/B+A/P EDLP 1.5P 6X2</t>
  </si>
  <si>
    <t>파워M/B+M/B+물병1.5P 4X2</t>
  </si>
  <si>
    <t>휘오순수아침사과워터450PX20</t>
  </si>
  <si>
    <t>휘오순수제주감귤워터450PX20</t>
  </si>
  <si>
    <t>휘오다이아몬드EC 2.0P 2X6</t>
  </si>
  <si>
    <t>SK블루하와이저칼340C X24</t>
  </si>
  <si>
    <t>SK샤인더비치저칼340C X24</t>
  </si>
  <si>
    <t>영진구론산Ｄ100N 10X10</t>
  </si>
  <si>
    <t>이태백의숙취비책150C 3X10</t>
  </si>
  <si>
    <t>몸에좋은막대기헛개500P X20</t>
  </si>
  <si>
    <t>몸에좋은막대기옥수500P X20</t>
  </si>
  <si>
    <t>MM오렌지스텐딩190PU 5X10</t>
  </si>
  <si>
    <t>MM망고스텐딩190PU 5X10</t>
  </si>
  <si>
    <t>MM포도아사이스텐190PU 5X10</t>
  </si>
  <si>
    <t>MM망고애니멀100PU 3X10</t>
  </si>
  <si>
    <t>MM망고애니멀100PU X10</t>
  </si>
  <si>
    <t>슈웹스코스모폴리탄350PX24</t>
  </si>
  <si>
    <t>슈웹스레몬토닉777P X15</t>
  </si>
  <si>
    <t>코카콜라(HP)245CAN X24</t>
  </si>
  <si>
    <t>조지아리틀카페175C X30</t>
  </si>
  <si>
    <t>조지아리틀카페175C 5X6</t>
  </si>
  <si>
    <t>조지아리틀카페200C X30</t>
  </si>
  <si>
    <t>조지아리틀카페200C 5X6</t>
  </si>
  <si>
    <t>M&amp;P)코카콜라777PET 8X2</t>
  </si>
  <si>
    <t>코카　콜라500PET 12X2</t>
  </si>
  <si>
    <t>환타스트로베리250C X30</t>
  </si>
  <si>
    <t>환타스트로베리600P X24</t>
  </si>
  <si>
    <t>환타스트로베리1.5P X12</t>
  </si>
  <si>
    <t>환타스트로베리250C 5X6</t>
  </si>
  <si>
    <t>미닛테트라오오포망1.0T 4X4</t>
  </si>
  <si>
    <t>미닛조이오렌지175C 4+2</t>
  </si>
  <si>
    <t>미닛펀치트로피175C 4+2</t>
  </si>
  <si>
    <t>조지아EMB라떼390B X20</t>
  </si>
  <si>
    <t>조지아EMB더블랙390B X20</t>
  </si>
  <si>
    <t>조지아EMB아메390B X20</t>
  </si>
  <si>
    <t>조지아EMB바나250CUP X10</t>
  </si>
  <si>
    <t>조지아EMB카라250CUP X10</t>
  </si>
  <si>
    <t>S조지아EMB더블랙270B 4X6</t>
  </si>
  <si>
    <t>S조지아EMB에스270B 4X6</t>
  </si>
  <si>
    <t>S조지아EMB라떼270B 4X6</t>
  </si>
  <si>
    <t>S조지아EMB아메270B 4X6</t>
  </si>
  <si>
    <t>N조지아아이스아메170PU 5X10</t>
  </si>
  <si>
    <t>N조지아아이스라떼170PU 5X10</t>
  </si>
  <si>
    <t>N조지아아이스카라170PU 5X10</t>
  </si>
  <si>
    <t>N조지아아이스아메170PU X10</t>
  </si>
  <si>
    <t>N조지아아이스라떼170PU X10</t>
  </si>
  <si>
    <t>N조지아아이스카라170PU X10</t>
  </si>
  <si>
    <t>파워골드러쉬240CAN X30</t>
  </si>
  <si>
    <t>파워골드러쉬240CAN 5X6</t>
  </si>
  <si>
    <t>파워골드러쉬600PET X20</t>
  </si>
  <si>
    <t>S)파워골드러쉬600P 4X6</t>
  </si>
  <si>
    <t>파워골드러쉬1.5PET X12</t>
  </si>
  <si>
    <t>파워MB+GR+AP+물병600P 5X3</t>
  </si>
  <si>
    <t>파워골드러쉬520PET X20</t>
  </si>
  <si>
    <t>파워아쿠아파워플520P X20</t>
  </si>
  <si>
    <t>파워골드러쉬1.8PET X12</t>
  </si>
  <si>
    <t>파워아쿠아파워플1.8P X12</t>
  </si>
  <si>
    <t>N휘오다이아몬드EC 500P X20</t>
  </si>
  <si>
    <t>SK키즈포도겨울왕국210PX20</t>
  </si>
  <si>
    <t>M포도아사애니100PU 3X10</t>
  </si>
  <si>
    <t>M포도아사애니100PU X10</t>
  </si>
  <si>
    <t>슈웹스레몬토닉210C X30</t>
  </si>
  <si>
    <t>태양의마테차박스500PX12</t>
  </si>
  <si>
    <t>SK아메리카노200CAN X30</t>
  </si>
  <si>
    <t>글라소코코워터500P X12</t>
  </si>
  <si>
    <t>글라소PC+EN+MV+3X 500P X12</t>
  </si>
  <si>
    <t>미닛메이드알로에175C X30</t>
  </si>
  <si>
    <t>휘오다이아몬드EC 300P X20</t>
  </si>
  <si>
    <t>휘오다이아몬드S 300P X20</t>
  </si>
  <si>
    <t>H휘오다이아몬드EC 500P X20</t>
  </si>
  <si>
    <t>휘오철원순수SSP 500P X20</t>
  </si>
  <si>
    <t>조지아카라멜마끼240C X30</t>
  </si>
  <si>
    <t>MM펀치오렌지자몽355C X24</t>
  </si>
  <si>
    <t>C-C슈웹스레몬토닉350P X12</t>
  </si>
  <si>
    <t>S)씨그램플레인350P 4X6</t>
  </si>
  <si>
    <t>C-C코크제로500P X12</t>
  </si>
  <si>
    <t>코카콜라한국250NRB X24</t>
  </si>
  <si>
    <t>코카콜라브라질250NRB X24</t>
  </si>
  <si>
    <t>코카콜라프랑스250NRB X24</t>
  </si>
  <si>
    <t>코카콜라독일250NRB X24</t>
  </si>
  <si>
    <t>코카콜라잉글랜250NRB X24</t>
  </si>
  <si>
    <t>코카콜라스페인250NRB X24</t>
  </si>
  <si>
    <t>코카콜라월드컵250NRB 4X6</t>
  </si>
  <si>
    <t>조지아카라멜마끼240C 5X6</t>
  </si>
  <si>
    <t>글라소코코워터355P 4X6</t>
  </si>
  <si>
    <t>글라소멀티브이1.0P X12</t>
  </si>
  <si>
    <t>조지아EMB더블랙300P X20</t>
  </si>
  <si>
    <t>조지아EMB아메300P X20</t>
  </si>
  <si>
    <t>태양의맑게우린차500P X24</t>
  </si>
  <si>
    <t>ET휘오다이아몬드S 300PX30</t>
  </si>
  <si>
    <t>S)MM오리지널0R100 1.5P 2X6</t>
  </si>
  <si>
    <t>S)MM오리지널OR100 350P 4X6</t>
  </si>
  <si>
    <t>코크폴라베어250BTC X24</t>
  </si>
  <si>
    <t>코크폴라베어250CAN 5X6</t>
  </si>
  <si>
    <t>MM오리지널OR100 175C X30</t>
  </si>
  <si>
    <t>MM오리지널OR100 350P X24</t>
  </si>
  <si>
    <t>MM오리지널GR100 350P X24</t>
  </si>
  <si>
    <t>마테차류혼합팩500P 5X4</t>
  </si>
  <si>
    <t>MM오렌지100셀렉트1.5PX12</t>
  </si>
  <si>
    <t>MM포도100셀렉트1.5PX12</t>
  </si>
  <si>
    <t>MM오리지널0R100 1.5PX12</t>
  </si>
  <si>
    <t>MM오리지널GR100 1.5PX12</t>
  </si>
  <si>
    <t>MM오리지널OR100 1.8P X12</t>
  </si>
  <si>
    <t>MM오리지널GR100 1.8P X12</t>
  </si>
  <si>
    <t>S)MM오리지널GR100 1.5P 2X6</t>
  </si>
  <si>
    <t>휘오다이아몬드EC 2.0P X9</t>
  </si>
  <si>
    <t>MM오리지널OR100 1.0N X8</t>
  </si>
  <si>
    <t>MM오리지널GR100 1.0N X8</t>
  </si>
  <si>
    <t>신MM오리오렌지180N 3X12</t>
  </si>
  <si>
    <t>신MM감귤 180N 3X12</t>
  </si>
  <si>
    <t>신MM알로에180N 3X12</t>
  </si>
  <si>
    <t>신MM토마토180N 3X12</t>
  </si>
  <si>
    <t>신MM감알토180N 3X12</t>
  </si>
  <si>
    <t>신MM감포매180N 3X12</t>
  </si>
  <si>
    <t>MM오리지널오알망180N 3X12</t>
  </si>
  <si>
    <t>신MM오리오포감180N 3X12</t>
  </si>
  <si>
    <t>MM망고애니멀100PU 2X10</t>
  </si>
  <si>
    <t>M포도아사애니100PU 2X10</t>
  </si>
  <si>
    <t>M&amp;P)코카콜라210CAN 5X6</t>
  </si>
  <si>
    <t>M&amp;P)환타오렌지210CAN 5X6</t>
  </si>
  <si>
    <t>M&amp;P)스프라이트210CAN 5X6</t>
  </si>
  <si>
    <t>코크산타스플래쉬350P X15</t>
  </si>
  <si>
    <t>코크산타스플래쉬350P 6X4</t>
  </si>
  <si>
    <t>CK 1.8+MM OR 1.8+CK 350P 4X3</t>
  </si>
  <si>
    <t>휘오다이아몬드EC 300P 2X20</t>
  </si>
  <si>
    <t>휘오다이아몬드EC 500P 2X20</t>
  </si>
  <si>
    <t>구분</t>
    <phoneticPr fontId="87" type="noConversion"/>
  </si>
  <si>
    <t>탄산355캔</t>
    <phoneticPr fontId="87" type="noConversion"/>
  </si>
  <si>
    <t>탄산250캔</t>
    <phoneticPr fontId="87" type="noConversion"/>
  </si>
  <si>
    <t>탄산185캔</t>
    <phoneticPr fontId="87" type="noConversion"/>
  </si>
  <si>
    <t>탄산1.25PET</t>
    <phoneticPr fontId="87" type="noConversion"/>
  </si>
  <si>
    <t>커피175캔</t>
    <phoneticPr fontId="87" type="noConversion"/>
  </si>
  <si>
    <t>퓨즈티</t>
    <phoneticPr fontId="87" type="noConversion"/>
  </si>
  <si>
    <t>슈웹스</t>
    <phoneticPr fontId="87" type="noConversion"/>
  </si>
  <si>
    <t>씨그램</t>
    <phoneticPr fontId="87" type="noConversion"/>
  </si>
  <si>
    <t>파워</t>
    <phoneticPr fontId="87" type="noConversion"/>
  </si>
  <si>
    <t>탄산245캔</t>
    <phoneticPr fontId="87" type="noConversion"/>
  </si>
  <si>
    <t>탄산210캔</t>
    <phoneticPr fontId="87" type="noConversion"/>
  </si>
  <si>
    <t>커피240캔</t>
    <phoneticPr fontId="87" type="noConversion"/>
  </si>
  <si>
    <t>커피200캔</t>
    <phoneticPr fontId="87" type="noConversion"/>
  </si>
  <si>
    <t>탄산350PET</t>
    <phoneticPr fontId="87" type="noConversion"/>
  </si>
  <si>
    <t>글라소</t>
    <phoneticPr fontId="87" type="noConversion"/>
  </si>
  <si>
    <t>탄산1.5PET</t>
    <phoneticPr fontId="87" type="noConversion"/>
  </si>
  <si>
    <t>주스350PET</t>
    <phoneticPr fontId="87" type="noConversion"/>
  </si>
  <si>
    <t>180NRB</t>
    <phoneticPr fontId="87" type="noConversion"/>
  </si>
  <si>
    <t>커피270</t>
    <phoneticPr fontId="87" type="noConversion"/>
  </si>
  <si>
    <t>마테차</t>
    <phoneticPr fontId="87" type="noConversion"/>
  </si>
  <si>
    <t>물</t>
    <phoneticPr fontId="87" type="noConversion"/>
  </si>
  <si>
    <t>아주</t>
    <phoneticPr fontId="90" type="noConversion"/>
  </si>
  <si>
    <t>잔량</t>
    <phoneticPr fontId="90" type="noConversion"/>
  </si>
  <si>
    <t>총합계</t>
    <phoneticPr fontId="90" type="noConversion"/>
  </si>
  <si>
    <t>차이</t>
    <phoneticPr fontId="90" type="noConversion"/>
  </si>
  <si>
    <t>한국통운 재고현황</t>
    <phoneticPr fontId="87" type="noConversion"/>
  </si>
  <si>
    <t>제품코드</t>
    <phoneticPr fontId="102" type="noConversion"/>
  </si>
  <si>
    <t>아주</t>
    <phoneticPr fontId="102" type="noConversion"/>
  </si>
  <si>
    <t>940P</t>
    <phoneticPr fontId="102" type="noConversion"/>
  </si>
  <si>
    <t>잔량</t>
    <phoneticPr fontId="102" type="noConversion"/>
  </si>
  <si>
    <t>제품코드</t>
    <phoneticPr fontId="102" type="noConversion"/>
  </si>
  <si>
    <t>940P</t>
    <phoneticPr fontId="102" type="noConversion"/>
  </si>
  <si>
    <t>잔량</t>
    <phoneticPr fontId="102" type="noConversion"/>
  </si>
  <si>
    <t>보류재고</t>
    <phoneticPr fontId="90" type="noConversion"/>
  </si>
  <si>
    <t>제품명</t>
  </si>
  <si>
    <t>생산일자</t>
    <phoneticPr fontId="101" type="noConversion"/>
  </si>
  <si>
    <t>사용가능</t>
    <phoneticPr fontId="101" type="noConversion"/>
  </si>
  <si>
    <t>보류재고              (불량포함)</t>
    <phoneticPr fontId="101" type="noConversion"/>
  </si>
  <si>
    <t>몸에좋은막대기헛개350P X20</t>
  </si>
  <si>
    <t>코카콜라SAC(A) 500P X24</t>
  </si>
  <si>
    <t>코카콜라SAC(B) 500P X24</t>
  </si>
  <si>
    <t>코카콜라SAC(C) 500P X24</t>
  </si>
  <si>
    <t>MM 밀키라떼사과300P X24</t>
  </si>
  <si>
    <t>MM 밀키라떼망고300P X24</t>
  </si>
  <si>
    <t>사용가능일수       75%</t>
    <phoneticPr fontId="101" type="noConversion"/>
  </si>
  <si>
    <t>조사일</t>
    <phoneticPr fontId="101" type="noConversion"/>
  </si>
  <si>
    <t>75%        잔여일</t>
    <phoneticPr fontId="101" type="noConversion"/>
  </si>
  <si>
    <t>홀딩테그</t>
    <phoneticPr fontId="101" type="noConversion"/>
  </si>
  <si>
    <t>MM 퓨레복숭아240C X30</t>
  </si>
  <si>
    <t>MM 퓨레복숭아300P X24</t>
  </si>
  <si>
    <t>미닛조이애플리치175C 5X6</t>
  </si>
  <si>
    <t>RGB</t>
    <phoneticPr fontId="87" type="noConversion"/>
  </si>
  <si>
    <t>미닛테트라오오포망1.0T 3X4</t>
  </si>
  <si>
    <t>휘오다이아몬드SE 400P X20</t>
  </si>
  <si>
    <t>주간상차</t>
    <phoneticPr fontId="90" type="noConversion"/>
  </si>
  <si>
    <t>비타민팩토리콜라겐</t>
  </si>
  <si>
    <t>비타민팩토리타우린</t>
  </si>
  <si>
    <t>비타민팩토리화이버</t>
  </si>
  <si>
    <t>비타민팩토리멀티</t>
  </si>
  <si>
    <t>스프라이트아이스250C X30</t>
  </si>
  <si>
    <t>스프라이트아이스500P X24</t>
  </si>
  <si>
    <t>SK리얼에이드자몽340P X24</t>
  </si>
  <si>
    <t>SK리얼에이드자몽340P 4X6</t>
  </si>
  <si>
    <t>S)MM 퓨레망고300P 4X6</t>
  </si>
  <si>
    <t>탄산500캔</t>
    <phoneticPr fontId="87" type="noConversion"/>
  </si>
  <si>
    <t>NRB</t>
    <phoneticPr fontId="87" type="noConversion"/>
  </si>
  <si>
    <t>940P</t>
    <phoneticPr fontId="87" type="noConversion"/>
  </si>
  <si>
    <t>940P</t>
  </si>
  <si>
    <t>아주</t>
  </si>
  <si>
    <t>S조지아고티카블랙390B 4X6</t>
  </si>
  <si>
    <t>S조지아고티카아메390B 4X6</t>
  </si>
  <si>
    <t>커피390</t>
    <phoneticPr fontId="87" type="noConversion"/>
  </si>
  <si>
    <t>MM홈스타일오렌지300P X24</t>
  </si>
  <si>
    <t>S조지아고티카아메270B 4X6</t>
  </si>
  <si>
    <t>SK칵테일블루하와이180C X30</t>
  </si>
  <si>
    <t>신SK자몽소다350P X24</t>
  </si>
  <si>
    <t>신SK자몽소다350P 4X6</t>
  </si>
  <si>
    <t>코코팜아이스티애플240C X30</t>
  </si>
  <si>
    <t>환타오렌지SSP 355C X24</t>
  </si>
  <si>
    <t>스프라이트SSP 355C X24</t>
  </si>
  <si>
    <t>코크1.5P+슈웹스1.25P 6X2</t>
  </si>
  <si>
    <t>C-C)씨그램레몬350P X24</t>
  </si>
  <si>
    <t>코카콜라1920 250NRB X24</t>
  </si>
  <si>
    <t>코카콜라1930 250NRB X24</t>
  </si>
  <si>
    <t>코카콜라1940 250NRB X24</t>
  </si>
  <si>
    <t>코카콜라1950 250NRB X24</t>
  </si>
  <si>
    <t>코카콜라1960 250NRB X24</t>
  </si>
  <si>
    <t>코카콜라1970 250NRB X24</t>
  </si>
  <si>
    <t>코카콜라1980 250NRB X24</t>
  </si>
  <si>
    <t>코카콜라1990 250NRB X24</t>
  </si>
  <si>
    <t>코카콜라2000 250NRB X24</t>
  </si>
  <si>
    <t>코카콜라2010 250NRB X24</t>
  </si>
  <si>
    <t>코카콜라기념250NRB 4X5</t>
  </si>
  <si>
    <t>코카콜라기념250NRB X20</t>
  </si>
  <si>
    <t>코카콜라1920-40 250N X24</t>
  </si>
  <si>
    <t>코카콜라1950-70 250N X24</t>
  </si>
  <si>
    <t>코카콜라1980-00 250N X24</t>
  </si>
  <si>
    <t>조지아델리스윗포테240P X20</t>
  </si>
  <si>
    <t>조지아EMB더블랙900P X12</t>
  </si>
  <si>
    <t>조지아EMB아메900P X12</t>
  </si>
  <si>
    <t>E-T)스프라이트500P X12</t>
  </si>
  <si>
    <t>M&amp;P)미닛제주감귤1.8P X12</t>
  </si>
  <si>
    <t>얼려먹는환타오렌130PU 3X10</t>
  </si>
  <si>
    <t>얼려먹는환타포도130PU 3X10</t>
  </si>
  <si>
    <t>MM홈스타일오렌지1.2P X12</t>
  </si>
  <si>
    <t>조지아고티카블랙390B X20</t>
  </si>
  <si>
    <t>조지아고티카아메390B X20</t>
  </si>
  <si>
    <t>조지아고티카블랙270B X20</t>
  </si>
  <si>
    <t>조지아고티카아메270B X20</t>
  </si>
  <si>
    <t>마테차류기획팩500P 8X3</t>
  </si>
  <si>
    <t>파워M/B+스프1.8P 6X2</t>
  </si>
  <si>
    <t>휘오순수소백산500P X20</t>
  </si>
  <si>
    <t>휘오순수소백산2.0P X6</t>
  </si>
  <si>
    <t>군납휘오다이아EC 500P X20</t>
  </si>
  <si>
    <t>군납휘오다이아EC 2.0P X6</t>
  </si>
  <si>
    <t>코카콜라기념190RGB 6X4</t>
  </si>
  <si>
    <t>S)MM홈스타일오렌지300P 4X6</t>
  </si>
  <si>
    <t>MM홈스타일선물세트1.2P 3X4</t>
  </si>
  <si>
    <t>MM홈스타일오＋자180N 3X12</t>
  </si>
  <si>
    <t>조지아고티카아메200C 5X6</t>
  </si>
  <si>
    <t>조지아고티카라떼200C 5X6</t>
  </si>
  <si>
    <t>휘오다이아스파클링350P X20</t>
  </si>
  <si>
    <t>S휘오다이아스파클링350P 4X6</t>
  </si>
  <si>
    <t>몬스터에너지그린355C X24</t>
  </si>
  <si>
    <t>몬스터에너지그린355C 4X6</t>
  </si>
  <si>
    <t>S)MM홈스타일자몽1.2P 2X6</t>
  </si>
  <si>
    <t>SAP코드</t>
    <phoneticPr fontId="90" type="noConversion"/>
  </si>
  <si>
    <t>기존코드</t>
    <phoneticPr fontId="90" type="noConversion"/>
  </si>
  <si>
    <t>코카-콜라 2.0PET X8</t>
  </si>
  <si>
    <t>CC6310</t>
  </si>
  <si>
    <t>코카-콜라 1.25PET X12</t>
  </si>
  <si>
    <t>CC0062</t>
  </si>
  <si>
    <t>QSR)코카콜라 1.25PET X12</t>
  </si>
  <si>
    <t>M&amp;P)코카-콜라1.25P X12</t>
  </si>
  <si>
    <t>CC1333</t>
  </si>
  <si>
    <t>FT0067</t>
  </si>
  <si>
    <t>SP6128</t>
  </si>
  <si>
    <t>KC2216</t>
  </si>
  <si>
    <t>CP4280</t>
  </si>
  <si>
    <t>KZ7723</t>
  </si>
  <si>
    <t>SK4641</t>
  </si>
  <si>
    <t>SK4687</t>
  </si>
  <si>
    <t>SK4674</t>
  </si>
  <si>
    <t>SK머스켓 240CAN X30</t>
  </si>
  <si>
    <t>SK4683</t>
  </si>
  <si>
    <t>SK2872</t>
  </si>
  <si>
    <t>SK4640</t>
  </si>
  <si>
    <t>SK3026</t>
  </si>
  <si>
    <t>SK4763</t>
  </si>
  <si>
    <t>SK3911</t>
  </si>
  <si>
    <t>CP4272</t>
  </si>
  <si>
    <t>ST4824</t>
  </si>
  <si>
    <t>SK3917</t>
  </si>
  <si>
    <t>SK9100</t>
  </si>
  <si>
    <t>코카-콜라 20LBIB PMX</t>
  </si>
  <si>
    <t>CC0360</t>
  </si>
  <si>
    <t>SK4954</t>
  </si>
  <si>
    <t>SK4673</t>
  </si>
  <si>
    <t>SK4964</t>
  </si>
  <si>
    <t>썬키스트 알로에180C X30</t>
  </si>
  <si>
    <t>SK3886</t>
  </si>
  <si>
    <t>썬키스트 망고 180C X30</t>
  </si>
  <si>
    <t>SK4606</t>
  </si>
  <si>
    <t>포도봉봉 238CAN X24</t>
  </si>
  <si>
    <t>BB4277</t>
  </si>
  <si>
    <t>포도봉봉 238CAN 6X12</t>
  </si>
  <si>
    <t>BB4276</t>
  </si>
  <si>
    <t>SK4645</t>
  </si>
  <si>
    <t>SK 레몬에이드 240CAN 5X6</t>
  </si>
  <si>
    <t>SK3901</t>
  </si>
  <si>
    <t>SK3923</t>
  </si>
  <si>
    <t>SK7854</t>
  </si>
  <si>
    <t>SK4974</t>
  </si>
  <si>
    <t>SK 허니유자 240CAN X30</t>
  </si>
  <si>
    <t>SK3921</t>
  </si>
  <si>
    <t>SK3953</t>
  </si>
  <si>
    <t>SK키즈 딸기210P X20</t>
  </si>
  <si>
    <t>SK3972</t>
  </si>
  <si>
    <t>닥터 페퍼 250CAN X30</t>
  </si>
  <si>
    <t>DP0437</t>
  </si>
  <si>
    <t>코카-콜라 355CAN X24</t>
  </si>
  <si>
    <t>CC0447</t>
  </si>
  <si>
    <t>코카콜라-치킨355C X24</t>
  </si>
  <si>
    <t>CC0448</t>
  </si>
  <si>
    <t>스프라이트 355CAN X24</t>
  </si>
  <si>
    <t>SP6113</t>
  </si>
  <si>
    <t>SK4266</t>
  </si>
  <si>
    <t>SK4267</t>
  </si>
  <si>
    <t>영진구론산D100N 10X10</t>
  </si>
  <si>
    <t>YJ5324</t>
  </si>
  <si>
    <t>SKV밸런오렌+야채350P 4X6</t>
  </si>
  <si>
    <t>SK3033</t>
  </si>
  <si>
    <t>썬키스트 배 180C X30</t>
  </si>
  <si>
    <t>SK3989</t>
  </si>
  <si>
    <t>SK7864</t>
  </si>
  <si>
    <t>SK카푸치노 200CAN X30</t>
  </si>
  <si>
    <t>SK7865</t>
  </si>
  <si>
    <t>SK3983</t>
  </si>
  <si>
    <t>SK3993</t>
  </si>
  <si>
    <t>YJ5360</t>
  </si>
  <si>
    <t>YJ5361</t>
  </si>
  <si>
    <t>YJ5363</t>
  </si>
  <si>
    <t>YJ5362</t>
  </si>
  <si>
    <t>SK4223</t>
  </si>
  <si>
    <t>SK4239</t>
  </si>
  <si>
    <t>SK3066</t>
  </si>
  <si>
    <t>SK4238</t>
  </si>
  <si>
    <t>SK4293</t>
  </si>
  <si>
    <t>영진 구론산 오리지날 150NRB 3X10</t>
  </si>
  <si>
    <t>영진 홍삼연탄 150NRB 3X10</t>
  </si>
  <si>
    <t>SK 멜론소다(New) 350PET X24</t>
  </si>
  <si>
    <t>SP6119</t>
  </si>
  <si>
    <t>KC4803</t>
  </si>
  <si>
    <t>KC4811</t>
  </si>
  <si>
    <t>상)알로에모닝180CAN X30</t>
  </si>
  <si>
    <t>ST7609</t>
  </si>
  <si>
    <t>ST4823</t>
  </si>
  <si>
    <t>ST4825</t>
  </si>
  <si>
    <t>KM4826</t>
  </si>
  <si>
    <t>KM4274</t>
  </si>
  <si>
    <t>갈아만든 배 238CAN 6X12</t>
  </si>
  <si>
    <t>갈아만든배 238CAN X24</t>
  </si>
  <si>
    <t>KM4275</t>
  </si>
  <si>
    <t>PC5640</t>
  </si>
  <si>
    <t>강원평창수 500PET X20</t>
  </si>
  <si>
    <t>PC5642</t>
  </si>
  <si>
    <t>코코팜 포도238CAN X24</t>
  </si>
  <si>
    <t>CP4279</t>
  </si>
  <si>
    <t>CP4278</t>
  </si>
  <si>
    <t>CP4283</t>
  </si>
  <si>
    <t>CP7631</t>
  </si>
  <si>
    <t>CP4282</t>
  </si>
  <si>
    <t>크리미 250CAN X30</t>
  </si>
  <si>
    <t>CR4845</t>
  </si>
  <si>
    <t>코코팜 포도238C 6X12</t>
  </si>
  <si>
    <t>큰집식혜 238CAN 6X12</t>
  </si>
  <si>
    <t>ST4858</t>
  </si>
  <si>
    <t>ST4859</t>
  </si>
  <si>
    <t>ST7646</t>
  </si>
  <si>
    <t>ST4882</t>
  </si>
  <si>
    <t>GD7687</t>
  </si>
  <si>
    <t>골든드랍 나는오리지날 175CAN X30</t>
  </si>
  <si>
    <t>GD7683</t>
  </si>
  <si>
    <t>GD7688</t>
  </si>
  <si>
    <t>MJ7693</t>
  </si>
  <si>
    <t>KC4928</t>
  </si>
  <si>
    <t>CP7701</t>
  </si>
  <si>
    <t>코코팜 피치핑크 340CAN X24</t>
  </si>
  <si>
    <t>CP4271</t>
  </si>
  <si>
    <t>코코팜 화이트 340CAN X24</t>
  </si>
  <si>
    <t>MJ9165</t>
  </si>
  <si>
    <t>MJ7866</t>
  </si>
  <si>
    <t>MJ7867</t>
  </si>
  <si>
    <t>MJ2074</t>
  </si>
  <si>
    <t>CP4303</t>
  </si>
  <si>
    <t>SP6116</t>
  </si>
  <si>
    <t>캐 진저엘 250CAN X30</t>
  </si>
  <si>
    <t>CA1192</t>
  </si>
  <si>
    <t>캐 진저엘 250CAN 5X6</t>
  </si>
  <si>
    <t>CA1193</t>
  </si>
  <si>
    <t>캐 토닉워터250CAN X30</t>
  </si>
  <si>
    <t>CA1200</t>
  </si>
  <si>
    <t>캐 토닉워터250CAN 5X6</t>
  </si>
  <si>
    <t>CA1201</t>
  </si>
  <si>
    <t>캐 토닉워터350PET X24</t>
  </si>
  <si>
    <t>CA1203</t>
  </si>
  <si>
    <t>ET)캐 토닉워터350P 6X4</t>
  </si>
  <si>
    <t>CA1204</t>
  </si>
  <si>
    <t>캐 클럽소다250CAN X30</t>
  </si>
  <si>
    <t>CA1210</t>
  </si>
  <si>
    <t>코카콜라SW 250CAN 5X6</t>
  </si>
  <si>
    <t>CC1300</t>
  </si>
  <si>
    <t>코카콜라 250CAN 5X6</t>
  </si>
  <si>
    <t>코카-콜라 315CAN 4X6</t>
  </si>
  <si>
    <t>CC1305</t>
  </si>
  <si>
    <t>코카콜라HP 1.25PETX12</t>
  </si>
  <si>
    <t>CC1518</t>
  </si>
  <si>
    <t>CC1521</t>
  </si>
  <si>
    <t>FT2281</t>
  </si>
  <si>
    <t>FT2282</t>
  </si>
  <si>
    <t>FT2283</t>
  </si>
  <si>
    <t>SP2284</t>
  </si>
  <si>
    <t>코카콜라 185CAN X30</t>
  </si>
  <si>
    <t>CC2430</t>
  </si>
  <si>
    <t>환타오렌지 185CAN X30</t>
  </si>
  <si>
    <t>FT2431</t>
  </si>
  <si>
    <t>스프라이트(신185C X30</t>
  </si>
  <si>
    <t>SP2437</t>
  </si>
  <si>
    <t>스프라이트 185CAN X30</t>
  </si>
  <si>
    <t>코카-콜라 185CAN 5X6</t>
  </si>
  <si>
    <t>CC2440</t>
  </si>
  <si>
    <t>코카콜라 185CAN 5X6</t>
  </si>
  <si>
    <t>환타오렌지 185CAN 5X6</t>
  </si>
  <si>
    <t>FT2441</t>
  </si>
  <si>
    <t>환타 오렌지 185CAN 5X6</t>
  </si>
  <si>
    <t>스프라이트(신185C 5X6</t>
  </si>
  <si>
    <t>SP2443</t>
  </si>
  <si>
    <t>스프라이트 185CAN 5X6</t>
  </si>
  <si>
    <t>코카-콜라185C 5X6(4+2)</t>
  </si>
  <si>
    <t>CC2444</t>
  </si>
  <si>
    <t>FT2445</t>
  </si>
  <si>
    <t>SP2446</t>
  </si>
  <si>
    <t>홈플)코카콜라 185C X30</t>
  </si>
  <si>
    <t>CC2447</t>
  </si>
  <si>
    <t>홈플)환타오렌지185C X30</t>
  </si>
  <si>
    <t>FT2448</t>
  </si>
  <si>
    <t>홈플)스프라이트185C X30</t>
  </si>
  <si>
    <t>SP2449</t>
  </si>
  <si>
    <t>코카-콜라 355CAN 6X4</t>
  </si>
  <si>
    <t>CC2520</t>
  </si>
  <si>
    <t>CC2523</t>
  </si>
  <si>
    <t>코카콜라 355CAN 4X6</t>
  </si>
  <si>
    <t>CC2526</t>
  </si>
  <si>
    <t>코카콜라 350CAN X24</t>
  </si>
  <si>
    <t>QSR)코카콜라 500PET X24</t>
  </si>
  <si>
    <t>CC2565</t>
  </si>
  <si>
    <t>CC2691</t>
  </si>
  <si>
    <t>CC2692</t>
  </si>
  <si>
    <t>CC2693</t>
  </si>
  <si>
    <t>코카-콜라 1.0PET X12</t>
  </si>
  <si>
    <t>CC2694</t>
  </si>
  <si>
    <t>코카-콜라 1.0PET 6X2 HP</t>
  </si>
  <si>
    <t>CC2696</t>
  </si>
  <si>
    <t>CC2941</t>
  </si>
  <si>
    <t>MM2975</t>
  </si>
  <si>
    <t>MM2976</t>
  </si>
  <si>
    <t>체리 코크 250CAN X30</t>
  </si>
  <si>
    <t>CC3392</t>
  </si>
  <si>
    <t>체리코크 250CAN X30</t>
  </si>
  <si>
    <t>체리 코크 250CAN 5X6</t>
  </si>
  <si>
    <t>CC3393</t>
  </si>
  <si>
    <t>CC3621</t>
  </si>
  <si>
    <t>CC3622</t>
  </si>
  <si>
    <t>FZ3750</t>
  </si>
  <si>
    <t>퓨즈티 복숭아 500PET X20</t>
  </si>
  <si>
    <t>퓨즈티 레몬500PET X20</t>
  </si>
  <si>
    <t>FZ3751</t>
  </si>
  <si>
    <t>FZ3752</t>
  </si>
  <si>
    <t>S)퓨즈티 복숭아 500PET 5X4</t>
  </si>
  <si>
    <t>S)퓨즈티 레몬500P 5X4</t>
  </si>
  <si>
    <t>FZ3753</t>
  </si>
  <si>
    <t>FZ3754</t>
  </si>
  <si>
    <t>FZ3758</t>
  </si>
  <si>
    <t>FZ3761</t>
  </si>
  <si>
    <t>퓨즈티레몬&amp;애플500P X20</t>
  </si>
  <si>
    <t>FZ3767</t>
  </si>
  <si>
    <t>MM6712</t>
  </si>
  <si>
    <t>코카-콜라 1.25PET 4X3</t>
  </si>
  <si>
    <t>CC4040</t>
  </si>
  <si>
    <t>MM펀치 애플홀릭355C X24</t>
  </si>
  <si>
    <t>MM4081</t>
  </si>
  <si>
    <t>MM4082</t>
  </si>
  <si>
    <t>미닛 벌꿀유자240C X30</t>
  </si>
  <si>
    <t>MM4114</t>
  </si>
  <si>
    <t>미닛 벌꿀유자280N X20</t>
  </si>
  <si>
    <t>MM4118</t>
  </si>
  <si>
    <t>MM4126</t>
  </si>
  <si>
    <t>미닛 오렌지 190PU 5X10</t>
  </si>
  <si>
    <t>MM4127</t>
  </si>
  <si>
    <t>미닛 망고 190PU 5X10</t>
  </si>
  <si>
    <t>MM4128</t>
  </si>
  <si>
    <t>미닛 포도아사이 190PU 5X10</t>
  </si>
  <si>
    <t>MM4129</t>
  </si>
  <si>
    <t>MM4130</t>
  </si>
  <si>
    <t>MM4131</t>
  </si>
  <si>
    <t>MM4132</t>
  </si>
  <si>
    <t>MM4133</t>
  </si>
  <si>
    <t>MM4134</t>
  </si>
  <si>
    <t>M망고+포도애니100PU 2X10</t>
  </si>
  <si>
    <t>MM4135</t>
  </si>
  <si>
    <t>슈웹스 레몬토닉270N X24</t>
  </si>
  <si>
    <t>SW4160</t>
  </si>
  <si>
    <t>슈웹스 레몬토닉350P X24</t>
  </si>
  <si>
    <t>SW4161</t>
  </si>
  <si>
    <t>SW4162</t>
  </si>
  <si>
    <t>SW4163</t>
  </si>
  <si>
    <t>슈웹스 진저에일350P X24</t>
  </si>
  <si>
    <t>SW4165</t>
  </si>
  <si>
    <t>S슈웹스 레몬토닉350P 4X6</t>
  </si>
  <si>
    <t>SW4166</t>
  </si>
  <si>
    <t>S)슈웹스 레몬토닉 350PET 4X6</t>
  </si>
  <si>
    <t>SW4167</t>
  </si>
  <si>
    <t>S)슈웹스 그레이프토닉 350PET 4X6</t>
  </si>
  <si>
    <t>SW4169</t>
  </si>
  <si>
    <t>슈웹스 코스모폴리탄 350PET X24</t>
  </si>
  <si>
    <t>SW4170</t>
  </si>
  <si>
    <t>SW4171</t>
  </si>
  <si>
    <t>환타 오렌지245CAN X24</t>
  </si>
  <si>
    <t>FT4173</t>
  </si>
  <si>
    <t>스프라이트 245CAN X24</t>
  </si>
  <si>
    <t>SP4174</t>
  </si>
  <si>
    <t>환타 오렌지245CAN 3X8</t>
  </si>
  <si>
    <t>FT4175</t>
  </si>
  <si>
    <t>스프라이트 245CAN 3X8</t>
  </si>
  <si>
    <t>SP4176</t>
  </si>
  <si>
    <t>코크 스터비245CAN 3X8</t>
  </si>
  <si>
    <t>CC4178</t>
  </si>
  <si>
    <t>SW4181</t>
  </si>
  <si>
    <t>SW4185</t>
  </si>
  <si>
    <t>SW4186</t>
  </si>
  <si>
    <t>SW4187</t>
  </si>
  <si>
    <t>CT4190</t>
  </si>
  <si>
    <t>씨그램 플레인350P X24</t>
  </si>
  <si>
    <t>SG4191</t>
  </si>
  <si>
    <t>씨그램 라임 350P X24</t>
  </si>
  <si>
    <t>SG4192</t>
  </si>
  <si>
    <t>S)씨그램 라임350P 4X6</t>
  </si>
  <si>
    <t>SG4193</t>
  </si>
  <si>
    <t>S)씨그램 라임350PET 4X6</t>
  </si>
  <si>
    <t>SG4194</t>
  </si>
  <si>
    <t>씨그램 레몬 350P X24</t>
  </si>
  <si>
    <t>SG4195</t>
  </si>
  <si>
    <t>S)씨그램 레몬350P 4X6</t>
  </si>
  <si>
    <t>SG4196</t>
  </si>
  <si>
    <t>S)씨그램 레몬350PET 4X6</t>
  </si>
  <si>
    <t>씨그램 플레인350P 6X4</t>
  </si>
  <si>
    <t>SG4197</t>
  </si>
  <si>
    <t>씨그램 라임 350P 6X4</t>
  </si>
  <si>
    <t>SG4198</t>
  </si>
  <si>
    <t>씨그램 레몬 350P 6X4</t>
  </si>
  <si>
    <t>SG4199</t>
  </si>
  <si>
    <t>씨그램 라임 355C X24</t>
  </si>
  <si>
    <t>SG4221</t>
  </si>
  <si>
    <t>씨그램 레몬 355C X24</t>
  </si>
  <si>
    <t>SG4222</t>
  </si>
  <si>
    <t>AB4224</t>
  </si>
  <si>
    <t>암바사 500PET X24</t>
  </si>
  <si>
    <t>씨그램 미네랄워터 500PET X20</t>
  </si>
  <si>
    <t>SG4231</t>
  </si>
  <si>
    <t>SG4232</t>
  </si>
  <si>
    <t>SG4242</t>
  </si>
  <si>
    <t>SG4252</t>
  </si>
  <si>
    <t>SG4253</t>
  </si>
  <si>
    <t>SG4254</t>
  </si>
  <si>
    <t>SG4261</t>
  </si>
  <si>
    <t>SG4262</t>
  </si>
  <si>
    <t>SG4263</t>
  </si>
  <si>
    <t>코크 제로ERGO 500PET X24</t>
  </si>
  <si>
    <t>CC4430</t>
  </si>
  <si>
    <t>코크제로 500PET X24</t>
  </si>
  <si>
    <t>CC4432</t>
  </si>
  <si>
    <t>S)코크제로 500PET 4X6</t>
  </si>
  <si>
    <t>CC4434</t>
  </si>
  <si>
    <t>SG4435</t>
  </si>
  <si>
    <t>씨그램 라임 홈플 350PET X24</t>
  </si>
  <si>
    <t>SG4436</t>
  </si>
  <si>
    <t>씨그램 레몬 홈플 350PET X24</t>
  </si>
  <si>
    <t>CT4488</t>
  </si>
  <si>
    <t>코크+스프 1.5PET 6X2</t>
  </si>
  <si>
    <t>CT4487</t>
  </si>
  <si>
    <t>코크+환타오렌지 1.5PET 6X2</t>
  </si>
  <si>
    <t>코카콜라+스프1.5P 6X2</t>
  </si>
  <si>
    <t>환타오렌+스프1.5P 6X2</t>
  </si>
  <si>
    <t>CT4489</t>
  </si>
  <si>
    <t>코크+암바+스프1.5P 4X3</t>
  </si>
  <si>
    <t>CT4494</t>
  </si>
  <si>
    <t>코크+환타딸기1.5P 6X2</t>
  </si>
  <si>
    <t>CT4501</t>
  </si>
  <si>
    <t>CT4502</t>
  </si>
  <si>
    <t>AB4549</t>
  </si>
  <si>
    <t>암바사 1.5PET X12</t>
  </si>
  <si>
    <t>코크 라이트1.5PET X12</t>
  </si>
  <si>
    <t>CC4550</t>
  </si>
  <si>
    <t>환타 포도 1.5PET X12</t>
  </si>
  <si>
    <t>FT4551</t>
  </si>
  <si>
    <t>디 케이 1.5PET X12</t>
  </si>
  <si>
    <t>KI4555</t>
  </si>
  <si>
    <t>KI4558</t>
  </si>
  <si>
    <t>KI4560</t>
  </si>
  <si>
    <t>파워M/B 1.5PET X12</t>
  </si>
  <si>
    <t>PA4563</t>
  </si>
  <si>
    <t>파워 마운틴블라 1.5PET X12</t>
  </si>
  <si>
    <t>파워M/B 390BTC X20</t>
  </si>
  <si>
    <t>PA4566</t>
  </si>
  <si>
    <t>환타 포도 10LBIB PMX</t>
  </si>
  <si>
    <t>FT4577</t>
  </si>
  <si>
    <t>코카-콜라 190RGB X24</t>
  </si>
  <si>
    <t>CC4622</t>
  </si>
  <si>
    <t>킨 사이다 200RGB X24</t>
  </si>
  <si>
    <t>KI4627</t>
  </si>
  <si>
    <t>CC4636</t>
  </si>
  <si>
    <t>CC4643</t>
  </si>
  <si>
    <t>CC4660</t>
  </si>
  <si>
    <t>코카콜라 폴라베어 250CAN 5X6</t>
  </si>
  <si>
    <t>CC4663</t>
  </si>
  <si>
    <t>CC4665</t>
  </si>
  <si>
    <t>CC4666</t>
  </si>
  <si>
    <t>CC4667</t>
  </si>
  <si>
    <t>CC4668</t>
  </si>
  <si>
    <t>CC4669</t>
  </si>
  <si>
    <t>CC4670</t>
  </si>
  <si>
    <t>CC4671</t>
  </si>
  <si>
    <t>CC4681</t>
  </si>
  <si>
    <t>CC4682</t>
  </si>
  <si>
    <t>CC4683</t>
  </si>
  <si>
    <t>CC4684</t>
  </si>
  <si>
    <t>CC4685</t>
  </si>
  <si>
    <t>CC4686</t>
  </si>
  <si>
    <t>CC4687</t>
  </si>
  <si>
    <t>CC4688</t>
  </si>
  <si>
    <t>CC4689</t>
  </si>
  <si>
    <t>CC4690</t>
  </si>
  <si>
    <t>CC4691</t>
  </si>
  <si>
    <t>CC4692</t>
  </si>
  <si>
    <t>CC4693</t>
  </si>
  <si>
    <t>CC4694</t>
  </si>
  <si>
    <t>CC4695</t>
  </si>
  <si>
    <t>CC4705</t>
  </si>
  <si>
    <t>CC4712</t>
  </si>
  <si>
    <t>코카-콜라 210CAN X30</t>
  </si>
  <si>
    <t>CC4720</t>
  </si>
  <si>
    <t>CC4721</t>
  </si>
  <si>
    <t>CC4820</t>
  </si>
  <si>
    <t>코카-콜라 500CAN X24</t>
  </si>
  <si>
    <t>CC4822</t>
  </si>
  <si>
    <t>코카콜라 500CAN X24</t>
  </si>
  <si>
    <t>FT4823</t>
  </si>
  <si>
    <t>환타 오렌지 250CAN 5X6</t>
  </si>
  <si>
    <t>코카콜라 210CAN 5X6</t>
  </si>
  <si>
    <t>환타 오렌지 210CAN 5X6</t>
  </si>
  <si>
    <t>스프라이트 210CAN 5X6</t>
  </si>
  <si>
    <t>AB4833</t>
  </si>
  <si>
    <t>암바사 250CAN 5X6</t>
  </si>
  <si>
    <t>AB4834</t>
  </si>
  <si>
    <t>암바사 250CAN X30</t>
  </si>
  <si>
    <t>코카-콜라 250CAN X30</t>
  </si>
  <si>
    <t>CC4835</t>
  </si>
  <si>
    <t>코카콜라 250CAN X30</t>
  </si>
  <si>
    <t>CC4843</t>
  </si>
  <si>
    <t>암바사 SSP 250CAN X30</t>
  </si>
  <si>
    <t>AB4845</t>
  </si>
  <si>
    <t>SP4856</t>
  </si>
  <si>
    <t>CC4857</t>
  </si>
  <si>
    <t>SSP)코카콜라 210CAN X30</t>
  </si>
  <si>
    <t>FT4858</t>
  </si>
  <si>
    <t>암바사 SSP 355CAN X24</t>
  </si>
  <si>
    <t>AB4859</t>
  </si>
  <si>
    <t>코카 콜라 210CAN 5X6</t>
  </si>
  <si>
    <t>CC4861</t>
  </si>
  <si>
    <t>환타오렌지 210CAN 5X6</t>
  </si>
  <si>
    <t>FT4862</t>
  </si>
  <si>
    <t>SP4863</t>
  </si>
  <si>
    <t>GG4867</t>
  </si>
  <si>
    <t>GG4868</t>
  </si>
  <si>
    <t>조지아 오리지널 240CAN X30</t>
  </si>
  <si>
    <t>GG4869</t>
  </si>
  <si>
    <t>조지아 카페라테 240CAN X30</t>
  </si>
  <si>
    <t>GG4872</t>
  </si>
  <si>
    <t>조지아 오리지널 240CAN 5X6</t>
  </si>
  <si>
    <t>GG4877</t>
  </si>
  <si>
    <t>조지아 오리지널 175CAN X30</t>
  </si>
  <si>
    <t>조지아 카페라테 240CAN 5X6</t>
  </si>
  <si>
    <t>GG4879</t>
  </si>
  <si>
    <t>GG4884</t>
  </si>
  <si>
    <t>조지아 맥스 240C X30</t>
  </si>
  <si>
    <t>GG4885</t>
  </si>
  <si>
    <t>조지아 맥스 240CAN X30</t>
  </si>
  <si>
    <t>GG4899</t>
  </si>
  <si>
    <t>조지아 맥스 240CAN 5X6</t>
  </si>
  <si>
    <t>코크 라이트250CAN X30</t>
  </si>
  <si>
    <t>CC4893</t>
  </si>
  <si>
    <t>코크라이트 250CAN X30</t>
  </si>
  <si>
    <t>조지아맥스 240C 5X6</t>
  </si>
  <si>
    <t>GG4905</t>
  </si>
  <si>
    <t>환타 포도 250CAN X30</t>
  </si>
  <si>
    <t>FT4908</t>
  </si>
  <si>
    <t>환타 오렌지250CAN X30</t>
  </si>
  <si>
    <t>FT4943</t>
  </si>
  <si>
    <t>환타 오렌지 250CAN X30</t>
  </si>
  <si>
    <t>환타 오렌지355CAN X24</t>
  </si>
  <si>
    <t>FT4945</t>
  </si>
  <si>
    <t>환타 오렌지 355CAN X24</t>
  </si>
  <si>
    <t>환타오렌EDLP 355C 4X6</t>
  </si>
  <si>
    <t>FT4947</t>
  </si>
  <si>
    <t>환타 오렌지 355CAN 4X6</t>
  </si>
  <si>
    <t>FT4949</t>
  </si>
  <si>
    <t>환타 파인 355CAN X24</t>
  </si>
  <si>
    <t>FT4950</t>
  </si>
  <si>
    <t>S)환타 파인355CAN 4X6</t>
  </si>
  <si>
    <t>FT4951</t>
  </si>
  <si>
    <t>S)환타 파인 355CAN 4X6</t>
  </si>
  <si>
    <t>GG4961</t>
  </si>
  <si>
    <t>GG4962</t>
  </si>
  <si>
    <t>GG4971</t>
  </si>
  <si>
    <t>조지아 리틀카페 175CAN X30</t>
  </si>
  <si>
    <t>GG4972</t>
  </si>
  <si>
    <t>조지아 리틀카페 175CAN 5X6</t>
  </si>
  <si>
    <t>GG4973</t>
  </si>
  <si>
    <t>조지아 리틀카페 200CAN X30</t>
  </si>
  <si>
    <t>GG4974</t>
  </si>
  <si>
    <t>조지아 리틀카페 200CAN 5X6</t>
  </si>
  <si>
    <t>GG4978</t>
  </si>
  <si>
    <t>조지아 카라멜마끼 240CAN X30</t>
  </si>
  <si>
    <t>GG4979</t>
  </si>
  <si>
    <t>GG4980</t>
  </si>
  <si>
    <t>GG4982</t>
  </si>
  <si>
    <t>조지아 카페오레 240CAN X30</t>
  </si>
  <si>
    <t>GG4983</t>
  </si>
  <si>
    <t>조지아 카페오레 240CAN 5X6</t>
  </si>
  <si>
    <t>GG4991</t>
  </si>
  <si>
    <t>GG4993</t>
  </si>
  <si>
    <t>GG4994</t>
  </si>
  <si>
    <t>스프라이트 355RGB X24</t>
  </si>
  <si>
    <t>SP5051</t>
  </si>
  <si>
    <t>SP5105</t>
  </si>
  <si>
    <t>코카-콜라 1.8PET X12</t>
  </si>
  <si>
    <t>CC5106</t>
  </si>
  <si>
    <t>코카-콜라 1.6PET X6</t>
  </si>
  <si>
    <t>CC5108</t>
  </si>
  <si>
    <t>코카-콜라 1.6PET X12</t>
  </si>
  <si>
    <t>CC5109</t>
  </si>
  <si>
    <t>코카-콜라 777PET X15</t>
  </si>
  <si>
    <t>CC5110</t>
  </si>
  <si>
    <t>코카 콜라 350PET X15</t>
  </si>
  <si>
    <t>CC5111</t>
  </si>
  <si>
    <t>코카콜라 350PET X15</t>
  </si>
  <si>
    <t>CC5112</t>
  </si>
  <si>
    <t>코카콜라+컵777P 8X2</t>
  </si>
  <si>
    <t>CC5116</t>
  </si>
  <si>
    <t>코크+축구공500P 6X4</t>
  </si>
  <si>
    <t>CC5117</t>
  </si>
  <si>
    <t>E)코카콜라+컵355C 4X5</t>
  </si>
  <si>
    <t>CC5118</t>
  </si>
  <si>
    <t>CC5135</t>
  </si>
  <si>
    <t>CC5136</t>
  </si>
  <si>
    <t>CC5175</t>
  </si>
  <si>
    <t>SP5176</t>
  </si>
  <si>
    <t>FT5177</t>
  </si>
  <si>
    <t>MM5297</t>
  </si>
  <si>
    <t>미닛쿠우포도 300P X24</t>
  </si>
  <si>
    <t>MM5298</t>
  </si>
  <si>
    <t>MM5303</t>
  </si>
  <si>
    <t>MM5304</t>
  </si>
  <si>
    <t>MM밀키사과+망고300P 6X4</t>
  </si>
  <si>
    <t>MM5305</t>
  </si>
  <si>
    <t>환타 파인 250CAN X30</t>
  </si>
  <si>
    <t>FT5309</t>
  </si>
  <si>
    <t>KI5310</t>
  </si>
  <si>
    <t>환타 파인 250CAN 5X6</t>
  </si>
  <si>
    <t>FT5312</t>
  </si>
  <si>
    <t>디 케이 250CAN X30</t>
  </si>
  <si>
    <t>KI5314</t>
  </si>
  <si>
    <t>MM5321</t>
  </si>
  <si>
    <t>MM5322</t>
  </si>
  <si>
    <t>MM 퓨레 망고300P X24</t>
  </si>
  <si>
    <t>MM5323</t>
  </si>
  <si>
    <t>MM퓨레복숭+망고300P 6X4</t>
  </si>
  <si>
    <t>MM5324</t>
  </si>
  <si>
    <t>MM5325</t>
  </si>
  <si>
    <t>S)미닛 퓨레망고 300PET 4X6</t>
  </si>
  <si>
    <t>MM5326</t>
  </si>
  <si>
    <t>MM5331</t>
  </si>
  <si>
    <t>MM5332</t>
  </si>
  <si>
    <t>MM5333</t>
  </si>
  <si>
    <t>파워M/B EDLP 355C 4X6</t>
  </si>
  <si>
    <t>PA5367</t>
  </si>
  <si>
    <t>파워M/B 355PET X20</t>
  </si>
  <si>
    <t>PA5368</t>
  </si>
  <si>
    <t>C)파워M/B 355PET X20</t>
  </si>
  <si>
    <t>PA5369</t>
  </si>
  <si>
    <t>S)파워M/B 355C 4X6</t>
  </si>
  <si>
    <t>PA5377</t>
  </si>
  <si>
    <t>파워M/B 355PET 6X3</t>
  </si>
  <si>
    <t>PA5378</t>
  </si>
  <si>
    <t>GL5451</t>
  </si>
  <si>
    <t>GL5452</t>
  </si>
  <si>
    <t>GL5453</t>
  </si>
  <si>
    <t>글라소 감귤&amp;망고 450PET X24</t>
  </si>
  <si>
    <t>GL5471</t>
  </si>
  <si>
    <t>GL5472</t>
  </si>
  <si>
    <t>GL5480</t>
  </si>
  <si>
    <t>글라소 파워씨500P X12</t>
  </si>
  <si>
    <t>GL5490</t>
  </si>
  <si>
    <t>글라소 파워씨 500PET X12</t>
  </si>
  <si>
    <t>글라소 에센셜500P X12</t>
  </si>
  <si>
    <t>GL5491</t>
  </si>
  <si>
    <t>글라소 에너지500P X12</t>
  </si>
  <si>
    <t>GL5492</t>
  </si>
  <si>
    <t>글라소 에너지 500PET X12</t>
  </si>
  <si>
    <t>GL5493</t>
  </si>
  <si>
    <t>GL5494</t>
  </si>
  <si>
    <t>글라소 XXX500P X12</t>
  </si>
  <si>
    <t>GL5495</t>
  </si>
  <si>
    <t>글라소 스마트500P X20</t>
  </si>
  <si>
    <t>GL5499</t>
  </si>
  <si>
    <t>글라소 포커스500P X12</t>
  </si>
  <si>
    <t>GL5503</t>
  </si>
  <si>
    <t>글라소 플래쉬500P X12</t>
  </si>
  <si>
    <t>GL5508</t>
  </si>
  <si>
    <t>글라소 선샤인500P X12</t>
  </si>
  <si>
    <t>GL5525</t>
  </si>
  <si>
    <t>글라소지-크리500P X12</t>
  </si>
  <si>
    <t>GL5526</t>
  </si>
  <si>
    <t>GL5527</t>
  </si>
  <si>
    <t>글라소 에너지355P X20</t>
  </si>
  <si>
    <t>GL5531</t>
  </si>
  <si>
    <t>GL5535</t>
  </si>
  <si>
    <t>글라소 코코워터 355PET 4X6</t>
  </si>
  <si>
    <t>GL5544</t>
  </si>
  <si>
    <t>글라소 파워씨500P 4X3</t>
  </si>
  <si>
    <t>GL5546</t>
  </si>
  <si>
    <t>글라소 에너지500P 4X3</t>
  </si>
  <si>
    <t>GL5547</t>
  </si>
  <si>
    <t>GL5548</t>
  </si>
  <si>
    <t>글라소 XXX500P 4X3</t>
  </si>
  <si>
    <t>GL5549</t>
  </si>
  <si>
    <t>GL5554</t>
  </si>
  <si>
    <t>글라소 에센셜500P 4X3</t>
  </si>
  <si>
    <t>GL5556</t>
  </si>
  <si>
    <t>글라소지-크리500P 4X3</t>
  </si>
  <si>
    <t>GL5557</t>
  </si>
  <si>
    <t>글라소 파워씨500P 4X6</t>
  </si>
  <si>
    <t>GL5560</t>
  </si>
  <si>
    <t>글라소 파워씨 500PET 4X6</t>
  </si>
  <si>
    <t>글라소 에너지500P 4X6</t>
  </si>
  <si>
    <t>GL5561</t>
  </si>
  <si>
    <t>글라소 에너지 500PET 4X6</t>
  </si>
  <si>
    <t>GL5562</t>
  </si>
  <si>
    <t>글라소 멀티브이 500PET 4X6</t>
  </si>
  <si>
    <t>글라소 XXX500P 4X6</t>
  </si>
  <si>
    <t>GL5563</t>
  </si>
  <si>
    <t>글라소 XXX 500PET 4X6</t>
  </si>
  <si>
    <t>글라소 에센셜500P 4X6</t>
  </si>
  <si>
    <t>GL5564</t>
  </si>
  <si>
    <t>글라소 에센셜 500PET 4X6</t>
  </si>
  <si>
    <t>글라소지-크리500P 4X6</t>
  </si>
  <si>
    <t>GL5568</t>
  </si>
  <si>
    <t>글라소 지크리에이터 500PET 4X6</t>
  </si>
  <si>
    <t>온)글라소혼합세트500P 4X6</t>
  </si>
  <si>
    <t>GL5578</t>
  </si>
  <si>
    <t>글라소 혼합팩500P 8X2</t>
  </si>
  <si>
    <t>GL5579</t>
  </si>
  <si>
    <t>글라소 파워씨240C X30</t>
  </si>
  <si>
    <t>GL5580</t>
  </si>
  <si>
    <t>글라소 에너지240C X30</t>
  </si>
  <si>
    <t>GL5581</t>
  </si>
  <si>
    <t>GL5586</t>
  </si>
  <si>
    <t>글라소 XXX1.0P X12</t>
  </si>
  <si>
    <t>GL5587</t>
  </si>
  <si>
    <t>번인텐스 250CAN X30</t>
  </si>
  <si>
    <t>BI5600</t>
  </si>
  <si>
    <t>번인텐스 250CAN 5X6</t>
  </si>
  <si>
    <t>BI5601</t>
  </si>
  <si>
    <t>신)번인텐스250CAN X30</t>
  </si>
  <si>
    <t>BI5604</t>
  </si>
  <si>
    <t>신)번인텐스250CAN 5X6</t>
  </si>
  <si>
    <t>BI5605</t>
  </si>
  <si>
    <t>코크환타오렌1.25P 6X2</t>
  </si>
  <si>
    <t>CT5618</t>
  </si>
  <si>
    <t>코크+환타오렌지 1.25PET 6X2</t>
  </si>
  <si>
    <t>지코 플레인330T X12</t>
  </si>
  <si>
    <t>ZC5630</t>
  </si>
  <si>
    <t>지코 플레인 330TTR X12</t>
  </si>
  <si>
    <t>ZC5631</t>
  </si>
  <si>
    <t>지코 플레인 330TTR 3X4</t>
  </si>
  <si>
    <t>ZC5633</t>
  </si>
  <si>
    <t>지코 플레인 VIC 330TTR X12</t>
  </si>
  <si>
    <t>MO5640</t>
  </si>
  <si>
    <t>MO5641</t>
  </si>
  <si>
    <t>몬스터 에너지 그린 355CAN 4X6</t>
  </si>
  <si>
    <t>코카 콜라 1.25PET 6X2</t>
  </si>
  <si>
    <t>CC5657</t>
  </si>
  <si>
    <t>SP5662</t>
  </si>
  <si>
    <t>코카-콜라 250BTC X24</t>
  </si>
  <si>
    <t>CC5700</t>
  </si>
  <si>
    <t>스프라이트 250BTC X24</t>
  </si>
  <si>
    <t>SP5701</t>
  </si>
  <si>
    <t>코카-콜라 250BTC X16</t>
  </si>
  <si>
    <t>CC5702</t>
  </si>
  <si>
    <t>스프라이트 250BTC X16</t>
  </si>
  <si>
    <t>SP5703</t>
  </si>
  <si>
    <t>코카-콜라 500BTC X12</t>
  </si>
  <si>
    <t>CC5704</t>
  </si>
  <si>
    <t>CC5707</t>
  </si>
  <si>
    <t>코카 콜라 300PET X24</t>
  </si>
  <si>
    <t>CC5710</t>
  </si>
  <si>
    <t>코카콜라 300PET X24</t>
  </si>
  <si>
    <t>코크 제로 300PET X24</t>
  </si>
  <si>
    <t>CC5711</t>
  </si>
  <si>
    <t>환타 오렌지300PET X24</t>
  </si>
  <si>
    <t>FT5713</t>
  </si>
  <si>
    <t>환타 오렌지 300PET X24</t>
  </si>
  <si>
    <t>환타 파인 300PET X24</t>
  </si>
  <si>
    <t>FT5715</t>
  </si>
  <si>
    <t>CC5717</t>
  </si>
  <si>
    <t>S)코카콜라 300PET 4X6</t>
  </si>
  <si>
    <t>FT5719</t>
  </si>
  <si>
    <t>코크2+스프2300P 6X4</t>
  </si>
  <si>
    <t>CT5731</t>
  </si>
  <si>
    <t>코카-콜라 600PET X24</t>
  </si>
  <si>
    <t>CC5732</t>
  </si>
  <si>
    <t>코카콜라 600PET X24</t>
  </si>
  <si>
    <t>환타 오렌지600PET X24</t>
  </si>
  <si>
    <t>FT5734</t>
  </si>
  <si>
    <t>S)코카-콜라600P X12(C-C</t>
  </si>
  <si>
    <t>CC5738</t>
  </si>
  <si>
    <t>SP5739</t>
  </si>
  <si>
    <t>FT5748</t>
  </si>
  <si>
    <t>S)환타 오렌지 600PET 4X6</t>
  </si>
  <si>
    <t>SP6122</t>
  </si>
  <si>
    <t>암바사 300PET X24</t>
  </si>
  <si>
    <t>AB5752</t>
  </si>
  <si>
    <t>KI5923</t>
  </si>
  <si>
    <t>SP6104</t>
  </si>
  <si>
    <t>SP6105</t>
  </si>
  <si>
    <t>스프라이트(신250C X30</t>
  </si>
  <si>
    <t>SP6110</t>
  </si>
  <si>
    <t>스프라이트 250CAN X30</t>
  </si>
  <si>
    <t>스프라이트(신250C 5X6</t>
  </si>
  <si>
    <t>SP6111</t>
  </si>
  <si>
    <t>스프라이트 250CAN 5X6</t>
  </si>
  <si>
    <t>스프라이트(신355C X24</t>
  </si>
  <si>
    <t>스프라이트(신355C 4X6</t>
  </si>
  <si>
    <t>SP6114</t>
  </si>
  <si>
    <t>SP6115</t>
  </si>
  <si>
    <t>스프라이트(신500P X24</t>
  </si>
  <si>
    <t>스프라이트(신500P 4X6</t>
  </si>
  <si>
    <t>SP6117</t>
  </si>
  <si>
    <t>S)스프라이트 500PET 4X6</t>
  </si>
  <si>
    <t>SP6118</t>
  </si>
  <si>
    <t>QSR)스프라이트 500PET X24</t>
  </si>
  <si>
    <t>스프라이트(신1.5P X12</t>
  </si>
  <si>
    <t>S스프라이트(신1.5P 2X6</t>
  </si>
  <si>
    <t>SP6120</t>
  </si>
  <si>
    <t>S)스프라이트 1.5PET 2X6</t>
  </si>
  <si>
    <t>SP6121</t>
  </si>
  <si>
    <t>스프라이트(신300P X24</t>
  </si>
  <si>
    <t>스프라이트 500CAN X24</t>
  </si>
  <si>
    <t>SP6126</t>
  </si>
  <si>
    <t>스프라이트(신1.25P X12</t>
  </si>
  <si>
    <t>디 케이 345RGB X24</t>
  </si>
  <si>
    <t>KI6171</t>
  </si>
  <si>
    <t>킨 사이다 350RGB X24</t>
  </si>
  <si>
    <t>KI6175</t>
  </si>
  <si>
    <t>코카-콜라 355RGB X24</t>
  </si>
  <si>
    <t>CC6194</t>
  </si>
  <si>
    <t>코카콜라 355RGB X24</t>
  </si>
  <si>
    <t>FT6198</t>
  </si>
  <si>
    <t>파워M/B 600PET X20</t>
  </si>
  <si>
    <t>PA6273</t>
  </si>
  <si>
    <t>파워 마운틴블라 600PET X20</t>
  </si>
  <si>
    <t>코카-콜라콘1.5PET X12</t>
  </si>
  <si>
    <t>CC6309</t>
  </si>
  <si>
    <t>코카콜라 1.5PET X12</t>
  </si>
  <si>
    <t>코카-콜라 2.0PET X4 HP</t>
  </si>
  <si>
    <t>CC6311</t>
  </si>
  <si>
    <t>FT6335</t>
  </si>
  <si>
    <t>환타 파인 1.5PET X12</t>
  </si>
  <si>
    <t>환타 오렌지10LBIB PMX</t>
  </si>
  <si>
    <t>FT6336</t>
  </si>
  <si>
    <t>스프라이트 10LBIB PMX</t>
  </si>
  <si>
    <t>SP6337</t>
  </si>
  <si>
    <t>환타 파인 10LBIB PMX</t>
  </si>
  <si>
    <t>FT6343</t>
  </si>
  <si>
    <t>환타 오렌지1.5PET X12</t>
  </si>
  <si>
    <t>FT6344</t>
  </si>
  <si>
    <t>환타 오렌지 1.5PET X12</t>
  </si>
  <si>
    <t>FT6349</t>
  </si>
  <si>
    <t>S)환타 오렌지 1.5PET 2X6</t>
  </si>
  <si>
    <t>미닛 오렌지 350PET X24</t>
  </si>
  <si>
    <t>환타 포도 355CAN X24</t>
  </si>
  <si>
    <t>FT6381</t>
  </si>
  <si>
    <t>MM오렌지VC50% 1.5P X12</t>
  </si>
  <si>
    <t>MM6505</t>
  </si>
  <si>
    <t>MM포도VC40% 1.5P X12</t>
  </si>
  <si>
    <t>MM6506</t>
  </si>
  <si>
    <t>MM6509</t>
  </si>
  <si>
    <t>S)미닛 오렌지 1.5PET 2X6</t>
  </si>
  <si>
    <t>MM6510</t>
  </si>
  <si>
    <t>S)미닛 포도 1.5PET 2X6</t>
  </si>
  <si>
    <t>M오리지널오+코크1.8P 6X2</t>
  </si>
  <si>
    <t>CH6517</t>
  </si>
  <si>
    <t>MM6526</t>
  </si>
  <si>
    <t>MM6527</t>
  </si>
  <si>
    <t>MM망고 1.5P X12</t>
  </si>
  <si>
    <t>MM6528</t>
  </si>
  <si>
    <t>미닛 망고 1.5PET X12</t>
  </si>
  <si>
    <t>MM망고 1.5P 6X2</t>
  </si>
  <si>
    <t>MM6529</t>
  </si>
  <si>
    <t>MM6530</t>
  </si>
  <si>
    <t>미닛 오렌지 1.2PET X12</t>
  </si>
  <si>
    <t>MM6531</t>
  </si>
  <si>
    <t>미닛 포도 1.2PET X12</t>
  </si>
  <si>
    <t>MM6534</t>
  </si>
  <si>
    <t>미닛 제주감귤 1.2PET X12</t>
  </si>
  <si>
    <t>MM6538</t>
  </si>
  <si>
    <t>MM6539</t>
  </si>
  <si>
    <t>MM제주 감귤1.5P X12</t>
  </si>
  <si>
    <t>MM6540</t>
  </si>
  <si>
    <t>미닛 오렌지 180NRB 3X12</t>
  </si>
  <si>
    <t>미닛 포도 180NRB 3X12</t>
  </si>
  <si>
    <t>미닛 제주감귤 180NRB 3X12</t>
  </si>
  <si>
    <t>미닛 오렌지+포도 180NRB 3X12</t>
  </si>
  <si>
    <t>MM7877</t>
  </si>
  <si>
    <t>미닛 감귤+알로+토마 180NRB 3X12</t>
  </si>
  <si>
    <t>MM7875</t>
  </si>
  <si>
    <t>미닛 오렌+포도+감귤 180NRB 3X12</t>
  </si>
  <si>
    <t>MM6555</t>
  </si>
  <si>
    <t>MM6556</t>
  </si>
  <si>
    <t>M오리지널오+오+포1.0N 4X3</t>
  </si>
  <si>
    <t>MM6557</t>
  </si>
  <si>
    <t>MM6559</t>
  </si>
  <si>
    <t>CC6670</t>
  </si>
  <si>
    <t>코카콜라 500PET X24</t>
  </si>
  <si>
    <t>CC6676</t>
  </si>
  <si>
    <t>S)코카콜라 500PET 4X6</t>
  </si>
  <si>
    <t>CC6678</t>
  </si>
  <si>
    <t>CC6679</t>
  </si>
  <si>
    <t>MM6681</t>
  </si>
  <si>
    <t>MM6682</t>
  </si>
  <si>
    <t>MM6685</t>
  </si>
  <si>
    <t>MM6686</t>
  </si>
  <si>
    <t>MM6687</t>
  </si>
  <si>
    <t>MM6688</t>
  </si>
  <si>
    <t>MM6689</t>
  </si>
  <si>
    <t>MM펀치 애플홀릭400P X24</t>
  </si>
  <si>
    <t>MM6690</t>
  </si>
  <si>
    <t>MM6691</t>
  </si>
  <si>
    <t>MM펀치 애플홀릭1.5P X12</t>
  </si>
  <si>
    <t>MM6694</t>
  </si>
  <si>
    <t>MM6695</t>
  </si>
  <si>
    <t>MM6700</t>
  </si>
  <si>
    <t>MM6701</t>
  </si>
  <si>
    <t>MM6705</t>
  </si>
  <si>
    <t>S)미닛 오렌지 350PET 4X6</t>
  </si>
  <si>
    <t>MM6706</t>
  </si>
  <si>
    <t>MM6708</t>
  </si>
  <si>
    <t>MM6709</t>
  </si>
  <si>
    <t>MM6710</t>
  </si>
  <si>
    <t>MM6711</t>
  </si>
  <si>
    <t>MM6736</t>
  </si>
  <si>
    <t>MM망고 240C X30</t>
  </si>
  <si>
    <t>MM6738</t>
  </si>
  <si>
    <t>FT6745</t>
  </si>
  <si>
    <t>환타 얼려먹는오렌지 130PU 3X10</t>
  </si>
  <si>
    <t>FT6746</t>
  </si>
  <si>
    <t>환타 얼려먹는포도 130PU 3X10</t>
  </si>
  <si>
    <t>FT6766</t>
  </si>
  <si>
    <t>환타스무디 사과500P X24</t>
  </si>
  <si>
    <t>FT6767</t>
  </si>
  <si>
    <t>FT6768</t>
  </si>
  <si>
    <t>FT6774</t>
  </si>
  <si>
    <t>FT6775</t>
  </si>
  <si>
    <t>FT6776</t>
  </si>
  <si>
    <t>FT6777</t>
  </si>
  <si>
    <t>FT6778</t>
  </si>
  <si>
    <t>환타 스트로베리 250CAN 5X6</t>
  </si>
  <si>
    <t>PA6871</t>
  </si>
  <si>
    <t>S)파워 마운티블라 600PET 4X6</t>
  </si>
  <si>
    <t>코카콜라 185CAN 3X10</t>
  </si>
  <si>
    <t>CC6971</t>
  </si>
  <si>
    <t>환타오렌지 185CAN 3X10</t>
  </si>
  <si>
    <t>FT6972</t>
  </si>
  <si>
    <t>코크+코크+환오1.25P 4X3</t>
  </si>
  <si>
    <t>CT6974</t>
  </si>
  <si>
    <t>미닛 벌꿀배 240C X30</t>
  </si>
  <si>
    <t>MM6985</t>
  </si>
  <si>
    <t>미닛 벌꿀배 280N X20</t>
  </si>
  <si>
    <t>MM6986</t>
  </si>
  <si>
    <t>미닛5얼라이브350P X24</t>
  </si>
  <si>
    <t>MM6991</t>
  </si>
  <si>
    <t>미닛5얼라이브1.0T X9</t>
  </si>
  <si>
    <t>MM6992</t>
  </si>
  <si>
    <t>미닛5얼라이브1.5P X12</t>
  </si>
  <si>
    <t>MM6993</t>
  </si>
  <si>
    <t>S미닛5얼라이브350P 4X6</t>
  </si>
  <si>
    <t>MM6994</t>
  </si>
  <si>
    <t>S)미닛 5얼라이브 350PET 4X6</t>
  </si>
  <si>
    <t>MM7001</t>
  </si>
  <si>
    <t>MM7002</t>
  </si>
  <si>
    <t>MM7003</t>
  </si>
  <si>
    <t>미닛 홈스타일오렌지 300PET X24</t>
  </si>
  <si>
    <t>MM7004</t>
  </si>
  <si>
    <t>미닛 홈스타일자몽 300PET X24</t>
  </si>
  <si>
    <t>MM7005</t>
  </si>
  <si>
    <t>S)미닛 홈스타일자몽 300PET 4X6</t>
  </si>
  <si>
    <t>MM7006</t>
  </si>
  <si>
    <t>MM7007</t>
  </si>
  <si>
    <t>S)미닛 홈스타일오렌지 300PET 4X6</t>
  </si>
  <si>
    <t>MM7008</t>
  </si>
  <si>
    <t>미닛 홈스타일선물세트 1.2PET 3X4</t>
  </si>
  <si>
    <t>미닛 홈스타일오렌지 180NRB X24</t>
  </si>
  <si>
    <t>미닛 홈스타일자몽 180NRB X24</t>
  </si>
  <si>
    <t>MM7011</t>
  </si>
  <si>
    <t>미닛 홈스타오렌+자몽 180NRB 3X12</t>
  </si>
  <si>
    <t>MM7012</t>
  </si>
  <si>
    <t>MM7025</t>
  </si>
  <si>
    <t>미닛테트라 포도1.0T X9</t>
  </si>
  <si>
    <t>MM7026</t>
  </si>
  <si>
    <t>미닛테트라 망고1.0T X9</t>
  </si>
  <si>
    <t>MM7027</t>
  </si>
  <si>
    <t>MM7028</t>
  </si>
  <si>
    <t>MM7029</t>
  </si>
  <si>
    <t>미닛조이 오렌지175C X30</t>
  </si>
  <si>
    <t>MM7140</t>
  </si>
  <si>
    <t>MM7141</t>
  </si>
  <si>
    <t>미닛조이 오렌지240C X30</t>
  </si>
  <si>
    <t>MM7142</t>
  </si>
  <si>
    <t>미닛 조이오렌지 240CAN X30</t>
  </si>
  <si>
    <t>미닛조이 포도 240C X30</t>
  </si>
  <si>
    <t>MM7143</t>
  </si>
  <si>
    <t>MM7144</t>
  </si>
  <si>
    <t>MM7148</t>
  </si>
  <si>
    <t>미닛조이 오렌지175C 5X6</t>
  </si>
  <si>
    <t>MM7149</t>
  </si>
  <si>
    <t>MM7150</t>
  </si>
  <si>
    <t>MM7151</t>
  </si>
  <si>
    <t>MM7152</t>
  </si>
  <si>
    <t>미닛메이드 망고175C X30</t>
  </si>
  <si>
    <t>MM7153</t>
  </si>
  <si>
    <t>MM7154</t>
  </si>
  <si>
    <t>MM7178</t>
  </si>
  <si>
    <t>파워 M/B355CAN X24</t>
  </si>
  <si>
    <t>PA7220</t>
  </si>
  <si>
    <t>CT7360</t>
  </si>
  <si>
    <t>코크+스프라이트 1.25PET 6X2</t>
  </si>
  <si>
    <t>COKE+AMBASA+DK 1.5P 4X3</t>
  </si>
  <si>
    <t>CT7396</t>
  </si>
  <si>
    <t>코크 제로 1.5PET X12</t>
  </si>
  <si>
    <t>CC7532</t>
  </si>
  <si>
    <t>코크제로 1.5PET X12</t>
  </si>
  <si>
    <t>코크 제로 5L BIB PMX</t>
  </si>
  <si>
    <t>CC7549</t>
  </si>
  <si>
    <t>FZ7551</t>
  </si>
  <si>
    <t>M셀렉트오+포+감귤1.5P4X3</t>
  </si>
  <si>
    <t>MM7751</t>
  </si>
  <si>
    <t>MM7752</t>
  </si>
  <si>
    <t>MM7753</t>
  </si>
  <si>
    <t>MM7754</t>
  </si>
  <si>
    <t>MM7808</t>
  </si>
  <si>
    <t>MM7812</t>
  </si>
  <si>
    <t>미닛 오렌지+감귤 1.5PET 6X2</t>
  </si>
  <si>
    <t>MM7813</t>
  </si>
  <si>
    <t>MM7820</t>
  </si>
  <si>
    <t>MM7801</t>
  </si>
  <si>
    <t>M오리지널오+포1.5P 6X2</t>
  </si>
  <si>
    <t>M오리지널오+알로1.5P 6X2</t>
  </si>
  <si>
    <t>MM7811</t>
  </si>
  <si>
    <t>M오리지널오+감귤1.5P 6X2</t>
  </si>
  <si>
    <t>M오리지널포+감귤1.5P 6X2</t>
  </si>
  <si>
    <t>MM감귤+알로에1.5P 6X2</t>
  </si>
  <si>
    <t>MM7814</t>
  </si>
  <si>
    <t>MM셀렉트오칼+포칼1.5L 6X2</t>
  </si>
  <si>
    <t>MM7839</t>
  </si>
  <si>
    <t>L-M)M오리오+감귤1.5P 6X2</t>
  </si>
  <si>
    <t>MM7843</t>
  </si>
  <si>
    <t>L-M)M오리포+감귤1.5P 6X2</t>
  </si>
  <si>
    <t>MM7844</t>
  </si>
  <si>
    <t>MM펀치오렌지+사과1.5P 6X2</t>
  </si>
  <si>
    <t>MM7845</t>
  </si>
  <si>
    <t>M셀렉트오+포+5A 1.5P 4X3</t>
  </si>
  <si>
    <t>MM7849</t>
  </si>
  <si>
    <t>MM포도+감귤+5A 1.5P 4X3</t>
  </si>
  <si>
    <t>MM7869</t>
  </si>
  <si>
    <t>MM7870</t>
  </si>
  <si>
    <t>신MM오리 포도180N 3X12</t>
  </si>
  <si>
    <t>MM7871</t>
  </si>
  <si>
    <t>MM7872</t>
  </si>
  <si>
    <t>MM7873</t>
  </si>
  <si>
    <t>미닛 알로에 180NRB 3X12</t>
  </si>
  <si>
    <t>MM7874</t>
  </si>
  <si>
    <t>MM7876</t>
  </si>
  <si>
    <t>미닛 오렌+포도+알로 180NRB 3X12</t>
  </si>
  <si>
    <t>MM7878</t>
  </si>
  <si>
    <t>미닛 감귤+포도+매실 180NRB 3X12</t>
  </si>
  <si>
    <t>M오리지널오+망고1.5P 6X2</t>
  </si>
  <si>
    <t>MM7890</t>
  </si>
  <si>
    <t>M오리지널포+망고1.5P 6X2</t>
  </si>
  <si>
    <t>MM7891</t>
  </si>
  <si>
    <t>MM알로에+망고1.5P 6X2</t>
  </si>
  <si>
    <t>MM7892</t>
  </si>
  <si>
    <t>MM세트 오포망1.5P 3X3</t>
  </si>
  <si>
    <t>MM7895</t>
  </si>
  <si>
    <t>MM세트 오포알망1.5P 3X4</t>
  </si>
  <si>
    <t>MM7896</t>
  </si>
  <si>
    <t>미닛 오렌+포도+알로+망고 1.5PET 3X4</t>
  </si>
  <si>
    <t>MM7897</t>
  </si>
  <si>
    <t>MM7898</t>
  </si>
  <si>
    <t>M오리오+아사+크렌1.0N 3X3</t>
  </si>
  <si>
    <t>MM7899</t>
  </si>
  <si>
    <t>MM7900</t>
  </si>
  <si>
    <t>미닛 오50%2+포40%+알로 1.5PETX4</t>
  </si>
  <si>
    <t>MM7901</t>
  </si>
  <si>
    <t>MM7902</t>
  </si>
  <si>
    <t>MM7903</t>
  </si>
  <si>
    <t>MM7904</t>
  </si>
  <si>
    <t>MM7905</t>
  </si>
  <si>
    <t>신MM프리 매실180N X24</t>
  </si>
  <si>
    <t>MM7906</t>
  </si>
  <si>
    <t>MM7907</t>
  </si>
  <si>
    <t>MM7908</t>
  </si>
  <si>
    <t>MM프리미엄 망고180N X24</t>
  </si>
  <si>
    <t>MM7909</t>
  </si>
  <si>
    <t>MM7911</t>
  </si>
  <si>
    <t>M리치블랜아사+크180N 3X12</t>
  </si>
  <si>
    <t>MM7913</t>
  </si>
  <si>
    <t>MM망고 180N 3X12</t>
  </si>
  <si>
    <t>MM7914</t>
  </si>
  <si>
    <t>MM7915</t>
  </si>
  <si>
    <t>미닛 아사+백포도알로 180NRB 3X12</t>
  </si>
  <si>
    <t>MM7920</t>
  </si>
  <si>
    <t>MM7921</t>
  </si>
  <si>
    <t>S)코카-콜라1.5PET 2X6</t>
  </si>
  <si>
    <t>CC7923</t>
  </si>
  <si>
    <t>S)코카콜라 1.5PET 2X6</t>
  </si>
  <si>
    <t>닥터 페퍼 355CAN X24</t>
  </si>
  <si>
    <t>DP7984</t>
  </si>
  <si>
    <t>닥터페퍼 355CAN X24</t>
  </si>
  <si>
    <t>빙로 아이스듀500P X20</t>
  </si>
  <si>
    <t>CD8010</t>
  </si>
  <si>
    <t>GG8071</t>
  </si>
  <si>
    <t>GG8072</t>
  </si>
  <si>
    <t>S)조지아 고티카블랙 390BTC 4X6</t>
  </si>
  <si>
    <t>GG8073</t>
  </si>
  <si>
    <t>GG8074</t>
  </si>
  <si>
    <t>S)조지아 고티카아메 390BTC 4X6</t>
  </si>
  <si>
    <t>GG8081</t>
  </si>
  <si>
    <t>GG8082</t>
  </si>
  <si>
    <t>S)조지아 고티카블랙 270BTC 4X6</t>
  </si>
  <si>
    <t>GG8083</t>
  </si>
  <si>
    <t>GG8084</t>
  </si>
  <si>
    <t>S)조지아 고티카라떼 270BTC 4X6</t>
  </si>
  <si>
    <t>GG8085</t>
  </si>
  <si>
    <t>조지아 고티카아메 270BTC X20</t>
  </si>
  <si>
    <t>GG8086</t>
  </si>
  <si>
    <t>S)조지아 고티카아메 270BTC 4X6</t>
  </si>
  <si>
    <t>GG8094</t>
  </si>
  <si>
    <t>GG8095</t>
  </si>
  <si>
    <t>GG8098</t>
  </si>
  <si>
    <t>GG8099</t>
  </si>
  <si>
    <t>조지아 고티카라떼 200CAN 5X6</t>
  </si>
  <si>
    <t>GG8106</t>
  </si>
  <si>
    <t>GG8108</t>
  </si>
  <si>
    <t>GG8110</t>
  </si>
  <si>
    <t>GG8117</t>
  </si>
  <si>
    <t>GG8118</t>
  </si>
  <si>
    <t>GG8119</t>
  </si>
  <si>
    <t>GG8123</t>
  </si>
  <si>
    <t>GG8125</t>
  </si>
  <si>
    <t>GG8126</t>
  </si>
  <si>
    <t>GG8130</t>
  </si>
  <si>
    <t>GG8134</t>
  </si>
  <si>
    <t>GG8135</t>
  </si>
  <si>
    <t>GG8136</t>
  </si>
  <si>
    <t>GG8138</t>
  </si>
  <si>
    <t>GG8231</t>
  </si>
  <si>
    <t>조지아 아이스아메 170PU 5X10</t>
  </si>
  <si>
    <t>GG8232</t>
  </si>
  <si>
    <t>조지아 아이스라떼 170PU 5X10</t>
  </si>
  <si>
    <t>GG8234</t>
  </si>
  <si>
    <t>GG8235</t>
  </si>
  <si>
    <t>GG8146</t>
  </si>
  <si>
    <t>S)조지아 EMB더블랙 270BTC 4X6</t>
  </si>
  <si>
    <t>GG8147</t>
  </si>
  <si>
    <t>S)조지아 EMB에스 270BTC 4X6</t>
  </si>
  <si>
    <t>GG8148</t>
  </si>
  <si>
    <t>S)조지아 EMB라떼 270BTC 4X6</t>
  </si>
  <si>
    <t>GG8149</t>
  </si>
  <si>
    <t>GG8150</t>
  </si>
  <si>
    <t>GG8151</t>
  </si>
  <si>
    <t>GG8152</t>
  </si>
  <si>
    <t>GG8153</t>
  </si>
  <si>
    <t>GG8154</t>
  </si>
  <si>
    <t>GG8155</t>
  </si>
  <si>
    <t>GG8157</t>
  </si>
  <si>
    <t>KT8170</t>
  </si>
  <si>
    <t>CD8184</t>
  </si>
  <si>
    <t>태양의 마테차175C X30</t>
  </si>
  <si>
    <t>TY8186</t>
  </si>
  <si>
    <t>태양의 마테차500P X24</t>
  </si>
  <si>
    <t>TY8187</t>
  </si>
  <si>
    <t>태양의 마테차 500PET X24</t>
  </si>
  <si>
    <t>태양의 마테차500P 4X6</t>
  </si>
  <si>
    <t>TY8188</t>
  </si>
  <si>
    <t>S)태양의 마테차 500PET 4X6</t>
  </si>
  <si>
    <t>태양의 마테차1.5P X12</t>
  </si>
  <si>
    <t>TY8189</t>
  </si>
  <si>
    <t>TY8193</t>
  </si>
  <si>
    <t>TY8197</t>
  </si>
  <si>
    <t>TY8198</t>
  </si>
  <si>
    <t>TY8199</t>
  </si>
  <si>
    <t>태양의 마테차340P X20</t>
  </si>
  <si>
    <t>TY8201</t>
  </si>
  <si>
    <t>FT8207</t>
  </si>
  <si>
    <t>환타 파인 600PET X24</t>
  </si>
  <si>
    <t>GG8233</t>
  </si>
  <si>
    <t>조지아 아이스카라 170PU 5X10</t>
  </si>
  <si>
    <t>GG8236</t>
  </si>
  <si>
    <t>GG8251</t>
  </si>
  <si>
    <t>GG8252</t>
  </si>
  <si>
    <t>GG8261</t>
  </si>
  <si>
    <t>GG8262</t>
  </si>
  <si>
    <t>조지아 카페마일드 200CAN 5X6</t>
  </si>
  <si>
    <t>GG8264</t>
  </si>
  <si>
    <t>코크 제로 250CAN X30</t>
  </si>
  <si>
    <t>CC8272</t>
  </si>
  <si>
    <t>코크제로 250CAN X30</t>
  </si>
  <si>
    <t>코크 제로 250CAN 5X6</t>
  </si>
  <si>
    <t>CC8273</t>
  </si>
  <si>
    <t>코크제로 250CAN 5X6</t>
  </si>
  <si>
    <t>CC8276</t>
  </si>
  <si>
    <t>코크제로 355CAN 4X6</t>
  </si>
  <si>
    <t>MM8420</t>
  </si>
  <si>
    <t>MM8421</t>
  </si>
  <si>
    <t>미닛 알로에 350P X24</t>
  </si>
  <si>
    <t>MM8422</t>
  </si>
  <si>
    <t>미닛 알로에 350PET X24</t>
  </si>
  <si>
    <t>미닛 알로에 1.5P X12</t>
  </si>
  <si>
    <t>MM8424</t>
  </si>
  <si>
    <t>미닛 매실 175C X30</t>
  </si>
  <si>
    <t>MM8427</t>
  </si>
  <si>
    <t>코크-킨번들1.5PET 6X2</t>
  </si>
  <si>
    <t>CT8442</t>
  </si>
  <si>
    <t>CC8447</t>
  </si>
  <si>
    <t>CH8448</t>
  </si>
  <si>
    <t>CT8450</t>
  </si>
  <si>
    <t>PA8505</t>
  </si>
  <si>
    <t>PA8507</t>
  </si>
  <si>
    <t>PA8515</t>
  </si>
  <si>
    <t>PA8516</t>
  </si>
  <si>
    <t>PA8517</t>
  </si>
  <si>
    <t>PA8518</t>
  </si>
  <si>
    <t>S)파워 골드러쉬 600PET 4X6</t>
  </si>
  <si>
    <t>PA8519</t>
  </si>
  <si>
    <t>파워M/B 240CAN 5X6</t>
  </si>
  <si>
    <t>PA8521</t>
  </si>
  <si>
    <t>파워 마운틴블라 240CAN 5X6</t>
  </si>
  <si>
    <t>파워M/B 240CAN X30</t>
  </si>
  <si>
    <t>PA8526</t>
  </si>
  <si>
    <t>파워M/B 1.5PET 6X2</t>
  </si>
  <si>
    <t>PA8532</t>
  </si>
  <si>
    <t>파워 마운틴블라 1.5PET 6X2</t>
  </si>
  <si>
    <t>PA8579</t>
  </si>
  <si>
    <t>PA8541</t>
  </si>
  <si>
    <t>S)파워 마운틴블라 1.5PET 2X6</t>
  </si>
  <si>
    <t>PA8547</t>
  </si>
  <si>
    <t>PA8548</t>
  </si>
  <si>
    <t>파워 에너지펀치 1.5PET X12</t>
  </si>
  <si>
    <t>AQ8550</t>
  </si>
  <si>
    <t>AQ8552</t>
  </si>
  <si>
    <t>AQ8554</t>
  </si>
  <si>
    <t>PA8566</t>
  </si>
  <si>
    <t>파워 에너지펀치 600PET 4X6</t>
  </si>
  <si>
    <t>파워M/B+E/P 1.5P 6X2</t>
  </si>
  <si>
    <t>PA8572</t>
  </si>
  <si>
    <t>PA8580</t>
  </si>
  <si>
    <t>PA8582</t>
  </si>
  <si>
    <t>FT8618</t>
  </si>
  <si>
    <t>파워M/B 520PET X20</t>
  </si>
  <si>
    <t>PA8621</t>
  </si>
  <si>
    <t>PA8622</t>
  </si>
  <si>
    <t>PA8623</t>
  </si>
  <si>
    <t>파워M/B 1.8PET X12</t>
  </si>
  <si>
    <t>PA8624</t>
  </si>
  <si>
    <t>PA8625</t>
  </si>
  <si>
    <t>파워 골드러쉬 1.8PET X12</t>
  </si>
  <si>
    <t>PA8626</t>
  </si>
  <si>
    <t>파워 아쿠아파워 1.8PET X12</t>
  </si>
  <si>
    <t>PA8631</t>
  </si>
  <si>
    <t>VD8701</t>
  </si>
  <si>
    <t>VD8702</t>
  </si>
  <si>
    <t xml:space="preserve">S)휘오 다이아스파클링 350PET 4X6   </t>
  </si>
  <si>
    <t>VS8711</t>
  </si>
  <si>
    <t>VS8712</t>
  </si>
  <si>
    <t>VD8778</t>
  </si>
  <si>
    <t>VD8779</t>
  </si>
  <si>
    <t>VD8791</t>
  </si>
  <si>
    <t>VD8792</t>
  </si>
  <si>
    <t>VD8793</t>
  </si>
  <si>
    <t>VD8794</t>
  </si>
  <si>
    <t>휘오 다이아몬드SE 400PET X20</t>
  </si>
  <si>
    <t>VD8796</t>
  </si>
  <si>
    <t>VD8797</t>
  </si>
  <si>
    <t>VD8798</t>
  </si>
  <si>
    <t>VD8802</t>
  </si>
  <si>
    <t>VS8803</t>
  </si>
  <si>
    <t>VS8804</t>
  </si>
  <si>
    <t>VD8807</t>
  </si>
  <si>
    <t>VD8808</t>
  </si>
  <si>
    <t>VD8809</t>
  </si>
  <si>
    <t>VS8811</t>
  </si>
  <si>
    <t>휘오 철원순수 500PET X20</t>
  </si>
  <si>
    <t>VS8812</t>
  </si>
  <si>
    <t>휘오 철원순수 2.0PET X6</t>
  </si>
  <si>
    <t>VS8813</t>
  </si>
  <si>
    <t>SSP)휘오 철원순수 500PET X20</t>
  </si>
  <si>
    <t>휘오 제주 500P X20</t>
  </si>
  <si>
    <t>VJ8815</t>
  </si>
  <si>
    <t>휘오 제주V워터 500PET X20</t>
  </si>
  <si>
    <t>휘오 제주 2.0P X6</t>
  </si>
  <si>
    <t>VJ8816</t>
  </si>
  <si>
    <t>휘오 제주V워터 2.0PET X6</t>
  </si>
  <si>
    <t>휘오 제주 2.0P 2X6</t>
  </si>
  <si>
    <t>VJ8819</t>
  </si>
  <si>
    <t>N휘오 제주 2.0P 2X6</t>
  </si>
  <si>
    <t>VJ8822</t>
  </si>
  <si>
    <t>E휘오 제주 2.0P 5+1</t>
  </si>
  <si>
    <t>VJ8830</t>
  </si>
  <si>
    <t>휘오 제주V워터 E 2.0PET X6(5+1)</t>
  </si>
  <si>
    <t>VD8840</t>
  </si>
  <si>
    <t>VD8842</t>
  </si>
  <si>
    <t>VD8844</t>
  </si>
  <si>
    <t>VD8880</t>
  </si>
  <si>
    <t>VD8883</t>
  </si>
  <si>
    <t>VD8882</t>
  </si>
  <si>
    <t>VD8879</t>
  </si>
  <si>
    <t>휘오 제주 500P 2X20</t>
  </si>
  <si>
    <t>VJ8886</t>
  </si>
  <si>
    <t>VS8887</t>
  </si>
  <si>
    <t>VS8888</t>
  </si>
  <si>
    <t>SAP코드</t>
    <phoneticPr fontId="102" type="noConversion"/>
  </si>
  <si>
    <t>SAP코드</t>
    <phoneticPr fontId="102" type="noConversion"/>
  </si>
  <si>
    <t>SG4230</t>
  </si>
  <si>
    <t>전산</t>
    <phoneticPr fontId="90" type="noConversion"/>
  </si>
  <si>
    <t>+</t>
    <phoneticPr fontId="90" type="noConversion"/>
  </si>
  <si>
    <t>-</t>
    <phoneticPr fontId="90" type="noConversion"/>
  </si>
  <si>
    <t>토레타 아쿠아리우스 500P 4X6</t>
    <phoneticPr fontId="90" type="noConversion"/>
  </si>
  <si>
    <t>GG0003</t>
  </si>
  <si>
    <t>조지아 아이스아메(신) 170PU 5X10</t>
  </si>
  <si>
    <t>조지아 아이스라떼(신) 170PU 5X10</t>
  </si>
  <si>
    <t>TR8561</t>
  </si>
  <si>
    <t>0003</t>
    <phoneticPr fontId="90" type="noConversion"/>
  </si>
  <si>
    <t>0004</t>
    <phoneticPr fontId="90" type="noConversion"/>
  </si>
  <si>
    <t>0008</t>
    <phoneticPr fontId="90" type="noConversion"/>
  </si>
  <si>
    <t>몬스터 에너지 울트라 355CAN 4X6</t>
  </si>
  <si>
    <t>0002</t>
    <phoneticPr fontId="90" type="noConversion"/>
  </si>
  <si>
    <t>PA0002</t>
    <phoneticPr fontId="90" type="noConversion"/>
  </si>
  <si>
    <t>S)파워 마운틴제로 600PET 4X6</t>
    <phoneticPr fontId="90" type="noConversion"/>
  </si>
  <si>
    <t>MO5643</t>
    <phoneticPr fontId="90" type="noConversion"/>
  </si>
  <si>
    <t>몬스터 에너지 울트라 355CAN 4X6</t>
    <phoneticPr fontId="90" type="noConversion"/>
  </si>
  <si>
    <t>AB4226</t>
  </si>
  <si>
    <t>AB4225</t>
  </si>
  <si>
    <t>암바사 350PET X24</t>
  </si>
  <si>
    <t>CT8451</t>
  </si>
  <si>
    <t>코크+환타오렌지 1.8PET 6X2</t>
  </si>
  <si>
    <t>FT6752</t>
  </si>
  <si>
    <t>환타 젤리소다 오렌지 185CAN X30</t>
  </si>
  <si>
    <t>FT6753</t>
  </si>
  <si>
    <t>환타 젤리소다 포도 185CAN X30</t>
  </si>
  <si>
    <t>GS0005</t>
  </si>
  <si>
    <t>미닛 홈스오렌+오리진자몽 1.2PET 6X2</t>
  </si>
  <si>
    <t>미닛 홈스오렌+오리진레몬 1.2PET 6X2</t>
  </si>
  <si>
    <t>MO5642</t>
  </si>
  <si>
    <t>몬스터 에너지 울트라 355CAN X24</t>
  </si>
  <si>
    <t>SG4370</t>
  </si>
  <si>
    <t>씨그램 미네랄워터 On-P용 300PET X20</t>
  </si>
  <si>
    <t>SG4372</t>
  </si>
  <si>
    <t>씨그램 미네랄워터 On-P용 500PET X20</t>
  </si>
  <si>
    <t>SG4375</t>
  </si>
  <si>
    <t>씨그램 미네랄워터 On-P용 2.0PET X9</t>
  </si>
  <si>
    <t>TR8562</t>
  </si>
  <si>
    <t>토레타 500PET X24</t>
  </si>
  <si>
    <t>TR8563</t>
  </si>
  <si>
    <t>토레타 1.5PET X12</t>
  </si>
  <si>
    <t>토레타 1.5PET 6X2</t>
  </si>
  <si>
    <t>물</t>
    <phoneticPr fontId="87" type="noConversion"/>
  </si>
  <si>
    <t>슈웹스</t>
    <phoneticPr fontId="87" type="noConversion"/>
  </si>
  <si>
    <t>비탄산캔</t>
    <phoneticPr fontId="90" type="noConversion"/>
  </si>
  <si>
    <t>탄산600</t>
    <phoneticPr fontId="87" type="noConversion"/>
  </si>
  <si>
    <t>탄산500</t>
    <phoneticPr fontId="87" type="noConversion"/>
  </si>
  <si>
    <t>파우치</t>
    <phoneticPr fontId="90" type="noConversion"/>
  </si>
  <si>
    <t>주스1.5</t>
    <phoneticPr fontId="87" type="noConversion"/>
  </si>
  <si>
    <t>탄산300</t>
    <phoneticPr fontId="87" type="noConversion"/>
  </si>
  <si>
    <t>차이내역</t>
    <phoneticPr fontId="90" type="noConversion"/>
  </si>
  <si>
    <t>조지아카페마일드200C 5X6</t>
  </si>
  <si>
    <t>MM 오리진 레몬 300PET 4X6</t>
  </si>
  <si>
    <t>암바사350(4X6)</t>
  </si>
  <si>
    <t>코카콜라190ml 이마트용-G박스</t>
  </si>
  <si>
    <t>코카콜라　산타250NRB X24</t>
  </si>
  <si>
    <t>코카－콜라 200CAN X30</t>
  </si>
  <si>
    <t>CC4830</t>
  </si>
  <si>
    <t>코카　콜라  390PET X24</t>
  </si>
  <si>
    <t>코카　콜라  300BTC X20</t>
  </si>
  <si>
    <t>COKE 1.8+COKE1.8 2x6</t>
  </si>
  <si>
    <t>코카콜라＋암바사1.5P 6X2</t>
  </si>
  <si>
    <t>코크＋스프　1.8PET 6X2</t>
  </si>
  <si>
    <t>환타　파인SSP 355C X24</t>
  </si>
  <si>
    <t>환타　포도SSP 355C X24</t>
  </si>
  <si>
    <t>FT4831</t>
  </si>
  <si>
    <t>환타오렌지 1.8P X12</t>
  </si>
  <si>
    <t>환타파인애플 1.8P X12</t>
  </si>
  <si>
    <t>환타오렌지　390PET X24</t>
  </si>
  <si>
    <t>골든드랍나는오리지널175(멀티)</t>
  </si>
  <si>
    <t>조지아　델리모카240P X20</t>
  </si>
  <si>
    <t>조지아카페블랙175C X30</t>
  </si>
  <si>
    <t>조지아카페블랙175C 5X6</t>
  </si>
  <si>
    <t>조지아카페마일드175C X30</t>
  </si>
  <si>
    <t>조지아카페마일드175C 5X6</t>
  </si>
  <si>
    <t>글라소백포도＆레몬450P X24</t>
  </si>
  <si>
    <t>글라소복숭아＆자몽450P X24</t>
  </si>
  <si>
    <t>글라소　감귤＆망고450P X24</t>
  </si>
  <si>
    <t>글라소　파워씨340C X24</t>
  </si>
  <si>
    <t>글라소　에너지340C X24</t>
  </si>
  <si>
    <t>GLACEAU FOCUS 500P X12 (HK)</t>
  </si>
  <si>
    <t>과일촌 아침에사과1.5P X12</t>
  </si>
  <si>
    <t>갈아만든배  1.5PET X12</t>
  </si>
  <si>
    <t>오리진에이드 레몬 300P</t>
  </si>
  <si>
    <t>오리진에이드 자몽 300P</t>
  </si>
  <si>
    <t>오리진에이드 레몬 1.2PET</t>
  </si>
  <si>
    <t>오리진에이드 자몽 1.2PET</t>
  </si>
  <si>
    <t>미닛 오리진에이드 레+자 1.2PET 6X2</t>
  </si>
  <si>
    <t>미닛 쿠우 젤리 복숭아 130ml 3X10</t>
  </si>
  <si>
    <t>미닛 쿠우 젤리 포도 130ml 3X10</t>
  </si>
  <si>
    <t>MM 퓨레복숭아175C X30</t>
  </si>
  <si>
    <t>MM리치백포도＆알로1.5P X12</t>
  </si>
  <si>
    <t>MM리치백포도＆알로238C X24</t>
  </si>
  <si>
    <t>MM리치백포도＆알로180N X24</t>
  </si>
  <si>
    <t>MM6718</t>
  </si>
  <si>
    <t>MM홈스타일　자몽1.2P X12</t>
  </si>
  <si>
    <t>MM홈스타일　자몽300P X24</t>
  </si>
  <si>
    <t>MM홈스타일　자몽300P 4X6</t>
  </si>
  <si>
    <t>MM홈스타오렌＋자몽1.2P 6X2</t>
  </si>
  <si>
    <t>M아사이＋백포알로1.5P 6X2</t>
  </si>
  <si>
    <t>L-M)M셀렉트오＋감귤1.5P 6X2</t>
  </si>
  <si>
    <t>L-M)M셀렉트포＋감귤1.5P 6X2</t>
  </si>
  <si>
    <t>M오리지널오＋포1.8P 6X2</t>
  </si>
  <si>
    <t>M아사＋백포도알로180N 3X12</t>
  </si>
  <si>
    <t>MMＧ마켓선물세트1.5P 3X4(AA)</t>
  </si>
  <si>
    <t>M제주감귤＋마테1.5P 6X2</t>
  </si>
  <si>
    <t>파워제로마운티 600ml(소분)</t>
  </si>
  <si>
    <t>씨그램　플레인330N X20</t>
  </si>
  <si>
    <t>씨그램　라임　330N X20</t>
  </si>
  <si>
    <t>씨그램　라임　250C X30</t>
  </si>
  <si>
    <t>온）씨그램레몬350P X20</t>
  </si>
  <si>
    <t>온）씨그램플레인350P X20</t>
  </si>
  <si>
    <t>씨그램  플레인   450X24</t>
  </si>
  <si>
    <t>씨그램  레몬향   450X24</t>
  </si>
  <si>
    <t>SP4832</t>
  </si>
  <si>
    <t>스프라이트  1.8PET X12</t>
  </si>
  <si>
    <t>스프라이트  390PET X24</t>
  </si>
  <si>
    <t>슈웹스　레몬토닉250C X30</t>
  </si>
  <si>
    <t>슈웹스　레몬토닉355C X24</t>
  </si>
  <si>
    <t>슈웹스　레몬토닉1.25P X12</t>
  </si>
  <si>
    <t>휘오철원순수500P X20</t>
  </si>
  <si>
    <t>휘오철원순수2.0P X6</t>
  </si>
  <si>
    <t>휘오철원순수500PET 2X20</t>
  </si>
  <si>
    <t>휘오철원순수2.0PET 2X6</t>
  </si>
  <si>
    <t>지코　플레인330T 3X4</t>
  </si>
  <si>
    <t>중요</t>
    <phoneticPr fontId="101" type="noConversion"/>
  </si>
  <si>
    <t>거래처파손교환/불량정리</t>
    <phoneticPr fontId="90" type="noConversion"/>
  </si>
  <si>
    <t xml:space="preserve">      코카-콜라 음료 주식회사 </t>
    <phoneticPr fontId="102" type="noConversion"/>
  </si>
  <si>
    <t xml:space="preserve">               파손품 확인 보고서 </t>
    <phoneticPr fontId="102" type="noConversion"/>
  </si>
  <si>
    <t>핀홀</t>
  </si>
  <si>
    <t>포장불량</t>
  </si>
  <si>
    <t>낱본부족</t>
  </si>
  <si>
    <t>침전현상</t>
  </si>
  <si>
    <t>BW(지게차)</t>
  </si>
  <si>
    <t>BF(로드메이커)</t>
  </si>
  <si>
    <t xml:space="preserve">※ 체커란은 물류 담당 체커가 체커함. </t>
  </si>
  <si>
    <t>※ 파손유발자가 보고서 작성</t>
  </si>
  <si>
    <t>※ 이송파손은 메가센타 체커가 확인(상호 서명)</t>
  </si>
  <si>
    <t xml:space="preserve">※ 루트파손은 전결규정(5C/S)초과시 지점장 결재 서명 </t>
  </si>
  <si>
    <t xml:space="preserve">  </t>
  </si>
  <si>
    <t>수량</t>
    <phoneticPr fontId="102" type="noConversion"/>
  </si>
  <si>
    <t>작성자</t>
    <phoneticPr fontId="102" type="noConversion"/>
  </si>
  <si>
    <t>싸인(로드메이커)</t>
    <phoneticPr fontId="102" type="noConversion"/>
  </si>
  <si>
    <t>싸인(지게차)</t>
    <phoneticPr fontId="102" type="noConversion"/>
  </si>
  <si>
    <t>재고담당</t>
    <phoneticPr fontId="102" type="noConversion"/>
  </si>
  <si>
    <t>싸인(담당체커)</t>
    <phoneticPr fontId="102" type="noConversion"/>
  </si>
  <si>
    <t>0005</t>
    <phoneticPr fontId="90" type="noConversion"/>
  </si>
  <si>
    <t>MM0005</t>
    <phoneticPr fontId="90" type="noConversion"/>
  </si>
  <si>
    <t>MM 오리진 자몽 300PET X24</t>
    <phoneticPr fontId="90" type="noConversion"/>
  </si>
  <si>
    <t>글라소 복숭아&amp;자몽 450PET 4X6</t>
    <phoneticPr fontId="90" type="noConversion"/>
  </si>
  <si>
    <t>글라소 백포도&amp;레몬 450PET 4X6</t>
    <phoneticPr fontId="90" type="noConversion"/>
  </si>
  <si>
    <t>CC5701</t>
  </si>
  <si>
    <t>코카콜라 골드 250BTC X24</t>
  </si>
  <si>
    <t>CC5701</t>
    <phoneticPr fontId="90" type="noConversion"/>
  </si>
  <si>
    <t>코카콜라 (골드) 355CAN 4X6</t>
  </si>
  <si>
    <t>HO8210</t>
  </si>
  <si>
    <t>홍차화원 플레인 350PET 4X6</t>
  </si>
  <si>
    <t>PET</t>
    <phoneticPr fontId="87" type="noConversion"/>
  </si>
  <si>
    <t>HO8211</t>
  </si>
  <si>
    <t>홍차화원 벚꽃 350PET 4X6</t>
  </si>
  <si>
    <t>암바사 350PET 4X6</t>
  </si>
  <si>
    <t>GG8143</t>
  </si>
  <si>
    <t>S)조지아 고티카 마스터스 390BTC 4X6</t>
  </si>
  <si>
    <t>GG0004</t>
  </si>
  <si>
    <t>GG8143</t>
    <phoneticPr fontId="90" type="noConversion"/>
  </si>
  <si>
    <t>MM0008</t>
  </si>
  <si>
    <t>GG8167</t>
    <phoneticPr fontId="90" type="noConversion"/>
  </si>
  <si>
    <t>코카콜라(한국) 355CAN 4X6</t>
  </si>
  <si>
    <t>CC2522</t>
  </si>
  <si>
    <t>온)코카콜라 390PET X20</t>
  </si>
  <si>
    <t>코카콜라 한국 355CAN X24</t>
  </si>
  <si>
    <t>코카콜라(골드) 355CAN 6X4</t>
  </si>
  <si>
    <t>Coca-Cola 355ML.(6X4)  박스포장</t>
  </si>
  <si>
    <t>Coca-Cola 355ML.(6X4)  E-mart 골드</t>
  </si>
  <si>
    <t>Coca-Cola 355ML. (SSP) 리니지</t>
  </si>
  <si>
    <t>코카콜라(골드) 355CAN X24</t>
  </si>
  <si>
    <t>코카콜라 레몬 250CAN X30</t>
  </si>
  <si>
    <t>코카콜라 레몬 500PET X24</t>
  </si>
  <si>
    <t>코카콜라 레몬 250CAN 5X6 M</t>
  </si>
  <si>
    <t>코카콜라(B) 265NRB X24</t>
  </si>
  <si>
    <t>코카콜라(A) 265NRB X24</t>
  </si>
  <si>
    <t>코크 골드250BTC X24</t>
  </si>
  <si>
    <t>CC5709</t>
  </si>
  <si>
    <t>코크-리본250BTC</t>
  </si>
  <si>
    <t>코카콜라 VIC 500PET X6</t>
  </si>
  <si>
    <t>코코팜 피치핑크 스쿨 240CAN X30</t>
  </si>
  <si>
    <t>QSR)환타 파인 500PET X24</t>
  </si>
  <si>
    <t>조지아 고티카 아메 250NRB X20</t>
  </si>
  <si>
    <t>조지아 고티카 라떼 250NRB X20</t>
  </si>
  <si>
    <t>조지아 고티카 카라멜 355PET X12</t>
  </si>
  <si>
    <t>조지아 고티카 마스터스 390BTC X20</t>
  </si>
  <si>
    <t>조지아 고티카 마스터스 270BTC X20</t>
  </si>
  <si>
    <t>글라소 백포도&amp;레몬 450PET 4X6</t>
  </si>
  <si>
    <t>글라소 복숭아&amp;자몽 450PET 4X6</t>
  </si>
  <si>
    <t>큰집 식혜 238CAN X24</t>
  </si>
  <si>
    <t>MM홈스타일　청포도300P X24</t>
  </si>
  <si>
    <t>미닛 홈스타일 청포도 1.2PET X12</t>
  </si>
  <si>
    <t>미닛 홈스타일 오렌+청포도 1.2PET 6X2</t>
  </si>
  <si>
    <t>미닛 홈스타일 자몽+청포도 1.2PET 6X2</t>
  </si>
  <si>
    <t>미닛 홈스타오렌+자몽 1.2PET X6</t>
  </si>
  <si>
    <t>미닛 홈스 오자청 1.2+300PET 2X6</t>
  </si>
  <si>
    <t>미닛 오포알감매토 180NRB 3X16</t>
  </si>
  <si>
    <t>미닛 오50+포40+감+토 1.5PET 3X4</t>
  </si>
  <si>
    <t>파워 마운틴블라 VIC 600PET X6</t>
  </si>
  <si>
    <t>씨그램 자몽 350PET X24</t>
  </si>
  <si>
    <t>씨그램 미네랄워터 On-P용 2.0PET X6</t>
  </si>
  <si>
    <t>SK 자몽소다(New) 355CAN X24</t>
  </si>
  <si>
    <t>SK 보리탄산 250CAN X30</t>
  </si>
  <si>
    <t>SK 멜론소다 355CAN 4X6</t>
  </si>
  <si>
    <t>스프라이트 245CAN X24 (QSR)</t>
  </si>
  <si>
    <t>홍차화원 벛꽃 350PET 4X6</t>
  </si>
  <si>
    <t>GL5454</t>
  </si>
  <si>
    <t>GL5455</t>
  </si>
  <si>
    <t>S)고티카 마스터스 라떼270B 4X6</t>
  </si>
  <si>
    <t>S)고티카 마스터스 라떼390B 4X6</t>
  </si>
  <si>
    <t>CC2524</t>
  </si>
  <si>
    <t>합계</t>
    <phoneticPr fontId="101" type="noConversion"/>
  </si>
  <si>
    <t>차이</t>
    <phoneticPr fontId="101" type="noConversion"/>
  </si>
  <si>
    <t>SAP</t>
    <phoneticPr fontId="101" type="noConversion"/>
  </si>
  <si>
    <t>최종차이</t>
    <phoneticPr fontId="101" type="noConversion"/>
  </si>
  <si>
    <t>생산파손</t>
    <phoneticPr fontId="101" type="noConversion"/>
  </si>
  <si>
    <t>작업파손</t>
    <phoneticPr fontId="101" type="noConversion"/>
  </si>
  <si>
    <t>1.파손구분</t>
  </si>
  <si>
    <t>1.파손구분</t>
    <phoneticPr fontId="101" type="noConversion"/>
  </si>
  <si>
    <t>2.발생원인/편의점교환물류</t>
  </si>
  <si>
    <t>2.발생원인/편의점교환물류</t>
    <phoneticPr fontId="101" type="noConversion"/>
  </si>
  <si>
    <t>코드</t>
    <phoneticPr fontId="101" type="noConversion"/>
  </si>
  <si>
    <t>3.처리내역(편의점파손교환)</t>
    <phoneticPr fontId="101" type="noConversion"/>
  </si>
  <si>
    <t xml:space="preserve">물류/지점명 :    </t>
    <phoneticPr fontId="102" type="noConversion"/>
  </si>
  <si>
    <r>
      <t>일자</t>
    </r>
    <r>
      <rPr>
        <sz val="8"/>
        <rFont val="돋움"/>
        <family val="3"/>
        <charset val="129"/>
      </rPr>
      <t xml:space="preserve"> (Date)   </t>
    </r>
    <r>
      <rPr>
        <sz val="11"/>
        <rFont val="돋움"/>
        <family val="3"/>
        <charset val="129"/>
      </rPr>
      <t xml:space="preserve"> :                    </t>
    </r>
    <phoneticPr fontId="102" type="noConversion"/>
  </si>
  <si>
    <t>구코드</t>
    <phoneticPr fontId="101" type="noConversion"/>
  </si>
  <si>
    <t>②</t>
    <phoneticPr fontId="101" type="noConversion"/>
  </si>
  <si>
    <t>①</t>
    <phoneticPr fontId="101" type="noConversion"/>
  </si>
  <si>
    <t>GL5571</t>
  </si>
  <si>
    <t>글라소 에너지 500PET 2X6</t>
  </si>
  <si>
    <t>미닛 스파클링 청포도 345CAN 4X6</t>
  </si>
  <si>
    <t>TR8560</t>
  </si>
  <si>
    <t>토레타 240CAN 5X6</t>
  </si>
  <si>
    <t>GG8091</t>
  </si>
  <si>
    <t>GP8590</t>
  </si>
  <si>
    <t>골드피크 오리지널 470PET 4X6</t>
  </si>
  <si>
    <t>DU(동파.침수)</t>
    <phoneticPr fontId="101" type="noConversion"/>
  </si>
  <si>
    <t>MM4149</t>
  </si>
  <si>
    <t>MM4142</t>
  </si>
  <si>
    <t>미닛 스파클링 복숭아 345CAN 4X6</t>
  </si>
  <si>
    <t>FT6751</t>
  </si>
  <si>
    <t>환타 +C 레몬 355CAN 4X6</t>
  </si>
  <si>
    <t>GG8090</t>
  </si>
  <si>
    <t>GL5570</t>
  </si>
  <si>
    <t>글라소 파워씨 500PET 2X6</t>
  </si>
  <si>
    <t>MO5639</t>
  </si>
  <si>
    <t>몬스터 에너지 시트라 355CAN 4X6</t>
  </si>
  <si>
    <t>PA6277</t>
  </si>
  <si>
    <t>TR8571</t>
  </si>
  <si>
    <t>토레타 900PET 2X6</t>
  </si>
  <si>
    <t>SP6134</t>
  </si>
  <si>
    <t>S)스프라이트 1.25PET 2X6</t>
  </si>
  <si>
    <t>CC2531</t>
  </si>
  <si>
    <t>코카콜라 350CAN 4X6</t>
  </si>
  <si>
    <t>아데스 아몬드 초콜릿 210PET X24</t>
  </si>
  <si>
    <t>WT3181</t>
  </si>
  <si>
    <t>W차 식후비법 500PET 4X6</t>
  </si>
  <si>
    <t>AD4342</t>
  </si>
  <si>
    <t>아데스 아몬드 오리지널 210PET 4X6</t>
  </si>
  <si>
    <t>AD4343</t>
  </si>
  <si>
    <t>아데스 아몬드 초콜릿 210PET 4X6</t>
  </si>
  <si>
    <t>GG4881</t>
  </si>
  <si>
    <t>조지아 아메리카노 240CAN 5X6</t>
  </si>
  <si>
    <t>MM4147</t>
  </si>
  <si>
    <t>미닛 스파클링 사과 345CAN 4X6</t>
  </si>
  <si>
    <t>FT5749</t>
  </si>
  <si>
    <t>S)환타 파인 600PET 4X6</t>
  </si>
  <si>
    <t>미닛 홈스타일 오+자+청 180NRB 3X12</t>
  </si>
  <si>
    <t>MM6588</t>
  </si>
  <si>
    <t>미닛 플라워 벚꽃사과 350PET 4X6</t>
  </si>
  <si>
    <t>AB4219</t>
  </si>
  <si>
    <t>암바사 345CAN 4X6</t>
  </si>
  <si>
    <t>SP6107</t>
  </si>
  <si>
    <t>S)스프라이트 배 500PET 4X6</t>
  </si>
  <si>
    <t>GG5007</t>
  </si>
  <si>
    <t>조지아 단짠커피 240CAN 5X6</t>
  </si>
  <si>
    <t>CC5714</t>
  </si>
  <si>
    <t>코카콜라 벚꽃 250BTC X24</t>
  </si>
  <si>
    <t>GG8229</t>
  </si>
  <si>
    <t>조지아 아이스아메 220PU 5X10</t>
  </si>
  <si>
    <t>GG8230</t>
  </si>
  <si>
    <t>조지아 아이스블랙 220PU 5X10</t>
  </si>
  <si>
    <t>CC1512</t>
  </si>
  <si>
    <t>커피 코카콜라 250CAN 5X6</t>
  </si>
  <si>
    <t>IM3201</t>
  </si>
  <si>
    <t>일로하스 복숭아 555PET X12</t>
  </si>
  <si>
    <t>IM3202</t>
  </si>
  <si>
    <t>일로하스 배 555PET X12</t>
  </si>
  <si>
    <t>GG8067</t>
  </si>
  <si>
    <t>조지아 콜드브루 라떼 240CAN 5X6</t>
  </si>
  <si>
    <t>GG8068</t>
  </si>
  <si>
    <t>조지아 콜드브루 아메 240CAN 5X6</t>
  </si>
  <si>
    <t>GG8065</t>
  </si>
  <si>
    <t>GG8066</t>
  </si>
  <si>
    <t>조지아 크래프트 라떼 470PET 4X6</t>
  </si>
  <si>
    <t>TR8584</t>
  </si>
  <si>
    <t>토레타 로즈힙워터 500PET 4X6</t>
  </si>
  <si>
    <t>MM7943</t>
  </si>
  <si>
    <t>WT3182</t>
  </si>
  <si>
    <t>W차 신체건강 500PET 4X6</t>
  </si>
  <si>
    <t>MM7944</t>
  </si>
  <si>
    <t>미닛 감귤+알로에 180NRB 3X12</t>
  </si>
  <si>
    <t>SG4383</t>
  </si>
  <si>
    <t>씨그램 더탄산 레몬 450PET 4X6</t>
  </si>
  <si>
    <t>SG4384</t>
  </si>
  <si>
    <t>씨그램 더탄산 애플민트 450PET 4X6</t>
  </si>
  <si>
    <t>MM7945</t>
  </si>
  <si>
    <t>미닛 포도+감귤 180NRB 3X12</t>
  </si>
  <si>
    <t>MM7941</t>
  </si>
  <si>
    <t>조지아 고티카 콜드라떼 265BTC 4X6</t>
  </si>
  <si>
    <t>조지아 고티카 콜드아메 265BTC 4X6</t>
  </si>
  <si>
    <t>파워 퍼플스톰 600PET 4X6</t>
  </si>
  <si>
    <t>0449</t>
  </si>
  <si>
    <t>CC0449</t>
  </si>
  <si>
    <t>코카콜라 330CAN X24</t>
  </si>
  <si>
    <t>0451</t>
  </si>
  <si>
    <t>CC0451</t>
  </si>
  <si>
    <t>코카콜라 330CAN 4X6</t>
  </si>
  <si>
    <t>CC0453</t>
  </si>
  <si>
    <t>코카콜라 330CAN 4X6(4+2)</t>
  </si>
  <si>
    <t>CA1195</t>
  </si>
  <si>
    <t>캐나다 진저엘 355CAN X24</t>
  </si>
  <si>
    <t>CC1511</t>
  </si>
  <si>
    <t>커피 코카콜라 250CAN X30</t>
  </si>
  <si>
    <t>BQ1524</t>
  </si>
  <si>
    <t>바크 355CAN X24</t>
  </si>
  <si>
    <t>BQ1526</t>
  </si>
  <si>
    <t>바크 355CAN X18</t>
  </si>
  <si>
    <t>CC2450</t>
  </si>
  <si>
    <t>코카콜라 평창성화 185CAN 5X6</t>
  </si>
  <si>
    <t>CC2451</t>
  </si>
  <si>
    <t>코카콜라 증정용 185CAN X30</t>
  </si>
  <si>
    <t>CC2452</t>
  </si>
  <si>
    <t>코크제로 증정용 185CAN X30</t>
  </si>
  <si>
    <t>CC2453</t>
  </si>
  <si>
    <t>코크제로 185CAN 5X6</t>
  </si>
  <si>
    <t>CC2515</t>
  </si>
  <si>
    <t>QSR)코카콜라(생산용) 355CAN 4X6</t>
  </si>
  <si>
    <t>CC2516</t>
  </si>
  <si>
    <t>SSP)코카콜라(생산용) 355CAN 4X6</t>
  </si>
  <si>
    <t>CC2525</t>
  </si>
  <si>
    <t>코카콜라 평창성화 355CAN 4X6</t>
  </si>
  <si>
    <t>CC2532</t>
  </si>
  <si>
    <t>코카콜라 350CAN 6X4</t>
  </si>
  <si>
    <t>SK3089</t>
  </si>
  <si>
    <t>SK 키즈사과 210PET X20</t>
  </si>
  <si>
    <t>SK3109</t>
  </si>
  <si>
    <t>SK 허니자몽 240CAN X30</t>
  </si>
  <si>
    <t>WT3180</t>
  </si>
  <si>
    <t>W차 식후비법 500PET X24</t>
  </si>
  <si>
    <t>IM3200</t>
  </si>
  <si>
    <t>아야타카 525PET X12</t>
  </si>
  <si>
    <t>코카콜라 레몬 1.8PET X12</t>
  </si>
  <si>
    <t>SK3933</t>
  </si>
  <si>
    <t>SK 망고드링크 180CAN X30</t>
  </si>
  <si>
    <t>MM4141</t>
  </si>
  <si>
    <t>미닛 스파클링 복숭아 345CAN X24</t>
  </si>
  <si>
    <t>MM4145</t>
  </si>
  <si>
    <t>미닛 스파클링 청포도 185CAN 5X6</t>
  </si>
  <si>
    <t>MM4150</t>
  </si>
  <si>
    <t>미닛 스파클링 유자 345CAN X24</t>
  </si>
  <si>
    <t>MM4151</t>
  </si>
  <si>
    <t>미닛 스파클링 청포도 345CAN X24</t>
  </si>
  <si>
    <t>MM4152</t>
  </si>
  <si>
    <t>미닛 스파클링 사과 345CAN X24</t>
  </si>
  <si>
    <t>MM4153</t>
  </si>
  <si>
    <t>미닛 스파클링 유자 1.25PET X12</t>
  </si>
  <si>
    <t>MM4154</t>
  </si>
  <si>
    <t>미닛 스파클링 청포도 1.25PET X12</t>
  </si>
  <si>
    <t>MM4155</t>
  </si>
  <si>
    <t>미닛 스파클링 사과 1.25PET X12</t>
  </si>
  <si>
    <t>MM4156</t>
  </si>
  <si>
    <t>미닛 스파클링 유자 350PET X24</t>
  </si>
  <si>
    <t>MM4157</t>
  </si>
  <si>
    <t>미닛 스파클링 청포도 350PET X24</t>
  </si>
  <si>
    <t>MM4158</t>
  </si>
  <si>
    <t>미닛 스파클링 청포+유자 1.25PET 6X2</t>
  </si>
  <si>
    <t>MM4159</t>
  </si>
  <si>
    <t>미닛 스파클링 사과 350PET X24</t>
  </si>
  <si>
    <t>SG4203</t>
  </si>
  <si>
    <t>씨그램 레몬 C-C 325PET X30</t>
  </si>
  <si>
    <t>SG4204</t>
  </si>
  <si>
    <t>씨그램 자몽 C-C 325PET X30</t>
  </si>
  <si>
    <t>AB4218</t>
  </si>
  <si>
    <t>암바사 345CAN X24</t>
  </si>
  <si>
    <t>SG4227</t>
  </si>
  <si>
    <t>씨그램 라임 345CAN X24</t>
  </si>
  <si>
    <t>SG4233</t>
  </si>
  <si>
    <t>씨그램 워터 아티스트 500PET X20</t>
  </si>
  <si>
    <t>코코팜 포도 340CAN X24</t>
  </si>
  <si>
    <t>AD4340</t>
  </si>
  <si>
    <t>아데스 아몬드 오리지널 210PET X24</t>
  </si>
  <si>
    <t>AD4341</t>
  </si>
  <si>
    <t>CT4486</t>
  </si>
  <si>
    <t>코크+스프 롯마 1.5PET 6X2</t>
  </si>
  <si>
    <t>CT4495</t>
  </si>
  <si>
    <t>코크+스프+환타오렌지 390PET 8X3</t>
  </si>
  <si>
    <t>KI4557</t>
  </si>
  <si>
    <t>SP킨사이다 1.8PET X12</t>
  </si>
  <si>
    <t>PA4564</t>
  </si>
  <si>
    <t>파워 마운틴블라 900PET X12</t>
  </si>
  <si>
    <t>PA4567</t>
  </si>
  <si>
    <t>파워 퍼플스톰 1.5PET X12</t>
  </si>
  <si>
    <t>CC4605</t>
  </si>
  <si>
    <t>코카콜라 홍콩수출 210CAN 5X6</t>
  </si>
  <si>
    <t>CP4614</t>
  </si>
  <si>
    <t>코코팜 망고코넛 240CAN X30</t>
  </si>
  <si>
    <t>CC4623</t>
  </si>
  <si>
    <t>보100)코카콜라 190RGB X24</t>
  </si>
  <si>
    <t>KI4625</t>
  </si>
  <si>
    <t>보100)킨사이다 200RGB X24</t>
  </si>
  <si>
    <t>코카콜라 폴라베어 250NRB X24</t>
  </si>
  <si>
    <t>GG4880</t>
  </si>
  <si>
    <t>조지아 아메리카노 240CAN X30</t>
  </si>
  <si>
    <t>KM4925</t>
  </si>
  <si>
    <t>갈아만든배340CAN</t>
  </si>
  <si>
    <t>GG4997</t>
  </si>
  <si>
    <t>조지아 단짠커피 240CAN X30</t>
  </si>
  <si>
    <t>SP5050</t>
  </si>
  <si>
    <t>보100)스프라이트 355RGB X24</t>
  </si>
  <si>
    <t>CC5104</t>
  </si>
  <si>
    <t>코카콜라 1.6PET X4</t>
  </si>
  <si>
    <t>CC5113</t>
  </si>
  <si>
    <t>코카콜라 350PET 12X2</t>
  </si>
  <si>
    <t>CC5174</t>
  </si>
  <si>
    <t>코카콜라 390PET X12</t>
  </si>
  <si>
    <t>MM5292</t>
  </si>
  <si>
    <t>미닛 키즈오렌지 210PET X20</t>
  </si>
  <si>
    <t>MM5293</t>
  </si>
  <si>
    <t>MM5294</t>
  </si>
  <si>
    <t>미닛 키즈포도 210PET X20</t>
  </si>
  <si>
    <t>KI5302</t>
  </si>
  <si>
    <t>SP킨사이다 250CAN X30</t>
  </si>
  <si>
    <t>GS5375</t>
  </si>
  <si>
    <t>영진 구론산 탄산 오리지날 150NRB 3X10</t>
  </si>
  <si>
    <t>GS5386</t>
  </si>
  <si>
    <t>영진 구론산 홍삼연탄 150NRB 3X10</t>
  </si>
  <si>
    <t>GL5573</t>
  </si>
  <si>
    <t>글라소 XXX 500PET 2X6</t>
  </si>
  <si>
    <t>BS5614</t>
  </si>
  <si>
    <t>빼어날수 다이아EC 500PET X20</t>
  </si>
  <si>
    <t>MO5637</t>
  </si>
  <si>
    <t>몬스터 에너지 그린 250CAN X30</t>
  </si>
  <si>
    <t>MO5638</t>
  </si>
  <si>
    <t>몬스터 에너지 시트라 355CAN X24</t>
  </si>
  <si>
    <t>CC5695</t>
  </si>
  <si>
    <t>코카콜라 평창성화 250BTC 6X4</t>
  </si>
  <si>
    <t>CC5696</t>
  </si>
  <si>
    <t>코카콜라 인천대교 250BTC X24</t>
  </si>
  <si>
    <t>CC5697</t>
  </si>
  <si>
    <t>코카콜라 인천대교 250BTC 6X4</t>
  </si>
  <si>
    <t>CC5698</t>
  </si>
  <si>
    <t>코카콜라 평창성화 250BTC X24</t>
  </si>
  <si>
    <t>CC5721</t>
  </si>
  <si>
    <t>코카콜라 300PET X12</t>
  </si>
  <si>
    <t>CC5727</t>
  </si>
  <si>
    <t>코카콜라 카카오 250BTC X24</t>
  </si>
  <si>
    <t>CC5729</t>
  </si>
  <si>
    <t>코카콜라 300PET 2X12</t>
  </si>
  <si>
    <t>FT5740</t>
  </si>
  <si>
    <t>환타 오렌지 300PET 2X12</t>
  </si>
  <si>
    <t>SP5743</t>
  </si>
  <si>
    <t>스프라이트 300PET 2X12</t>
  </si>
  <si>
    <t>FT5744</t>
  </si>
  <si>
    <t>환타 오렌지 300PET X12</t>
  </si>
  <si>
    <t>SP5745</t>
  </si>
  <si>
    <t>스프라이트 300PET X12</t>
  </si>
  <si>
    <t>CH5750</t>
  </si>
  <si>
    <t>코크6+스프6+환타6+토레12 250CAN X30</t>
  </si>
  <si>
    <t>CT5751</t>
  </si>
  <si>
    <t>코크12+스프12+환타6 210CAN X30</t>
  </si>
  <si>
    <t>CC5757</t>
  </si>
  <si>
    <t>코카콜라 215CAN 5X6</t>
  </si>
  <si>
    <t>FT5758</t>
  </si>
  <si>
    <t>환타 오렌지 215CAN 5X6</t>
  </si>
  <si>
    <t>SP5759</t>
  </si>
  <si>
    <t>스프라이트 215CAN 5X6</t>
  </si>
  <si>
    <t>CC5761</t>
  </si>
  <si>
    <t>코카콜라 215CAN X30</t>
  </si>
  <si>
    <t>CC5762</t>
  </si>
  <si>
    <t>코카콜라 215CAN X12</t>
  </si>
  <si>
    <t>CC5763</t>
  </si>
  <si>
    <t>코카콜라 215CAN 3X10</t>
  </si>
  <si>
    <t>SP6106</t>
  </si>
  <si>
    <t>스프라이트 배 500PET X24</t>
  </si>
  <si>
    <t>KI6176</t>
  </si>
  <si>
    <t>보100)킨사이다 350RGB X24</t>
  </si>
  <si>
    <t>CC6195</t>
  </si>
  <si>
    <t>보100)코카콜라 355RGB X24</t>
  </si>
  <si>
    <t>FT6199</t>
  </si>
  <si>
    <t>보100)환타 오렌지 355RGB X24</t>
  </si>
  <si>
    <t>PA6274</t>
  </si>
  <si>
    <t>파워 마이티포스 600PET X20</t>
  </si>
  <si>
    <t>PA6276</t>
  </si>
  <si>
    <t>파워 퍼플스톰 600PET X20</t>
  </si>
  <si>
    <t>CC6312</t>
  </si>
  <si>
    <t>코카콜라 리본라벨 1.5PET X12</t>
  </si>
  <si>
    <t>MM6577</t>
  </si>
  <si>
    <t>미닛 오렌지+포도 1.2PET 6X2</t>
  </si>
  <si>
    <t>MM6578</t>
  </si>
  <si>
    <t>미닛 오렌지+감귤 1.2PET 6X2</t>
  </si>
  <si>
    <t>MM6579</t>
  </si>
  <si>
    <t>미닛 포도+감귤 1.2PET 6X2</t>
  </si>
  <si>
    <t>MM6587</t>
  </si>
  <si>
    <t>미닛 플라워 벚꽃사과 350PET X24</t>
  </si>
  <si>
    <t>MM6589</t>
  </si>
  <si>
    <t>미닛 플라워 장미포도 350PET X24</t>
  </si>
  <si>
    <t>MM6590</t>
  </si>
  <si>
    <t>미닛 플라워 벚꽃사과 1.2PET X12</t>
  </si>
  <si>
    <t>MM6591</t>
  </si>
  <si>
    <t>미닛 플라워 장미포도 1.2PET X12</t>
  </si>
  <si>
    <t>MM6592</t>
  </si>
  <si>
    <t>미닛 플라워 벚꽃+장미 1.2PET 6X2</t>
  </si>
  <si>
    <t>CC6671</t>
  </si>
  <si>
    <t>코카콜라 리본라벨 500PET X24</t>
  </si>
  <si>
    <t>CC6673</t>
  </si>
  <si>
    <t>코카콜라 리본라벨 500PET 8X3</t>
  </si>
  <si>
    <t>CC6675</t>
  </si>
  <si>
    <t>S)코카콜라 리본라벨 500PET 4X6</t>
  </si>
  <si>
    <t>FT6750</t>
  </si>
  <si>
    <t>환타 +C 레몬 355CAN X24</t>
  </si>
  <si>
    <t>MM7021</t>
  </si>
  <si>
    <t>미닛 홈스타일 오+오+자+청 1.2PET 3X4</t>
  </si>
  <si>
    <t>MM7038</t>
  </si>
  <si>
    <t>미닛 감귤+홈스 자몽 1.2PET 6X2</t>
  </si>
  <si>
    <t>MM7040</t>
  </si>
  <si>
    <t>미닛 감귤+홈스 청포도 1.2PET 6X2</t>
  </si>
  <si>
    <t>MM7042</t>
  </si>
  <si>
    <t>미닛 홈스타일사과 300PET X24</t>
  </si>
  <si>
    <t>MM7043</t>
  </si>
  <si>
    <t>미닛 홈스타일사과 1.2PET X12</t>
  </si>
  <si>
    <t>MM7044</t>
  </si>
  <si>
    <t>미닛 홈스타일 오렌+사과 1.2PET 6X2</t>
  </si>
  <si>
    <t>MM7045</t>
  </si>
  <si>
    <t>미닛 홈스타일 자몽+사과 1.2PET 6X2</t>
  </si>
  <si>
    <t>MM7046</t>
  </si>
  <si>
    <t>미닛 홈스타일 청포도+사과 1.2PET 6X2</t>
  </si>
  <si>
    <t>MM7047</t>
  </si>
  <si>
    <t>미닛 홈스타일오렌지 E-T 1.2PET X4</t>
  </si>
  <si>
    <t>MM7048</t>
  </si>
  <si>
    <t>미닛 홈스 오렌+청포도 증정 1.2PET 6X2</t>
  </si>
  <si>
    <t>MM7049</t>
  </si>
  <si>
    <t>미닛 홈스 오렌+사과 증정 1.2PET 6X2</t>
  </si>
  <si>
    <t>MJ7694</t>
  </si>
  <si>
    <t>몸에좋은 헛개칡차 1.5PET X12</t>
  </si>
  <si>
    <t>MJ7695</t>
  </si>
  <si>
    <t>몸에좋은 옥수수수염차 1.5PET X12</t>
  </si>
  <si>
    <t>MJ7696</t>
  </si>
  <si>
    <t>몸에좋은 헛개칡차 500PET X24</t>
  </si>
  <si>
    <t>MJ7697</t>
  </si>
  <si>
    <t>몸에좋은 옥수수수염차 500PET X24</t>
  </si>
  <si>
    <t>MM7888</t>
  </si>
  <si>
    <t>미닛 감귤+포도+망고 180NRB 3X12</t>
  </si>
  <si>
    <t>MM7917</t>
  </si>
  <si>
    <t>미닛 감귤+망고+토마 180NRB 4X9</t>
  </si>
  <si>
    <t>미닛 오50%+포40%+감+감 1.5PET 3X4</t>
  </si>
  <si>
    <t>MM7926</t>
  </si>
  <si>
    <t>미닛 오50%+포40%+감+알 1.5PET 3X4</t>
  </si>
  <si>
    <t>MM7927</t>
  </si>
  <si>
    <t>미닛 홈스타일 오+사+청 1.2PET</t>
  </si>
  <si>
    <t>미닛 오+자+청 180NRB 3X12</t>
  </si>
  <si>
    <t>GG8064</t>
  </si>
  <si>
    <t>조지아 더블렌드 240CAN X30</t>
  </si>
  <si>
    <t>GG8069</t>
  </si>
  <si>
    <t>조지아 고티카 블랙 240CAN 5X6</t>
  </si>
  <si>
    <t>GG8078</t>
  </si>
  <si>
    <t>조지아 고티카 아메 390BTC X12</t>
  </si>
  <si>
    <t>GG8093</t>
  </si>
  <si>
    <t>조지아 아이스아메 900PET X12</t>
  </si>
  <si>
    <t>GG8173</t>
  </si>
  <si>
    <t>조지아 고티카 콜드라떼 265BTC X18</t>
  </si>
  <si>
    <t>GG8174</t>
  </si>
  <si>
    <t>조지아 고티카 콜드아메 265BTC X18</t>
  </si>
  <si>
    <t>GG8179</t>
  </si>
  <si>
    <t>조지아 고티카 마스터스 250NRB X20</t>
  </si>
  <si>
    <t>GG8191</t>
  </si>
  <si>
    <t>조지아 콜드스윗아메 265BTC X18</t>
  </si>
  <si>
    <t>GG8227</t>
  </si>
  <si>
    <t>조지아 아이스블랙 170PU 5X10</t>
  </si>
  <si>
    <t>GG8240</t>
  </si>
  <si>
    <t>조지아 고티카에스 마일드 80PU 3X5</t>
  </si>
  <si>
    <t>GG8241</t>
  </si>
  <si>
    <t>조지아 고티카에스 다크 80PU 3X5</t>
  </si>
  <si>
    <t>GG8245</t>
  </si>
  <si>
    <t>조지아 고티카에스 마일드 300PU X4</t>
  </si>
  <si>
    <t>GG8246</t>
  </si>
  <si>
    <t>조지아 고티카에스 다크 300PU X4</t>
  </si>
  <si>
    <t>GG8249</t>
  </si>
  <si>
    <t>고티카에스 마일드2+다크2+컵 80PU 2X4</t>
  </si>
  <si>
    <t>TR8556</t>
  </si>
  <si>
    <t>토레타 C-C 500PET X16</t>
  </si>
  <si>
    <t>TR8557</t>
  </si>
  <si>
    <t>토레타 VIC 500PET X6</t>
  </si>
  <si>
    <t>TR8559</t>
  </si>
  <si>
    <t>토레타 900PET X12</t>
  </si>
  <si>
    <t>토레타 500ml (소분)</t>
    <phoneticPr fontId="106" type="noConversion"/>
  </si>
  <si>
    <t>TR8568</t>
  </si>
  <si>
    <t>토레타 340CAN X24</t>
  </si>
  <si>
    <t>TR8569</t>
  </si>
  <si>
    <t>토레타 240CAN X30</t>
  </si>
  <si>
    <t>TR8575</t>
  </si>
  <si>
    <t>토레타 990PET 2X6</t>
  </si>
  <si>
    <t>TR8576</t>
  </si>
  <si>
    <t>토레타 1.5PET 2X6</t>
  </si>
  <si>
    <t>TR8578</t>
  </si>
  <si>
    <t>토레타(컬러필름) 900PET 2X6</t>
  </si>
  <si>
    <t>TR8581</t>
  </si>
  <si>
    <t>토레타 C-C 500PET X20</t>
  </si>
  <si>
    <t>TR8583</t>
  </si>
  <si>
    <t>토레타 로즈힙워터 500PET X24</t>
  </si>
  <si>
    <t>GP8591</t>
  </si>
  <si>
    <t>골드피크 라즈베리 470PET 4X6</t>
  </si>
  <si>
    <t>GP8592</t>
  </si>
  <si>
    <t>골드피크 오리지널 470PET X24</t>
  </si>
  <si>
    <t>GP8593</t>
  </si>
  <si>
    <t>골드피크 라즈베리 470PET X24</t>
  </si>
  <si>
    <t>GP8594</t>
  </si>
  <si>
    <t>골드피크 오리지널 C-C 470PET X16</t>
  </si>
  <si>
    <t>GP8595</t>
  </si>
  <si>
    <t>골드피크 복숭아 5BIB X1</t>
  </si>
  <si>
    <t>GP8596</t>
  </si>
  <si>
    <t>골드피크 복숭아 240CAN X30</t>
  </si>
  <si>
    <t>FT8619</t>
  </si>
  <si>
    <t>보100)환타 파인 355RGB X24</t>
  </si>
  <si>
    <t>VS8713</t>
  </si>
  <si>
    <t>휘오 철원순수(6M) 500PET X20</t>
  </si>
  <si>
    <t>VS8714</t>
  </si>
  <si>
    <t>휘오 철원순수(6M) 2.0PET X6</t>
  </si>
  <si>
    <t>SD8831</t>
  </si>
  <si>
    <t>제주 삼다수 500PET X20</t>
  </si>
  <si>
    <t>SD8832</t>
  </si>
  <si>
    <t>제주 삼다수 2.0PET X6</t>
  </si>
  <si>
    <t>MJ9170</t>
  </si>
  <si>
    <t>갈아만든배(숙취비책)160CAN 5X6</t>
  </si>
  <si>
    <t>SK9200</t>
  </si>
  <si>
    <t>SK 키즈포도(로보카폴리)210</t>
  </si>
  <si>
    <t>코카콜라 한국 250BTC X24</t>
  </si>
  <si>
    <t>제품코드</t>
    <phoneticPr fontId="101" type="noConversion"/>
  </si>
  <si>
    <t>SAP코드</t>
    <phoneticPr fontId="101" type="noConversion"/>
  </si>
  <si>
    <t>제품명</t>
    <phoneticPr fontId="101" type="noConversion"/>
  </si>
  <si>
    <t>MO5636</t>
  </si>
  <si>
    <t>코리아세븐 양주</t>
    <phoneticPr fontId="101" type="noConversion"/>
  </si>
  <si>
    <t>MM6600</t>
  </si>
  <si>
    <t>미닛 코코구미 파인애플 300PET 4X6</t>
  </si>
  <si>
    <t>코크제로 1.5PET 2X6</t>
  </si>
  <si>
    <t>GG8223</t>
  </si>
  <si>
    <t>조지아 아이스아메 230PU 5X10</t>
  </si>
  <si>
    <t>GG8224</t>
  </si>
  <si>
    <t>조지아 아이스블랙 230PU 5X10</t>
  </si>
  <si>
    <t>스프라이트 익스트림 350PET 4X6</t>
  </si>
  <si>
    <t>구코드</t>
    <phoneticPr fontId="87" type="noConversion"/>
  </si>
  <si>
    <t>법적유효기간(일)</t>
    <phoneticPr fontId="87" type="noConversion"/>
  </si>
  <si>
    <t>유효잔여일</t>
    <phoneticPr fontId="87" type="noConversion"/>
  </si>
  <si>
    <t>GL5572</t>
    <phoneticPr fontId="87" type="noConversion"/>
  </si>
  <si>
    <t>몬스터 에너지 펀치 355CAN 4X6</t>
  </si>
  <si>
    <t>SP6138</t>
    <phoneticPr fontId="87" type="noConversion"/>
  </si>
  <si>
    <t>MM7942</t>
  </si>
  <si>
    <t>MM7947</t>
    <phoneticPr fontId="87" type="noConversion"/>
  </si>
  <si>
    <t>태양의마테차 350PET</t>
    <phoneticPr fontId="87" type="noConversion"/>
  </si>
  <si>
    <t>PA6279</t>
  </si>
  <si>
    <t>S)파워 메가볼츠 600PET 4X6</t>
  </si>
  <si>
    <t>조지아 크래프트 블랙 800PET 2X6</t>
  </si>
  <si>
    <t>MO5654</t>
  </si>
  <si>
    <t>몬스터 파라다이스 355CAN 4X6</t>
  </si>
  <si>
    <t>MM4042</t>
  </si>
  <si>
    <t>미닛 스파클링 청포도 칼로리 350CAN 4X6</t>
  </si>
  <si>
    <t>CA1205</t>
  </si>
  <si>
    <t>캐나다 토닉워터 350PET 4X6</t>
  </si>
  <si>
    <t>조지아 크래프트 밀크티 470PET 4X6</t>
  </si>
  <si>
    <t>Brand Name</t>
    <phoneticPr fontId="101" type="noConversion"/>
  </si>
  <si>
    <t>S)씨그램 애플 350PET 4X6</t>
  </si>
  <si>
    <t>AD4346</t>
    <phoneticPr fontId="87" type="noConversion"/>
  </si>
  <si>
    <t>아데스 아몬드 오리지널 190TTR 8X3</t>
    <phoneticPr fontId="87" type="noConversion"/>
  </si>
  <si>
    <t>AD4347</t>
    <phoneticPr fontId="87" type="noConversion"/>
  </si>
  <si>
    <t>아데스 아몬드 초콜릿 190TTR 8X3</t>
    <phoneticPr fontId="87" type="noConversion"/>
  </si>
  <si>
    <t>CC6725</t>
  </si>
  <si>
    <t>코카콜라 프로즌 130PU 3*10</t>
  </si>
  <si>
    <t>GG8181</t>
    <phoneticPr fontId="87" type="noConversion"/>
  </si>
  <si>
    <t>조지아 오리지널 350PET 4X6</t>
  </si>
  <si>
    <t>GG8143</t>
    <phoneticPr fontId="87" type="noConversion"/>
  </si>
  <si>
    <t>GG8115</t>
    <phoneticPr fontId="87" type="noConversion"/>
  </si>
  <si>
    <t>GG8057</t>
    <phoneticPr fontId="87" type="noConversion"/>
  </si>
  <si>
    <t>S)미닛 포도 350PET 4X6</t>
  </si>
  <si>
    <t>GG8058</t>
  </si>
  <si>
    <t>조지아 크래프트 스윗블랙 470PET 4X6</t>
  </si>
  <si>
    <t>BGF 화인로지텍</t>
    <phoneticPr fontId="101" type="noConversion"/>
  </si>
  <si>
    <t>BGF 로지스 안성</t>
    <phoneticPr fontId="101" type="noConversion"/>
  </si>
  <si>
    <t>BGF 로지스 김포</t>
    <phoneticPr fontId="101" type="noConversion"/>
  </si>
  <si>
    <t>BGF 동부로지스</t>
    <phoneticPr fontId="101" type="noConversion"/>
  </si>
  <si>
    <t>BGF 로지스 부천</t>
    <phoneticPr fontId="101" type="noConversion"/>
  </si>
  <si>
    <t>BGF 로지스 광주</t>
    <phoneticPr fontId="101" type="noConversion"/>
  </si>
  <si>
    <t>BGF 로지스 양주</t>
    <phoneticPr fontId="101" type="noConversion"/>
  </si>
  <si>
    <t>BGF 강화지점</t>
    <phoneticPr fontId="101" type="noConversion"/>
  </si>
  <si>
    <t>BGF 로지스 강릉</t>
    <phoneticPr fontId="101" type="noConversion"/>
  </si>
  <si>
    <t>코리아세븐 성남</t>
    <phoneticPr fontId="101" type="noConversion"/>
  </si>
  <si>
    <t>코리아세븐 인천</t>
    <phoneticPr fontId="101" type="noConversion"/>
  </si>
  <si>
    <t>코리아세븐 원주</t>
    <phoneticPr fontId="101" type="noConversion"/>
  </si>
  <si>
    <t>코리아세븐 서이천</t>
    <phoneticPr fontId="101" type="noConversion"/>
  </si>
  <si>
    <t>코리아세븐 구성</t>
    <phoneticPr fontId="101" type="noConversion"/>
  </si>
  <si>
    <t>조지아 크래프트 콜드블랙 370PET 4X6</t>
  </si>
  <si>
    <t>GG8052</t>
  </si>
  <si>
    <t>조지아 크래프트 콜드라떼 370PET 4X6</t>
  </si>
  <si>
    <t xml:space="preserve"> </t>
    <phoneticPr fontId="90" type="noConversion"/>
  </si>
  <si>
    <t>스프라이트 제로 355CAN 4X6</t>
  </si>
  <si>
    <t>SP6103</t>
  </si>
  <si>
    <t>S)스프라이트 제로 500PET 4X6</t>
  </si>
  <si>
    <t>코리아세븐 의왕</t>
    <phoneticPr fontId="101" type="noConversion"/>
  </si>
  <si>
    <t>MO5656</t>
  </si>
  <si>
    <t>몬스터 에너지 망고로코 355CAN 4X6</t>
  </si>
  <si>
    <t>파손품 음용금지</t>
    <phoneticPr fontId="101" type="noConversion"/>
  </si>
  <si>
    <t>창고외부 반출 금지</t>
    <phoneticPr fontId="101" type="noConversion"/>
  </si>
  <si>
    <t>GG8051</t>
  </si>
  <si>
    <t>서 세 진</t>
    <phoneticPr fontId="102" type="noConversion"/>
  </si>
  <si>
    <t>지 경 민</t>
    <phoneticPr fontId="101" type="noConversion"/>
  </si>
  <si>
    <t>(로드메이커)</t>
    <phoneticPr fontId="102" type="noConversion"/>
  </si>
  <si>
    <t>(담당체커)</t>
    <phoneticPr fontId="102" type="noConversion"/>
  </si>
  <si>
    <t>(담당자)</t>
    <phoneticPr fontId="102" type="noConversion"/>
  </si>
  <si>
    <t>서 세 진  (인)</t>
    <phoneticPr fontId="101" type="noConversion"/>
  </si>
  <si>
    <t>황 경 중   (인)</t>
    <phoneticPr fontId="102" type="noConversion"/>
  </si>
  <si>
    <t>BGF 로지스 중부</t>
    <phoneticPr fontId="101" type="noConversion"/>
  </si>
  <si>
    <t>Full 파렛트</t>
    <phoneticPr fontId="102" type="noConversion"/>
  </si>
  <si>
    <t>공 파렛트</t>
    <phoneticPr fontId="102" type="noConversion"/>
  </si>
  <si>
    <t>MIX 파렛트</t>
    <phoneticPr fontId="102" type="noConversion"/>
  </si>
  <si>
    <t>아주 파렛트</t>
    <phoneticPr fontId="102" type="noConversion"/>
  </si>
  <si>
    <t>렌탈 12형</t>
    <phoneticPr fontId="102" type="noConversion"/>
  </si>
  <si>
    <t>DP7988</t>
  </si>
  <si>
    <t>닥터페퍼 500PET 4X6</t>
  </si>
  <si>
    <t>SP6108</t>
    <phoneticPr fontId="87" type="noConversion"/>
  </si>
  <si>
    <t>미닛 오+청 180NRB 3X12</t>
  </si>
  <si>
    <t>MM7946</t>
  </si>
  <si>
    <t>연장18개월</t>
    <phoneticPr fontId="87" type="noConversion"/>
  </si>
  <si>
    <t>CC8279</t>
    <phoneticPr fontId="87" type="noConversion"/>
  </si>
  <si>
    <t>CA1206</t>
    <phoneticPr fontId="87" type="noConversion"/>
  </si>
  <si>
    <t>캐나다 진저에일 250CAN X12</t>
  </si>
  <si>
    <t>MO5656</t>
    <phoneticPr fontId="87" type="noConversion"/>
  </si>
  <si>
    <t>PT (자동계산)</t>
    <phoneticPr fontId="101" type="noConversion"/>
  </si>
  <si>
    <t>잔량 (자동계산)</t>
    <phoneticPr fontId="101" type="noConversion"/>
  </si>
  <si>
    <t>총수량 (상자단위입력)</t>
    <phoneticPr fontId="101" type="noConversion"/>
  </si>
  <si>
    <t>PT/CS</t>
    <phoneticPr fontId="101" type="noConversion"/>
  </si>
  <si>
    <t>75% 사용가능</t>
    <phoneticPr fontId="101" type="noConversion"/>
  </si>
  <si>
    <t>보류재고</t>
    <phoneticPr fontId="101" type="noConversion"/>
  </si>
  <si>
    <t>가스저장고</t>
    <phoneticPr fontId="101" type="noConversion"/>
  </si>
  <si>
    <t>합계</t>
    <phoneticPr fontId="101" type="noConversion"/>
  </si>
  <si>
    <t>토요일</t>
    <phoneticPr fontId="101" type="noConversion"/>
  </si>
  <si>
    <t>일요일</t>
    <phoneticPr fontId="101" type="noConversion"/>
  </si>
  <si>
    <t>SAP_출고된수량</t>
    <phoneticPr fontId="101" type="noConversion"/>
  </si>
  <si>
    <t>SAP_미출고수량(주간상차)</t>
    <phoneticPr fontId="101" type="noConversion"/>
  </si>
  <si>
    <t>SAP_총출고될 수량</t>
    <phoneticPr fontId="101" type="noConversion"/>
  </si>
  <si>
    <t>차이</t>
    <phoneticPr fontId="101" type="noConversion"/>
  </si>
  <si>
    <t>재고실사일</t>
    <phoneticPr fontId="101" type="noConversion"/>
  </si>
  <si>
    <t>조지아 스윗아메 230PU 5X10</t>
  </si>
  <si>
    <t>GG8265</t>
  </si>
  <si>
    <t>조지아 라떼니스타 크리미 280PET 4X6</t>
  </si>
  <si>
    <t>TR8588</t>
  </si>
  <si>
    <t>토레타 THE락토 500PET 4X6</t>
  </si>
  <si>
    <t>GG8266</t>
  </si>
  <si>
    <t>조지아 라떼니스타 카라멜 280PET 4X6</t>
  </si>
  <si>
    <t>MM4044</t>
  </si>
  <si>
    <t>미닛 스파클링 사과 칼로리 350CAN 4X6</t>
  </si>
  <si>
    <t>BGF 로지스 남양주</t>
    <phoneticPr fontId="101" type="noConversion"/>
  </si>
  <si>
    <t>조지아 카페 헤이즐넛 아메 500PET 4X6</t>
  </si>
  <si>
    <t>파워에이드 프로틴 355PET 4X6</t>
  </si>
  <si>
    <t>대신 3PL이송 여주체커 사무실앞</t>
    <phoneticPr fontId="101" type="noConversion"/>
  </si>
  <si>
    <t>SG4463</t>
  </si>
  <si>
    <t>S)씨그램 피치 350PET 4X6</t>
  </si>
  <si>
    <t>조지아 카페 마일드 라떼 500PET 4X6</t>
  </si>
  <si>
    <t>FT3214</t>
  </si>
  <si>
    <t>PA6280</t>
  </si>
  <si>
    <t>TY8202</t>
  </si>
  <si>
    <t>태양의 원차 주전자차 보리 500PET 4X6</t>
  </si>
  <si>
    <t>TY8204</t>
  </si>
  <si>
    <t>태양의 원차 주전자차 옥수수 500PET 4X6</t>
  </si>
  <si>
    <t>MO5628</t>
  </si>
  <si>
    <t>몬스터 에너지 제로슈거 355CAN 4X6</t>
  </si>
  <si>
    <t>CC8452</t>
    <phoneticPr fontId="87" type="noConversion"/>
  </si>
  <si>
    <t>코크제로 마시멜로 355CAN 4X6</t>
  </si>
  <si>
    <t>BGF 로지스 아산</t>
    <phoneticPr fontId="101" type="noConversion"/>
  </si>
  <si>
    <t>아주</t>
    <phoneticPr fontId="101" type="noConversion"/>
  </si>
  <si>
    <t>SP6098</t>
  </si>
  <si>
    <t>스프라이트 제로 1L PET X12</t>
  </si>
  <si>
    <t>신코드</t>
    <phoneticPr fontId="87" type="noConversion"/>
  </si>
  <si>
    <t>CC0001</t>
    <phoneticPr fontId="87" type="noConversion"/>
  </si>
  <si>
    <t>CC0446</t>
    <phoneticPr fontId="87" type="noConversion"/>
  </si>
  <si>
    <t>CC2519</t>
    <phoneticPr fontId="87" type="noConversion"/>
  </si>
  <si>
    <t>CC2521</t>
    <phoneticPr fontId="87" type="noConversion"/>
  </si>
  <si>
    <t>CC2522</t>
    <phoneticPr fontId="87" type="noConversion"/>
  </si>
  <si>
    <t>CC2524</t>
    <phoneticPr fontId="87" type="noConversion"/>
  </si>
  <si>
    <t>CC2527</t>
    <phoneticPr fontId="87" type="noConversion"/>
  </si>
  <si>
    <t>CC2529</t>
    <phoneticPr fontId="87" type="noConversion"/>
  </si>
  <si>
    <t>CC3394</t>
    <phoneticPr fontId="87" type="noConversion"/>
  </si>
  <si>
    <t>CC3395</t>
    <phoneticPr fontId="87" type="noConversion"/>
  </si>
  <si>
    <t>CC3396</t>
    <phoneticPr fontId="87" type="noConversion"/>
  </si>
  <si>
    <t>cc3397</t>
    <phoneticPr fontId="87" type="noConversion"/>
  </si>
  <si>
    <t>CC4634</t>
    <phoneticPr fontId="87" type="noConversion"/>
  </si>
  <si>
    <t>CC4635</t>
    <phoneticPr fontId="87" type="noConversion"/>
  </si>
  <si>
    <t>cc5703</t>
    <phoneticPr fontId="87" type="noConversion"/>
  </si>
  <si>
    <t>CC6674</t>
    <phoneticPr fontId="87" type="noConversion"/>
  </si>
  <si>
    <t>CC7539</t>
  </si>
  <si>
    <t>코크제로 스타더스트 355CAN 4X6</t>
  </si>
  <si>
    <t>CP4270</t>
    <phoneticPr fontId="87" type="noConversion"/>
  </si>
  <si>
    <t>CP4284</t>
    <phoneticPr fontId="87" type="noConversion"/>
  </si>
  <si>
    <t>FT5101</t>
    <phoneticPr fontId="87" type="noConversion"/>
  </si>
  <si>
    <t>FT5102</t>
    <phoneticPr fontId="87" type="noConversion"/>
  </si>
  <si>
    <t>FT5736</t>
    <phoneticPr fontId="87" type="noConversion"/>
  </si>
  <si>
    <t>GG0003</t>
    <phoneticPr fontId="87" type="noConversion"/>
  </si>
  <si>
    <t>GG0004</t>
    <phoneticPr fontId="87" type="noConversion"/>
  </si>
  <si>
    <t>GG8096</t>
    <phoneticPr fontId="87" type="noConversion"/>
  </si>
  <si>
    <t>GG8097</t>
    <phoneticPr fontId="87" type="noConversion"/>
  </si>
  <si>
    <t>GG8141</t>
    <phoneticPr fontId="87" type="noConversion"/>
  </si>
  <si>
    <t>GG8142</t>
    <phoneticPr fontId="87" type="noConversion"/>
  </si>
  <si>
    <t>GG8143</t>
    <phoneticPr fontId="87" type="noConversion"/>
  </si>
  <si>
    <t>GG8166</t>
    <phoneticPr fontId="87" type="noConversion"/>
  </si>
  <si>
    <t>GG8167</t>
    <phoneticPr fontId="87" type="noConversion"/>
  </si>
  <si>
    <t>GG8222</t>
    <phoneticPr fontId="87" type="noConversion"/>
  </si>
  <si>
    <t>GG8268</t>
    <phoneticPr fontId="87" type="noConversion"/>
  </si>
  <si>
    <t>GG8269</t>
    <phoneticPr fontId="87" type="noConversion"/>
  </si>
  <si>
    <t>GL5453</t>
    <phoneticPr fontId="87" type="noConversion"/>
  </si>
  <si>
    <t>GL5454</t>
    <phoneticPr fontId="87" type="noConversion"/>
  </si>
  <si>
    <t>GL5455</t>
    <phoneticPr fontId="87" type="noConversion"/>
  </si>
  <si>
    <t>GS0005</t>
    <phoneticPr fontId="87" type="noConversion"/>
  </si>
  <si>
    <t>GS5370</t>
    <phoneticPr fontId="87" type="noConversion"/>
  </si>
  <si>
    <t>HO8210</t>
    <phoneticPr fontId="87" type="noConversion"/>
  </si>
  <si>
    <t>HO8211</t>
    <phoneticPr fontId="87" type="noConversion"/>
  </si>
  <si>
    <t>KZ7857</t>
    <phoneticPr fontId="87" type="noConversion"/>
  </si>
  <si>
    <t>MM0004</t>
    <phoneticPr fontId="87" type="noConversion"/>
  </si>
  <si>
    <t>MM0005</t>
    <phoneticPr fontId="87" type="noConversion"/>
  </si>
  <si>
    <t>MM0006</t>
    <phoneticPr fontId="87" type="noConversion"/>
  </si>
  <si>
    <t>MM0007</t>
    <phoneticPr fontId="87" type="noConversion"/>
  </si>
  <si>
    <t>MM0008</t>
    <phoneticPr fontId="87" type="noConversion"/>
  </si>
  <si>
    <t>MM0010</t>
    <phoneticPr fontId="87" type="noConversion"/>
  </si>
  <si>
    <t>MM7009</t>
    <phoneticPr fontId="87" type="noConversion"/>
  </si>
  <si>
    <t>MM7010</t>
    <phoneticPr fontId="87" type="noConversion"/>
  </si>
  <si>
    <t>MM7013</t>
    <phoneticPr fontId="87" type="noConversion"/>
  </si>
  <si>
    <t>MM7014</t>
    <phoneticPr fontId="87" type="noConversion"/>
  </si>
  <si>
    <t>MM7015</t>
    <phoneticPr fontId="87" type="noConversion"/>
  </si>
  <si>
    <t>MM7016</t>
    <phoneticPr fontId="87" type="noConversion"/>
  </si>
  <si>
    <t>MM7017</t>
    <phoneticPr fontId="87" type="noConversion"/>
  </si>
  <si>
    <t>MM7018</t>
    <phoneticPr fontId="87" type="noConversion"/>
  </si>
  <si>
    <t>MM7019</t>
    <phoneticPr fontId="87" type="noConversion"/>
  </si>
  <si>
    <t>MM7020</t>
    <phoneticPr fontId="87" type="noConversion"/>
  </si>
  <si>
    <t>MM7034</t>
    <phoneticPr fontId="87" type="noConversion"/>
  </si>
  <si>
    <t>MM7916</t>
    <phoneticPr fontId="87" type="noConversion"/>
  </si>
  <si>
    <t>MM7922</t>
    <phoneticPr fontId="87" type="noConversion"/>
  </si>
  <si>
    <t>MM7925</t>
    <phoneticPr fontId="87" type="noConversion"/>
  </si>
  <si>
    <t>MO5643</t>
    <phoneticPr fontId="87" type="noConversion"/>
  </si>
  <si>
    <t>PA6873</t>
    <phoneticPr fontId="87" type="noConversion"/>
  </si>
  <si>
    <t>SG4236</t>
    <phoneticPr fontId="87" type="noConversion"/>
  </si>
  <si>
    <t>씨그램  라임 450X24</t>
    <phoneticPr fontId="87" type="noConversion"/>
  </si>
  <si>
    <t>SG4374</t>
    <phoneticPr fontId="87" type="noConversion"/>
  </si>
  <si>
    <t>SG4441</t>
    <phoneticPr fontId="87" type="noConversion"/>
  </si>
  <si>
    <t>SK3088</t>
    <phoneticPr fontId="87" type="noConversion"/>
  </si>
  <si>
    <t>SK3120</t>
    <phoneticPr fontId="87" type="noConversion"/>
  </si>
  <si>
    <t>SK4237</t>
    <phoneticPr fontId="87" type="noConversion"/>
  </si>
  <si>
    <t>SP4177</t>
    <phoneticPr fontId="87" type="noConversion"/>
  </si>
  <si>
    <t>TR8564</t>
    <phoneticPr fontId="87" type="noConversion"/>
  </si>
  <si>
    <t>TY0002</t>
    <phoneticPr fontId="87" type="noConversion"/>
  </si>
  <si>
    <t>YJ5377</t>
    <phoneticPr fontId="87" type="noConversion"/>
  </si>
  <si>
    <t>자연재해</t>
    <phoneticPr fontId="101" type="noConversion"/>
  </si>
  <si>
    <t>BGF 로지스 청라</t>
    <phoneticPr fontId="101" type="noConversion"/>
  </si>
  <si>
    <t>BGF 로지스 인천</t>
    <phoneticPr fontId="101" type="noConversion"/>
  </si>
  <si>
    <t>코크제로 드림월드 355CAN 4X6</t>
  </si>
  <si>
    <t>CC8453</t>
    <phoneticPr fontId="101" type="noConversion"/>
  </si>
  <si>
    <t>대신물류 B동</t>
    <phoneticPr fontId="101" type="noConversion"/>
  </si>
  <si>
    <t>대신물류B동 재고현황</t>
    <phoneticPr fontId="87" type="noConversion"/>
  </si>
  <si>
    <t>닥터페퍼 제로 355CAN 4X6</t>
  </si>
  <si>
    <t>DP7991</t>
    <phoneticPr fontId="101" type="noConversion"/>
  </si>
  <si>
    <t>Y3</t>
    <phoneticPr fontId="101" type="noConversion"/>
  </si>
  <si>
    <t>Y2</t>
    <phoneticPr fontId="101" type="noConversion"/>
  </si>
  <si>
    <t>파워 제로 마운틴블라 600PET 4X6</t>
  </si>
  <si>
    <t>PA0002</t>
    <phoneticPr fontId="101" type="noConversion"/>
  </si>
  <si>
    <t>조지아 오리지널 200CAN 5X6</t>
  </si>
  <si>
    <t>GG8259</t>
    <phoneticPr fontId="101" type="noConversion"/>
  </si>
  <si>
    <t>조지아 크래프트 저칼로리라떼 470PET 4X6</t>
  </si>
  <si>
    <t>GG8278</t>
    <phoneticPr fontId="101" type="noConversion"/>
  </si>
  <si>
    <t>GG8275</t>
  </si>
  <si>
    <t>조지아 크래프트 콜드블랙 470PET 4X6</t>
  </si>
  <si>
    <t>MO5662</t>
    <phoneticPr fontId="101" type="noConversion"/>
  </si>
  <si>
    <t>FT2534</t>
    <phoneticPr fontId="101" type="noConversion"/>
  </si>
  <si>
    <t>CC0454</t>
    <phoneticPr fontId="101" type="noConversion"/>
  </si>
  <si>
    <t>코크 제로 레몬 355CAN 4X6</t>
    <phoneticPr fontId="101" type="noConversion"/>
  </si>
  <si>
    <t>몬스터 에너지 선라이즈 355CAN 4X6</t>
    <phoneticPr fontId="101" type="noConversion"/>
  </si>
  <si>
    <t>환타 제로 파인 355CAN 4X6</t>
    <phoneticPr fontId="101" type="noConversion"/>
  </si>
  <si>
    <t>토 주간풀</t>
    <phoneticPr fontId="101" type="noConversion"/>
  </si>
  <si>
    <t>코리아세븐 천안</t>
    <phoneticPr fontId="101" type="noConversion"/>
  </si>
  <si>
    <t xml:space="preserve"> </t>
    <phoneticPr fontId="101" type="noConversion"/>
  </si>
  <si>
    <t>코리아세븐 인천B</t>
    <phoneticPr fontId="101" type="noConversion"/>
  </si>
  <si>
    <t>코크제로 레전드 355CAN 4X6</t>
  </si>
  <si>
    <t>CC5770</t>
    <phoneticPr fontId="101" type="noConversion"/>
  </si>
  <si>
    <t>롯데CVS711_MS이천</t>
    <phoneticPr fontId="101" type="noConversion"/>
  </si>
  <si>
    <t>CC5771</t>
    <phoneticPr fontId="101" type="noConversion"/>
  </si>
  <si>
    <t>코크제로 제로 250CAN 5X6</t>
    <phoneticPr fontId="101" type="noConversion"/>
  </si>
  <si>
    <t>CC0455</t>
    <phoneticPr fontId="101" type="noConversion"/>
  </si>
  <si>
    <t>코크제로 레몬 500PET 4X6</t>
    <phoneticPr fontId="101" type="noConversion"/>
  </si>
  <si>
    <t>BGF 로지스 남사</t>
    <phoneticPr fontId="101" type="noConversion"/>
  </si>
  <si>
    <t>CC5774</t>
  </si>
  <si>
    <t>코크레드 350ml CAN 2 X 12 +타투스티커</t>
  </si>
  <si>
    <t>CC5181</t>
  </si>
  <si>
    <t>코카콜라 무라벨 370PET X6</t>
  </si>
  <si>
    <t>CC5182</t>
  </si>
  <si>
    <t>코크제로 무라벨 370PET X6</t>
  </si>
  <si>
    <t>암바사 by 환타 345CAN 4X6</t>
  </si>
  <si>
    <t>MM7949</t>
    <phoneticPr fontId="101" type="noConversion"/>
  </si>
  <si>
    <t>미닛 오+포+알 180NRB 3X12</t>
    <phoneticPr fontId="101" type="noConversion"/>
  </si>
  <si>
    <t>S)코카콜라 500PET 4X6</t>
    <phoneticPr fontId="101" type="noConversion"/>
  </si>
  <si>
    <t>S)코크제로 500PET 4X6</t>
    <phoneticPr fontId="101" type="noConversion"/>
  </si>
  <si>
    <t>S)파워 마운틴블라 600PET 4X6</t>
    <phoneticPr fontId="101" type="noConversion"/>
  </si>
  <si>
    <t>조지아 크래프트 블랙 470PET 4X6</t>
    <phoneticPr fontId="101" type="noConversion"/>
  </si>
  <si>
    <t>BW(지게차 작업파손)</t>
    <phoneticPr fontId="101" type="noConversion"/>
  </si>
  <si>
    <t>BF(로드믹싱 작업파손)</t>
    <phoneticPr fontId="101" type="noConversion"/>
  </si>
  <si>
    <t>이송파손</t>
    <phoneticPr fontId="101" type="noConversion"/>
  </si>
  <si>
    <t>수송 기사파손</t>
    <phoneticPr fontId="101" type="noConversion"/>
  </si>
  <si>
    <t>루트 파손</t>
    <phoneticPr fontId="101" type="noConversion"/>
  </si>
  <si>
    <t>조지아고티카라떼270B X20</t>
    <phoneticPr fontId="101" type="noConversion"/>
  </si>
  <si>
    <t>S조지아고티카라떼270B 4X6</t>
    <phoneticPr fontId="101" type="noConversion"/>
  </si>
  <si>
    <t>코크레드 250CAN 4X6 + 뉴진스 포토엽서</t>
    <phoneticPr fontId="101" type="noConversion"/>
  </si>
  <si>
    <t>CC1301</t>
    <phoneticPr fontId="101" type="noConversion"/>
  </si>
  <si>
    <t>미닛 허니&amp;유자 280PET 4X6</t>
    <phoneticPr fontId="101" type="noConversion"/>
  </si>
  <si>
    <t>미닛 모과&amp;생강 280PET 4X6</t>
    <phoneticPr fontId="101" type="noConversion"/>
  </si>
  <si>
    <t>MM1000</t>
    <phoneticPr fontId="101" type="noConversion"/>
  </si>
  <si>
    <t>MM1001</t>
    <phoneticPr fontId="101" type="noConversion"/>
  </si>
  <si>
    <t>BW(지게차 작업파손)</t>
    <phoneticPr fontId="101" type="noConversion"/>
  </si>
  <si>
    <t>BF(로드믹싱 작업파손)</t>
    <phoneticPr fontId="101" type="noConversion"/>
  </si>
  <si>
    <t>MM1002</t>
    <phoneticPr fontId="101" type="noConversion"/>
  </si>
  <si>
    <t>미닛 레몬에이드 350PET 4X6</t>
    <phoneticPr fontId="101" type="noConversion"/>
  </si>
  <si>
    <t>내부소비기한(일)
(QA기준)</t>
  </si>
  <si>
    <t>내부소비기한
(SCM기준)</t>
  </si>
  <si>
    <t>소비기한</t>
  </si>
  <si>
    <t>MM1005</t>
    <phoneticPr fontId="101" type="noConversion"/>
  </si>
  <si>
    <t>미닛 레몬에이드 탄산 500PET 4X6</t>
    <phoneticPr fontId="101" type="noConversion"/>
  </si>
  <si>
    <t>MM1003</t>
  </si>
  <si>
    <t>미닛 레몬에이드 제로 350PET 4X6</t>
    <phoneticPr fontId="101" type="noConversion"/>
  </si>
  <si>
    <t>TR8590</t>
  </si>
  <si>
    <t>CA1213</t>
  </si>
  <si>
    <t>CA1215</t>
  </si>
  <si>
    <t>토레타 제로500PET 4x6</t>
  </si>
  <si>
    <t>캐나다 토닉워터 300PET 4X6</t>
  </si>
  <si>
    <t>캐나다 진저에일 토닉 제로 300PET 4X6</t>
  </si>
  <si>
    <t>코크제로 한류 355CAN 4X6</t>
    <phoneticPr fontId="101" type="noConversion"/>
  </si>
  <si>
    <t>CC5778</t>
    <phoneticPr fontId="101" type="noConversion"/>
  </si>
  <si>
    <t>MO5664</t>
    <phoneticPr fontId="101" type="noConversion"/>
  </si>
  <si>
    <t>몬스터 에너지 피치킨 355CAN 4X6</t>
    <phoneticPr fontId="101" type="noConversion"/>
  </si>
  <si>
    <t>FT2536</t>
    <phoneticPr fontId="101" type="noConversion"/>
  </si>
  <si>
    <t>환타 제로 오렌지 355CAN 4X6</t>
    <phoneticPr fontId="101" type="noConversion"/>
  </si>
  <si>
    <t>S)파워 스칼렛스톰 600PET 4X6</t>
    <phoneticPr fontId="101" type="noConversion"/>
  </si>
  <si>
    <t>PA6285</t>
    <phoneticPr fontId="101" type="noConversion"/>
  </si>
  <si>
    <t>CC5782</t>
    <phoneticPr fontId="101" type="noConversion"/>
  </si>
  <si>
    <t>코크제로 체리 500PET 4X6</t>
    <phoneticPr fontId="101" type="noConversion"/>
  </si>
  <si>
    <t>S)조지아 리치아로마 라떼 270BTC 4X6</t>
    <phoneticPr fontId="101" type="noConversion"/>
  </si>
  <si>
    <t>S)조지아 리치아로마 블랙 270BTC 4X6</t>
    <phoneticPr fontId="101" type="noConversion"/>
  </si>
  <si>
    <t>MO5668</t>
    <phoneticPr fontId="101" type="noConversion"/>
  </si>
  <si>
    <t>몬스터 오지 레모네이드 355CAN 4X6</t>
    <phoneticPr fontId="101" type="noConversion"/>
  </si>
  <si>
    <t>코카콜라 490CAN 6X4</t>
    <phoneticPr fontId="101" type="noConversion"/>
  </si>
  <si>
    <t>CC5186</t>
    <phoneticPr fontId="101" type="noConversion"/>
  </si>
  <si>
    <t>CC5189</t>
  </si>
  <si>
    <t>코크제로 490ml CAN 6X4</t>
  </si>
  <si>
    <t>CC5191</t>
    <phoneticPr fontId="101" type="noConversion"/>
  </si>
  <si>
    <t>CC5192</t>
    <phoneticPr fontId="101" type="noConversion"/>
  </si>
  <si>
    <t>이 진 호</t>
    <phoneticPr fontId="102" type="noConversion"/>
  </si>
  <si>
    <t>CC7928</t>
    <phoneticPr fontId="101" type="noConversion"/>
  </si>
  <si>
    <t>코카콜라 500PET 2X12 +올림픽 쿨러백</t>
    <phoneticPr fontId="101" type="noConversion"/>
  </si>
  <si>
    <t>GG8285</t>
  </si>
  <si>
    <t>조지아 디카페인블랙 470PET X24</t>
    <phoneticPr fontId="101" type="noConversion"/>
  </si>
  <si>
    <t>CC5777</t>
    <phoneticPr fontId="87" type="noConversion"/>
  </si>
  <si>
    <t>코크제로 350CAN 4X6</t>
    <phoneticPr fontId="101" type="noConversion"/>
  </si>
  <si>
    <t>DP7994</t>
    <phoneticPr fontId="101" type="noConversion"/>
  </si>
  <si>
    <t>닥터페퍼 제로 350CAN 4X6</t>
    <phoneticPr fontId="101" type="noConversion"/>
  </si>
  <si>
    <t>FT4182</t>
    <phoneticPr fontId="101" type="noConversion"/>
  </si>
  <si>
    <t>환타 제로 오렌지 350CAN 4X6</t>
    <phoneticPr fontId="101" type="noConversion"/>
  </si>
  <si>
    <t>FT4181</t>
    <phoneticPr fontId="101" type="noConversion"/>
  </si>
  <si>
    <t>환타 제로 파인 350CAN 4X6</t>
    <phoneticPr fontId="101" type="noConversion"/>
  </si>
  <si>
    <t>FT4181</t>
    <phoneticPr fontId="101" type="noConversion"/>
  </si>
  <si>
    <t>스프라이트(신350C 4X6</t>
    <phoneticPr fontId="101" type="noConversion"/>
  </si>
  <si>
    <t>SP4179</t>
    <phoneticPr fontId="101" type="noConversion"/>
  </si>
  <si>
    <t>SP4181</t>
    <phoneticPr fontId="101" type="noConversion"/>
  </si>
  <si>
    <t>SP4181</t>
    <phoneticPr fontId="87" type="noConversion"/>
  </si>
  <si>
    <t>스프라이트 제로 350CAN 4X6</t>
    <phoneticPr fontId="101" type="noConversion"/>
  </si>
  <si>
    <t>SP4181</t>
    <phoneticPr fontId="90" type="noConversion"/>
  </si>
  <si>
    <t>FT4181</t>
  </si>
  <si>
    <t>FT4181</t>
    <phoneticPr fontId="90" type="noConversion"/>
  </si>
  <si>
    <t>FT4181</t>
    <phoneticPr fontId="101" type="noConversion"/>
  </si>
  <si>
    <t>FT4177</t>
  </si>
  <si>
    <t>S)환타 오렌지 350CAN 4X6</t>
    <phoneticPr fontId="101" type="noConversion"/>
  </si>
  <si>
    <t>CC5194</t>
    <phoneticPr fontId="101" type="noConversion"/>
  </si>
  <si>
    <t>S)코크제로 레몬 350CAN 4X6</t>
    <phoneticPr fontId="101" type="noConversion"/>
  </si>
  <si>
    <t>BGF 로지스 곤지암</t>
    <phoneticPr fontId="101" type="noConversion"/>
  </si>
  <si>
    <t>MO5672</t>
    <phoneticPr fontId="101" type="noConversion"/>
  </si>
  <si>
    <t>MO5673</t>
  </si>
  <si>
    <t>몬스터 에너지 그린 500CAN 4X6</t>
    <phoneticPr fontId="101" type="noConversion"/>
  </si>
  <si>
    <t>몬스터 에너지 울트라 500CAN 4X6</t>
    <phoneticPr fontId="101" type="noConversion"/>
  </si>
  <si>
    <t>BGF 로지스 서인천</t>
    <phoneticPr fontId="101" type="noConversion"/>
  </si>
  <si>
    <t>PC5651</t>
    <phoneticPr fontId="101" type="noConversion"/>
  </si>
  <si>
    <t>KC4969</t>
    <phoneticPr fontId="101" type="noConversion"/>
  </si>
  <si>
    <t>GS0012</t>
    <phoneticPr fontId="101" type="noConversion"/>
  </si>
  <si>
    <t>KM2825</t>
    <phoneticPr fontId="101" type="noConversion"/>
  </si>
  <si>
    <t>영진 구론산 오리지날액 150NRB 3X10</t>
    <phoneticPr fontId="101" type="noConversion"/>
  </si>
  <si>
    <t>S)과일촌 아침에사과 500PET 4X6</t>
    <phoneticPr fontId="101" type="noConversion"/>
  </si>
  <si>
    <t>S)갈아만든 배 500PET 4X6</t>
    <phoneticPr fontId="101" type="noConversion"/>
  </si>
  <si>
    <t>강원평창수(올림픽) 500PET X20</t>
    <phoneticPr fontId="101" type="noConversion"/>
  </si>
  <si>
    <t>GS0012</t>
  </si>
  <si>
    <t>영진 구론산 오리지날액 150NRB 3X10</t>
  </si>
  <si>
    <t>KC4969</t>
  </si>
  <si>
    <t>S)과일촌 아침에사과 500PET 4X6</t>
  </si>
  <si>
    <t>KM2825</t>
  </si>
  <si>
    <t>S)갈아만든 배 500PET 4X6</t>
  </si>
  <si>
    <t>PC5651</t>
  </si>
  <si>
    <t>강원평창수(올림픽) 500PET X20</t>
  </si>
  <si>
    <t>KM2826</t>
  </si>
  <si>
    <t>KM4929</t>
  </si>
  <si>
    <t>KM4929</t>
    <phoneticPr fontId="101" type="noConversion"/>
  </si>
  <si>
    <t>KM4935</t>
  </si>
  <si>
    <t>KM4935</t>
    <phoneticPr fontId="101" type="noConversion"/>
  </si>
  <si>
    <t>KM4290</t>
  </si>
  <si>
    <t>KM4290</t>
    <phoneticPr fontId="101" type="noConversion"/>
  </si>
  <si>
    <t>갈아만든 배 1.5PET X6</t>
  </si>
  <si>
    <t>갈아만든 배 1.5PET X6</t>
    <phoneticPr fontId="101" type="noConversion"/>
  </si>
  <si>
    <t>S)갈배 사이다 500PET 4X6</t>
  </si>
  <si>
    <t>S)갈아만든 배 340CAN 4X6</t>
  </si>
  <si>
    <t>S)갈아만든 배 340CAN 4X6</t>
    <phoneticPr fontId="101" type="noConversion"/>
  </si>
  <si>
    <t>S)갈배 사이다 제로 500PET 4X6</t>
  </si>
  <si>
    <t>S)갈배 사이다 제로 500PET 4X6</t>
    <phoneticPr fontId="101" type="noConversion"/>
  </si>
  <si>
    <t>코리아세븐 송파</t>
    <phoneticPr fontId="101" type="noConversion"/>
  </si>
  <si>
    <t>CP4125</t>
    <phoneticPr fontId="101" type="noConversion"/>
  </si>
  <si>
    <t>CP4112</t>
    <phoneticPr fontId="101" type="noConversion"/>
  </si>
  <si>
    <t>CP4281</t>
    <phoneticPr fontId="101" type="noConversion"/>
  </si>
  <si>
    <t>MJ9120</t>
    <phoneticPr fontId="101" type="noConversion"/>
  </si>
  <si>
    <t>KC1005</t>
    <phoneticPr fontId="101" type="noConversion"/>
  </si>
  <si>
    <t>BB4259</t>
    <phoneticPr fontId="101" type="noConversion"/>
  </si>
  <si>
    <t>BB7724</t>
    <phoneticPr fontId="101" type="noConversion"/>
  </si>
  <si>
    <t>S)봉봉 아이스티제로 복숭아 500PET 4X6</t>
    <phoneticPr fontId="101" type="noConversion"/>
  </si>
  <si>
    <t>S)봉봉 포도 340CAN 4X6</t>
  </si>
  <si>
    <t>S)코코팜 포도 340CAN 4X6</t>
  </si>
  <si>
    <t>S)코코팜 화이트 240CAN 5X6</t>
  </si>
  <si>
    <t>S)코코팜 피치핑크 240CAN 5X6</t>
  </si>
  <si>
    <t>몸에좋은 Set 음양오행 180NRB 3X10</t>
  </si>
  <si>
    <t>과일촌 아침에 오+포+사 180NRB 3X12</t>
  </si>
  <si>
    <t>KC1005</t>
    <phoneticPr fontId="90" type="noConversion"/>
  </si>
  <si>
    <t>강원평창수 2.0PET X6</t>
    <phoneticPr fontId="101" type="noConversion"/>
  </si>
  <si>
    <t>홍 석 현  (인)</t>
    <phoneticPr fontId="102" type="noConversion"/>
  </si>
  <si>
    <t>해태 1200 파렛트</t>
    <phoneticPr fontId="102" type="noConversion"/>
  </si>
  <si>
    <t>GS0012</t>
    <phoneticPr fontId="90" type="noConversion"/>
  </si>
  <si>
    <t>GS0012</t>
    <phoneticPr fontId="101" type="noConversion"/>
  </si>
  <si>
    <t>GS0012</t>
    <phoneticPr fontId="101" type="noConversion"/>
  </si>
  <si>
    <t>코크제로 제로 350CAN 4X6</t>
    <phoneticPr fontId="101" type="noConversion"/>
  </si>
  <si>
    <t>CC5769</t>
    <phoneticPr fontId="101" type="noConversion"/>
  </si>
  <si>
    <t>MO5676</t>
    <phoneticPr fontId="101" type="noConversion"/>
  </si>
  <si>
    <t>S)몬스터 스트로베리 드림즈 355CAN 4X6</t>
  </si>
  <si>
    <t>BB7724</t>
  </si>
  <si>
    <t>S)봉봉 아이스티제로 복숭아 500PET 4X6</t>
  </si>
  <si>
    <t>BB4259</t>
  </si>
  <si>
    <t>S)파워 제로 라임향 600PET 4X6</t>
  </si>
  <si>
    <t>PA1007</t>
    <phoneticPr fontId="101" type="noConversion"/>
  </si>
  <si>
    <t>S)조지아 리치아로마 블랙 270PET 4X6</t>
  </si>
  <si>
    <t>S)조지아 리치아로마 스윗아메 270PET 4X6</t>
  </si>
  <si>
    <t>S)조지아 리치아로마 라떼 270PET 4X6</t>
  </si>
  <si>
    <t>GG8291</t>
    <phoneticPr fontId="101" type="noConversion"/>
  </si>
  <si>
    <t>GG8292</t>
    <phoneticPr fontId="101" type="noConversion"/>
  </si>
  <si>
    <t>GG8293</t>
    <phoneticPr fontId="101" type="noConversion"/>
  </si>
  <si>
    <t>SP4184</t>
    <phoneticPr fontId="101" type="noConversion"/>
  </si>
  <si>
    <t>S)스프제로 칠 아이스블라스트 350CAN 4X6</t>
  </si>
  <si>
    <t>잔량 파렛트</t>
    <phoneticPr fontId="102" type="noConversion"/>
  </si>
  <si>
    <t>기타 파렛트</t>
    <phoneticPr fontId="102" type="noConversion"/>
  </si>
  <si>
    <t>S)일로하스 피치 540PET 4X6</t>
  </si>
  <si>
    <t>S)몬스터 에너지 파피용 355CAN 4X6</t>
  </si>
  <si>
    <t>MO5679</t>
    <phoneticPr fontId="101" type="noConversion"/>
  </si>
  <si>
    <t>IH0001</t>
    <phoneticPr fontId="87" type="noConversion"/>
  </si>
  <si>
    <t>IH0001</t>
    <phoneticPr fontId="90" type="noConversion"/>
  </si>
  <si>
    <t>IH0001</t>
    <phoneticPr fontId="101" type="noConversion"/>
  </si>
  <si>
    <t>IH0001</t>
    <phoneticPr fontId="101" type="noConversion"/>
  </si>
  <si>
    <t>CC5200</t>
    <phoneticPr fontId="101" type="noConversion"/>
  </si>
  <si>
    <t>코카콜라 900PET 2X6</t>
  </si>
  <si>
    <t>DP0439</t>
    <phoneticPr fontId="101" type="noConversion"/>
  </si>
  <si>
    <t>DP0439</t>
    <phoneticPr fontId="101" type="noConversion"/>
  </si>
  <si>
    <t>S)닥터페퍼제로 스트로베리&amp;크림 350CAN4X6</t>
  </si>
  <si>
    <t>FT4183</t>
  </si>
  <si>
    <t>S)환타 멜론 600PET 4X6</t>
  </si>
  <si>
    <t>DP0439</t>
    <phoneticPr fontId="90" type="noConversion"/>
  </si>
  <si>
    <t>DP0439</t>
    <phoneticPr fontId="101" type="noConversion"/>
  </si>
  <si>
    <t>CC8429</t>
    <phoneticPr fontId="101" type="noConversion"/>
  </si>
  <si>
    <t>S)코크제로 제로 500PET 4X6</t>
  </si>
  <si>
    <t>CC5201</t>
    <phoneticPr fontId="101" type="noConversion"/>
  </si>
  <si>
    <t>CC5201</t>
    <phoneticPr fontId="90" type="noConversion"/>
  </si>
  <si>
    <t>CC4432</t>
    <phoneticPr fontId="101" type="noConversion"/>
  </si>
  <si>
    <t>플랜트</t>
  </si>
  <si>
    <t>제품코드</t>
  </si>
  <si>
    <t>SLoc</t>
  </si>
  <si>
    <t>내역</t>
  </si>
  <si>
    <t>세트 No.</t>
  </si>
  <si>
    <t>조회단위</t>
  </si>
  <si>
    <t>제품유형</t>
  </si>
  <si>
    <t>평가클래스</t>
  </si>
  <si>
    <t>특별재고</t>
  </si>
  <si>
    <t>클래스</t>
  </si>
  <si>
    <t>뱃치관리</t>
  </si>
  <si>
    <t xml:space="preserve">탄산/비탄 </t>
  </si>
  <si>
    <t>패키지</t>
  </si>
  <si>
    <t>제조일</t>
  </si>
  <si>
    <t>단위</t>
  </si>
  <si>
    <t>가용</t>
  </si>
  <si>
    <t>품질검사</t>
  </si>
  <si>
    <t>Blocked</t>
  </si>
  <si>
    <t>사용가재고</t>
  </si>
  <si>
    <t>사이즈</t>
  </si>
  <si>
    <t>B113</t>
  </si>
  <si>
    <t>3000</t>
  </si>
  <si>
    <t>제/상품창고</t>
  </si>
  <si>
    <t/>
  </si>
  <si>
    <t>BOX</t>
  </si>
  <si>
    <t>음료 완제품</t>
  </si>
  <si>
    <t>음료상품</t>
  </si>
  <si>
    <t>비탄산</t>
  </si>
  <si>
    <t>Can</t>
  </si>
  <si>
    <t>ML</t>
  </si>
  <si>
    <t>CC0455</t>
  </si>
  <si>
    <t>S)코크제로 레몬 500PET 4X6</t>
  </si>
  <si>
    <t>음료제품</t>
  </si>
  <si>
    <t>탄산</t>
  </si>
  <si>
    <t>Pet</t>
  </si>
  <si>
    <t>S)코카콜라 250CAN 5X6</t>
  </si>
  <si>
    <t>S)코카콜라 350CAN 4X6</t>
  </si>
  <si>
    <t>CC5191</t>
  </si>
  <si>
    <t>S)코카콜라 490CAN 4X6</t>
  </si>
  <si>
    <t>CC5192</t>
  </si>
  <si>
    <t>S)코크제로 490CAN 4X6</t>
  </si>
  <si>
    <t>CC5194</t>
  </si>
  <si>
    <t>S)코크제로 레몬 350CAN 4X6</t>
  </si>
  <si>
    <t>CC5200</t>
  </si>
  <si>
    <t>CC5201</t>
  </si>
  <si>
    <t>CC5769</t>
  </si>
  <si>
    <t>S)코크제로 제로 350CAN 4X6</t>
  </si>
  <si>
    <t>CC5771</t>
  </si>
  <si>
    <t>S)코크제로 제로 250CAN 5X6</t>
  </si>
  <si>
    <t>CC5777</t>
  </si>
  <si>
    <t>S)코크제로 350CAN 4X6</t>
  </si>
  <si>
    <t>CC5782</t>
  </si>
  <si>
    <t>S)코크제로 체리 500PET 4X6</t>
  </si>
  <si>
    <t>L</t>
  </si>
  <si>
    <t>S)코크제로 250CAN 5X6</t>
  </si>
  <si>
    <t>CC8429</t>
  </si>
  <si>
    <t>S)코크제로 1.5PET 2X6</t>
  </si>
  <si>
    <t>CP4112</t>
  </si>
  <si>
    <t>CP4125</t>
  </si>
  <si>
    <t>CP4281</t>
  </si>
  <si>
    <t>DP0439</t>
  </si>
  <si>
    <t>S)닥터페퍼 500PET 4X6</t>
  </si>
  <si>
    <t>DP7994</t>
  </si>
  <si>
    <t>S)닥터페퍼 제로 350CAN 4X6</t>
  </si>
  <si>
    <t>S)환타 오렌지 350CAN 4X6</t>
  </si>
  <si>
    <t>S)환타 제로 파인 350CAN 4X6</t>
  </si>
  <si>
    <t>FT4182</t>
  </si>
  <si>
    <t>S)환타 제로 오렌지 350CAN 4X6</t>
  </si>
  <si>
    <t>S)환타 오렌지 250CAN 5X6</t>
  </si>
  <si>
    <t>S)환타 파인 250CAN 5X6</t>
  </si>
  <si>
    <t>S)조지아 오리지널 240CAN 5X6</t>
  </si>
  <si>
    <t>S)조지아 카페라떼 240CAN 5X6</t>
  </si>
  <si>
    <t>S)조지아 스위트블랙 470PET 4X6</t>
  </si>
  <si>
    <t>S)조지아 블랙 470PET 4X6</t>
  </si>
  <si>
    <t>S)조지아 라떼 470PET 4X6</t>
  </si>
  <si>
    <t>GG8278</t>
  </si>
  <si>
    <t>S)조지아 저칼로리라떼 470PET 4X6</t>
  </si>
  <si>
    <t>기능성</t>
  </si>
  <si>
    <t>NRB</t>
  </si>
  <si>
    <t>영진 구론산 탄산 150NRB 3X10</t>
  </si>
  <si>
    <t>IH0001</t>
  </si>
  <si>
    <t>KC1005</t>
  </si>
  <si>
    <t>MJ9120</t>
  </si>
  <si>
    <t>MM1000</t>
  </si>
  <si>
    <t>S)미닛 허니&amp;유자 280PET 4X6</t>
  </si>
  <si>
    <t>MM1001</t>
  </si>
  <si>
    <t>S)미닛 모과&amp;생강 280PET 4X6</t>
  </si>
  <si>
    <t>MM1002</t>
  </si>
  <si>
    <t>S)미닛 레몬에이드 350PET 4X6</t>
  </si>
  <si>
    <t>S)미닛 시그니처 오렌지 1.5PET 2X6</t>
  </si>
  <si>
    <t>S)미닛 시그니처 오렌지 350PET 4X6</t>
  </si>
  <si>
    <t>MM7949</t>
  </si>
  <si>
    <t>미닛 시그니처 오+포+알 180NRB 3X12</t>
  </si>
  <si>
    <t>S)몬스터 에너지 제로슈거 355CAN 4X6</t>
  </si>
  <si>
    <t>S)몬스터 파이프라인펀치 355CAN 4X6</t>
  </si>
  <si>
    <t>S)몬스터 에너지 시트라 355CAN 4X6</t>
  </si>
  <si>
    <t>S)몬스터 에너지 그린 355CAN 4X6</t>
  </si>
  <si>
    <t>MO5643</t>
  </si>
  <si>
    <t>S)몬스터 에너지 울트라 355CAN 4X6</t>
  </si>
  <si>
    <t>S)몬스터 에너지 망고로코 355CAN 4X6</t>
  </si>
  <si>
    <t>MO5662</t>
  </si>
  <si>
    <t>S)몬스터 에너지 선라이즈 355CAN 4X6</t>
  </si>
  <si>
    <t>MO5664</t>
  </si>
  <si>
    <t>S)몬스터 에너지 피치킨 355CAN 4X6</t>
  </si>
  <si>
    <t>MO5668</t>
  </si>
  <si>
    <t>S)몬스터 오지 레모네이드 355CAN 4X6</t>
  </si>
  <si>
    <t>MO5672</t>
  </si>
  <si>
    <t>S)몬스터 에너지 그린 500CAN 4X6</t>
  </si>
  <si>
    <t>S)몬스터 에너지 울트라 500CAN 4X6</t>
  </si>
  <si>
    <t>MO5676</t>
  </si>
  <si>
    <t>MO5679</t>
  </si>
  <si>
    <t>PA0002</t>
  </si>
  <si>
    <t>S)파워에이드 제로 600ml PET 4X6</t>
  </si>
  <si>
    <t>PA1007</t>
  </si>
  <si>
    <t>S)파워 퍼플스톰 600PET 4X6</t>
  </si>
  <si>
    <t>PA6285</t>
  </si>
  <si>
    <t>S)파워 스칼렛스톰 600PET 4X6</t>
  </si>
  <si>
    <t>S)파워 마운틴블라 600PET 4X6</t>
  </si>
  <si>
    <t>S)파워 마운틴블라 240CAN 5X6</t>
  </si>
  <si>
    <t>Water</t>
  </si>
  <si>
    <t>SP4184</t>
  </si>
  <si>
    <t>S)토레타 240CAN 5X6</t>
  </si>
  <si>
    <t>S)토레타 500PET 4X6</t>
  </si>
  <si>
    <t>S)토레타 제로 500PET 4X6</t>
  </si>
  <si>
    <t>파손품 음용</t>
    <phoneticPr fontId="101" type="noConversion"/>
  </si>
  <si>
    <t>S)조지아 맥스 240CAN 5X6</t>
  </si>
  <si>
    <t>SP4179</t>
  </si>
  <si>
    <t>S)스프라이트 350CAN 4X6</t>
  </si>
  <si>
    <t>BGF 광주 역순 출고로 인한 추가 배송</t>
    <phoneticPr fontId="90" type="noConversion"/>
  </si>
  <si>
    <t>BGF 인천 역순 입고로 인한 회송</t>
    <phoneticPr fontId="90" type="noConversion"/>
  </si>
  <si>
    <t>사용기한 임박</t>
    <phoneticPr fontId="10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</si>
</sst>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m&quot;/&quot;d;@"/>
    <numFmt numFmtId="178" formatCode="0_ "/>
    <numFmt numFmtId="179" formatCode="#,##0.000"/>
    <numFmt numFmtId="180" formatCode="#,##0_ "/>
    <numFmt numFmtId="181" formatCode="0.0"/>
    <numFmt numFmtId="182" formatCode="yyyy&quot;년&quot;\ m&quot;월&quot;\ d&quot;일&quot;;@"/>
    <numFmt numFmtId="183" formatCode="#,##0.00_ "/>
    <numFmt numFmtId="184" formatCode="mm&quot;월&quot;\ dd&quot;일&quot;"/>
    <numFmt numFmtId="185" formatCode="0_);[Red]\(0\)"/>
  </numFmts>
  <fonts count="132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indexed="10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8"/>
      <name val="돋움"/>
      <family val="3"/>
      <charset val="129"/>
    </font>
    <font>
      <b/>
      <i/>
      <u val="singleAccounting"/>
      <sz val="11"/>
      <color rgb="FFFF0000"/>
      <name val="맑은 고딕"/>
      <family val="3"/>
      <charset val="129"/>
      <scheme val="minor"/>
    </font>
    <font>
      <b/>
      <sz val="26"/>
      <name val="굴림"/>
      <family val="3"/>
      <charset val="129"/>
    </font>
    <font>
      <b/>
      <sz val="24"/>
      <name val="굴림"/>
      <family val="3"/>
      <charset val="129"/>
    </font>
    <font>
      <b/>
      <sz val="18"/>
      <name val="돋움"/>
      <family val="3"/>
      <charset val="129"/>
    </font>
    <font>
      <sz val="9"/>
      <name val="돋움"/>
      <family val="3"/>
      <charset val="129"/>
    </font>
    <font>
      <u/>
      <sz val="11"/>
      <name val="돋움"/>
      <family val="3"/>
      <charset val="129"/>
    </font>
    <font>
      <sz val="12"/>
      <name val="돋움"/>
      <family val="3"/>
      <charset val="129"/>
    </font>
    <font>
      <sz val="9"/>
      <name val="맑은 고딕"/>
      <family val="3"/>
      <charset val="129"/>
      <scheme val="minor"/>
    </font>
    <font>
      <b/>
      <sz val="12"/>
      <name val="돋움"/>
      <family val="3"/>
      <charset val="129"/>
    </font>
    <font>
      <sz val="11"/>
      <color theme="0"/>
      <name val="맑은 고딕"/>
      <family val="2"/>
      <charset val="129"/>
      <scheme val="minor"/>
    </font>
    <font>
      <sz val="14"/>
      <name val="돋움"/>
      <family val="3"/>
      <charset val="129"/>
    </font>
    <font>
      <sz val="14"/>
      <color theme="1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9.5"/>
      <color theme="1"/>
      <name val="맑은 고딕"/>
      <family val="3"/>
      <charset val="129"/>
      <scheme val="minor"/>
    </font>
    <font>
      <b/>
      <sz val="60"/>
      <color theme="1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돋움"/>
      <family val="3"/>
      <charset val="129"/>
    </font>
    <font>
      <b/>
      <sz val="12"/>
      <name val="맑은 고딕"/>
      <family val="3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rgb="FFFFCC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40">
    <xf numFmtId="0" fontId="0" fillId="0" borderId="0">
      <alignment vertical="center"/>
    </xf>
    <xf numFmtId="0" fontId="91" fillId="2" borderId="0" applyNumberFormat="0" applyBorder="0" applyAlignment="0" applyProtection="0">
      <alignment vertical="center"/>
    </xf>
    <xf numFmtId="0" fontId="92" fillId="3" borderId="0" applyNumberFormat="0" applyBorder="0" applyAlignment="0" applyProtection="0">
      <alignment vertical="center"/>
    </xf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>
      <alignment vertical="center"/>
    </xf>
    <xf numFmtId="0" fontId="94" fillId="4" borderId="11" applyNumberFormat="0" applyAlignment="0" applyProtection="0">
      <alignment vertical="center"/>
    </xf>
    <xf numFmtId="41" fontId="89" fillId="0" borderId="0" applyFont="0" applyFill="0" applyBorder="0" applyAlignment="0" applyProtection="0"/>
    <xf numFmtId="0" fontId="88" fillId="0" borderId="0"/>
    <xf numFmtId="0" fontId="88" fillId="0" borderId="0"/>
    <xf numFmtId="0" fontId="8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41" fontId="91" fillId="0" borderId="0" applyFont="0" applyFill="0" applyBorder="0" applyAlignment="0" applyProtection="0">
      <alignment vertical="center"/>
    </xf>
    <xf numFmtId="9" fontId="91" fillId="0" borderId="0" applyFont="0" applyFill="0" applyBorder="0" applyAlignment="0" applyProtection="0">
      <alignment vertical="center"/>
    </xf>
    <xf numFmtId="0" fontId="86" fillId="0" borderId="0">
      <alignment vertical="center"/>
    </xf>
    <xf numFmtId="41" fontId="88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41" fontId="88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0" fontId="80" fillId="0" borderId="0">
      <alignment vertical="center"/>
    </xf>
    <xf numFmtId="41" fontId="88" fillId="0" borderId="0" applyFont="0" applyFill="0" applyBorder="0" applyAlignment="0" applyProtection="0"/>
    <xf numFmtId="41" fontId="80" fillId="0" borderId="0" applyFont="0" applyFill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88" fillId="0" borderId="0" applyFont="0" applyFill="0" applyBorder="0" applyAlignment="0" applyProtection="0"/>
    <xf numFmtId="41" fontId="79" fillId="0" borderId="0" applyFont="0" applyFill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88" fillId="0" borderId="0" applyFont="0" applyFill="0" applyBorder="0" applyAlignment="0" applyProtection="0"/>
    <xf numFmtId="41" fontId="79" fillId="0" borderId="0" applyFont="0" applyFill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88" fillId="0" borderId="0" applyFont="0" applyFill="0" applyBorder="0" applyAlignment="0" applyProtection="0"/>
    <xf numFmtId="41" fontId="79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0" fontId="65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39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95" fillId="0" borderId="1" xfId="0" applyNumberFormat="1" applyFont="1" applyBorder="1">
      <alignment vertical="center"/>
    </xf>
    <xf numFmtId="0" fontId="95" fillId="0" borderId="0" xfId="0" applyFont="1">
      <alignment vertical="center"/>
    </xf>
    <xf numFmtId="176" fontId="95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96" fillId="0" borderId="0" xfId="1" applyFont="1" applyFill="1" applyAlignment="1">
      <alignment vertical="center" wrapText="1"/>
    </xf>
    <xf numFmtId="0" fontId="96" fillId="0" borderId="0" xfId="1" applyFont="1" applyFill="1" applyBorder="1" applyAlignment="1">
      <alignment vertical="center" wrapText="1"/>
    </xf>
    <xf numFmtId="176" fontId="95" fillId="0" borderId="2" xfId="0" applyNumberFormat="1" applyFont="1" applyBorder="1">
      <alignment vertical="center"/>
    </xf>
    <xf numFmtId="0" fontId="97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1" fontId="0" fillId="0" borderId="0" xfId="16" applyFont="1" applyAlignment="1">
      <alignment horizontal="center" vertical="center"/>
    </xf>
    <xf numFmtId="0" fontId="100" fillId="0" borderId="0" xfId="1" applyFont="1" applyFill="1" applyBorder="1" applyAlignment="1">
      <alignment vertical="center" wrapText="1"/>
    </xf>
    <xf numFmtId="9" fontId="92" fillId="0" borderId="0" xfId="0" applyNumberFormat="1" applyFont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88" fillId="0" borderId="0" xfId="11" applyAlignment="1">
      <alignment vertical="center"/>
    </xf>
    <xf numFmtId="0" fontId="0" fillId="9" borderId="0" xfId="0" applyFill="1" applyAlignment="1">
      <alignment horizontal="center" vertical="center"/>
    </xf>
    <xf numFmtId="43" fontId="0" fillId="9" borderId="0" xfId="0" applyNumberFormat="1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41" fontId="0" fillId="11" borderId="1" xfId="16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95" fillId="0" borderId="0" xfId="0" applyNumberFormat="1" applyFont="1">
      <alignment vertical="center"/>
    </xf>
    <xf numFmtId="180" fontId="0" fillId="0" borderId="1" xfId="16" applyNumberFormat="1" applyFont="1" applyFill="1" applyBorder="1" applyAlignment="1">
      <alignment horizontal="center" vertical="center"/>
    </xf>
    <xf numFmtId="180" fontId="0" fillId="10" borderId="1" xfId="16" applyNumberFormat="1" applyFont="1" applyFill="1" applyBorder="1" applyAlignment="1">
      <alignment horizontal="center" vertical="center"/>
    </xf>
    <xf numFmtId="0" fontId="98" fillId="6" borderId="1" xfId="2" applyFont="1" applyFill="1" applyBorder="1" applyAlignment="1">
      <alignment horizontal="center" vertical="center"/>
    </xf>
    <xf numFmtId="177" fontId="99" fillId="6" borderId="1" xfId="9" applyNumberFormat="1" applyFont="1" applyFill="1" applyBorder="1" applyAlignment="1">
      <alignment horizontal="center" vertical="center"/>
    </xf>
    <xf numFmtId="177" fontId="0" fillId="6" borderId="1" xfId="9" applyNumberFormat="1" applyFont="1" applyFill="1" applyBorder="1" applyAlignment="1">
      <alignment horizontal="center" vertical="center"/>
    </xf>
    <xf numFmtId="0" fontId="97" fillId="5" borderId="1" xfId="0" applyFont="1" applyFill="1" applyBorder="1">
      <alignment vertical="center"/>
    </xf>
    <xf numFmtId="0" fontId="97" fillId="5" borderId="1" xfId="0" quotePrefix="1" applyFont="1" applyFill="1" applyBorder="1" applyAlignment="1">
      <alignment horizontal="center" vertical="center"/>
    </xf>
    <xf numFmtId="0" fontId="97" fillId="5" borderId="1" xfId="0" applyFont="1" applyFill="1" applyBorder="1" applyAlignment="1">
      <alignment horizontal="left" vertical="center"/>
    </xf>
    <xf numFmtId="0" fontId="95" fillId="5" borderId="1" xfId="0" applyFont="1" applyFill="1" applyBorder="1">
      <alignment vertical="center"/>
    </xf>
    <xf numFmtId="0" fontId="95" fillId="5" borderId="1" xfId="0" applyFont="1" applyFill="1" applyBorder="1" applyAlignment="1">
      <alignment horizontal="center" vertical="center"/>
    </xf>
    <xf numFmtId="177" fontId="99" fillId="6" borderId="12" xfId="9" applyNumberFormat="1" applyFont="1" applyFill="1" applyBorder="1" applyAlignment="1">
      <alignment horizontal="center" vertical="center"/>
    </xf>
    <xf numFmtId="176" fontId="95" fillId="0" borderId="12" xfId="0" applyNumberFormat="1" applyFont="1" applyBorder="1">
      <alignment vertical="center"/>
    </xf>
    <xf numFmtId="177" fontId="99" fillId="6" borderId="10" xfId="9" applyNumberFormat="1" applyFont="1" applyFill="1" applyBorder="1" applyAlignment="1">
      <alignment horizontal="center" vertical="center"/>
    </xf>
    <xf numFmtId="177" fontId="99" fillId="6" borderId="8" xfId="9" applyNumberFormat="1" applyFont="1" applyFill="1" applyBorder="1" applyAlignment="1">
      <alignment horizontal="center" vertical="center"/>
    </xf>
    <xf numFmtId="177" fontId="99" fillId="6" borderId="9" xfId="9" applyNumberFormat="1" applyFont="1" applyFill="1" applyBorder="1" applyAlignment="1">
      <alignment horizontal="center" vertical="center"/>
    </xf>
    <xf numFmtId="176" fontId="95" fillId="5" borderId="4" xfId="0" applyNumberFormat="1" applyFont="1" applyFill="1" applyBorder="1">
      <alignment vertical="center"/>
    </xf>
    <xf numFmtId="176" fontId="95" fillId="5" borderId="1" xfId="0" applyNumberFormat="1" applyFont="1" applyFill="1" applyBorder="1">
      <alignment vertical="center"/>
    </xf>
    <xf numFmtId="176" fontId="95" fillId="5" borderId="6" xfId="0" applyNumberFormat="1" applyFont="1" applyFill="1" applyBorder="1">
      <alignment vertical="center"/>
    </xf>
    <xf numFmtId="176" fontId="95" fillId="5" borderId="3" xfId="0" applyNumberFormat="1" applyFont="1" applyFill="1" applyBorder="1">
      <alignment vertical="center"/>
    </xf>
    <xf numFmtId="176" fontId="95" fillId="5" borderId="7" xfId="0" applyNumberFormat="1" applyFont="1" applyFill="1" applyBorder="1">
      <alignment vertical="center"/>
    </xf>
    <xf numFmtId="0" fontId="86" fillId="0" borderId="0" xfId="18">
      <alignment vertical="center"/>
    </xf>
    <xf numFmtId="0" fontId="108" fillId="0" borderId="0" xfId="11" applyFont="1" applyAlignment="1">
      <alignment vertical="center"/>
    </xf>
    <xf numFmtId="0" fontId="109" fillId="0" borderId="0" xfId="11" applyFont="1" applyAlignment="1">
      <alignment vertical="center"/>
    </xf>
    <xf numFmtId="0" fontId="86" fillId="0" borderId="0" xfId="18" applyAlignment="1">
      <alignment horizontal="left" vertical="center"/>
    </xf>
    <xf numFmtId="0" fontId="88" fillId="0" borderId="0" xfId="11"/>
    <xf numFmtId="0" fontId="110" fillId="0" borderId="0" xfId="11" applyFont="1" applyAlignment="1">
      <alignment vertical="center"/>
    </xf>
    <xf numFmtId="0" fontId="88" fillId="0" borderId="13" xfId="11" applyBorder="1" applyAlignment="1">
      <alignment horizontal="left" vertical="center"/>
    </xf>
    <xf numFmtId="182" fontId="88" fillId="0" borderId="0" xfId="11" applyNumberFormat="1" applyAlignment="1" applyProtection="1">
      <alignment horizontal="left" vertical="center"/>
      <protection locked="0"/>
    </xf>
    <xf numFmtId="182" fontId="112" fillId="0" borderId="0" xfId="11" applyNumberFormat="1" applyFont="1" applyAlignment="1">
      <alignment horizontal="right" vertical="center"/>
    </xf>
    <xf numFmtId="0" fontId="88" fillId="0" borderId="0" xfId="11" applyAlignment="1">
      <alignment horizontal="center" vertical="center"/>
    </xf>
    <xf numFmtId="0" fontId="113" fillId="0" borderId="0" xfId="11" applyFont="1" applyAlignment="1">
      <alignment horizontal="right" vertical="center"/>
    </xf>
    <xf numFmtId="0" fontId="113" fillId="0" borderId="0" xfId="11" applyFont="1" applyAlignment="1">
      <alignment horizontal="center" vertical="center"/>
    </xf>
    <xf numFmtId="0" fontId="113" fillId="0" borderId="0" xfId="11" applyFont="1" applyAlignment="1" applyProtection="1">
      <alignment horizontal="left" vertical="center"/>
      <protection locked="0"/>
    </xf>
    <xf numFmtId="0" fontId="113" fillId="0" borderId="0" xfId="11" applyFont="1" applyAlignment="1">
      <alignment horizontal="left" vertical="center"/>
    </xf>
    <xf numFmtId="0" fontId="113" fillId="17" borderId="0" xfId="11" applyFont="1" applyFill="1" applyAlignment="1">
      <alignment horizontal="center" vertical="center"/>
    </xf>
    <xf numFmtId="0" fontId="113" fillId="0" borderId="14" xfId="11" applyFont="1" applyBorder="1" applyAlignment="1">
      <alignment horizontal="left" vertical="center"/>
    </xf>
    <xf numFmtId="0" fontId="113" fillId="0" borderId="14" xfId="11" applyFont="1" applyBorder="1" applyAlignment="1" applyProtection="1">
      <alignment horizontal="left" vertical="center"/>
      <protection locked="0"/>
    </xf>
    <xf numFmtId="0" fontId="113" fillId="0" borderId="0" xfId="11" applyFont="1" applyAlignment="1" applyProtection="1">
      <alignment horizontal="center" vertical="center"/>
      <protection locked="0"/>
    </xf>
    <xf numFmtId="41" fontId="113" fillId="0" borderId="0" xfId="20" applyFont="1" applyBorder="1" applyAlignment="1">
      <alignment horizontal="center" vertical="center"/>
    </xf>
    <xf numFmtId="0" fontId="111" fillId="0" borderId="0" xfId="11" applyFont="1" applyAlignment="1">
      <alignment vertical="top"/>
    </xf>
    <xf numFmtId="177" fontId="114" fillId="6" borderId="2" xfId="9" applyNumberFormat="1" applyFont="1" applyFill="1" applyBorder="1" applyAlignment="1">
      <alignment horizontal="center" vertical="center" wrapText="1"/>
    </xf>
    <xf numFmtId="0" fontId="115" fillId="0" borderId="0" xfId="11" applyFont="1" applyAlignment="1">
      <alignment vertical="center"/>
    </xf>
    <xf numFmtId="176" fontId="0" fillId="15" borderId="0" xfId="0" applyNumberFormat="1" applyFill="1">
      <alignment vertical="center"/>
    </xf>
    <xf numFmtId="178" fontId="105" fillId="0" borderId="0" xfId="11" applyNumberFormat="1" applyFont="1" applyAlignment="1">
      <alignment vertical="center"/>
    </xf>
    <xf numFmtId="0" fontId="0" fillId="8" borderId="0" xfId="0" applyFill="1">
      <alignment vertical="center"/>
    </xf>
    <xf numFmtId="0" fontId="0" fillId="16" borderId="0" xfId="0" applyFill="1">
      <alignment vertical="center"/>
    </xf>
    <xf numFmtId="177" fontId="99" fillId="0" borderId="1" xfId="9" applyNumberFormat="1" applyFont="1" applyFill="1" applyBorder="1" applyAlignment="1">
      <alignment horizontal="center" vertical="center"/>
    </xf>
    <xf numFmtId="0" fontId="98" fillId="0" borderId="1" xfId="2" applyFont="1" applyFill="1" applyBorder="1" applyAlignment="1">
      <alignment horizontal="center" vertical="center"/>
    </xf>
    <xf numFmtId="177" fontId="0" fillId="0" borderId="1" xfId="9" applyNumberFormat="1" applyFont="1" applyFill="1" applyBorder="1" applyAlignment="1">
      <alignment horizontal="center" vertical="center"/>
    </xf>
    <xf numFmtId="177" fontId="99" fillId="0" borderId="12" xfId="9" applyNumberFormat="1" applyFont="1" applyFill="1" applyBorder="1" applyAlignment="1">
      <alignment horizontal="center" vertical="center"/>
    </xf>
    <xf numFmtId="0" fontId="97" fillId="0" borderId="1" xfId="0" applyFont="1" applyBorder="1" applyAlignment="1">
      <alignment horizontal="center" vertical="center"/>
    </xf>
    <xf numFmtId="0" fontId="97" fillId="0" borderId="1" xfId="0" applyFont="1" applyBorder="1">
      <alignment vertical="center"/>
    </xf>
    <xf numFmtId="0" fontId="95" fillId="0" borderId="1" xfId="0" applyFont="1" applyBorder="1">
      <alignment vertical="center"/>
    </xf>
    <xf numFmtId="0" fontId="95" fillId="0" borderId="1" xfId="0" applyFont="1" applyBorder="1" applyAlignment="1">
      <alignment horizontal="center" vertical="center"/>
    </xf>
    <xf numFmtId="177" fontId="99" fillId="0" borderId="15" xfId="9" applyNumberFormat="1" applyFont="1" applyFill="1" applyBorder="1" applyAlignment="1">
      <alignment horizontal="center" vertical="center"/>
    </xf>
    <xf numFmtId="41" fontId="0" fillId="0" borderId="15" xfId="16" applyFont="1" applyFill="1" applyBorder="1">
      <alignment vertical="center"/>
    </xf>
    <xf numFmtId="41" fontId="0" fillId="0" borderId="15" xfId="16" applyFont="1" applyBorder="1">
      <alignment vertical="center"/>
    </xf>
    <xf numFmtId="41" fontId="0" fillId="8" borderId="15" xfId="16" applyFont="1" applyFill="1" applyBorder="1">
      <alignment vertical="center"/>
    </xf>
    <xf numFmtId="0" fontId="95" fillId="16" borderId="0" xfId="0" applyFont="1" applyFill="1">
      <alignment vertical="center"/>
    </xf>
    <xf numFmtId="177" fontId="99" fillId="16" borderId="15" xfId="9" applyNumberFormat="1" applyFont="1" applyFill="1" applyBorder="1" applyAlignment="1">
      <alignment horizontal="center" vertical="center"/>
    </xf>
    <xf numFmtId="0" fontId="0" fillId="16" borderId="15" xfId="0" applyFill="1" applyBorder="1">
      <alignment vertical="center"/>
    </xf>
    <xf numFmtId="0" fontId="97" fillId="8" borderId="1" xfId="0" applyFont="1" applyFill="1" applyBorder="1" applyAlignment="1">
      <alignment horizontal="center" vertical="center"/>
    </xf>
    <xf numFmtId="0" fontId="97" fillId="8" borderId="1" xfId="0" applyFont="1" applyFill="1" applyBorder="1">
      <alignment vertical="center"/>
    </xf>
    <xf numFmtId="176" fontId="95" fillId="8" borderId="1" xfId="0" applyNumberFormat="1" applyFont="1" applyFill="1" applyBorder="1">
      <alignment vertical="center"/>
    </xf>
    <xf numFmtId="176" fontId="95" fillId="8" borderId="12" xfId="0" applyNumberFormat="1" applyFont="1" applyFill="1" applyBorder="1">
      <alignment vertical="center"/>
    </xf>
    <xf numFmtId="0" fontId="0" fillId="8" borderId="15" xfId="0" applyFill="1" applyBorder="1">
      <alignment vertical="center"/>
    </xf>
    <xf numFmtId="41" fontId="95" fillId="8" borderId="15" xfId="16" applyFont="1" applyFill="1" applyBorder="1">
      <alignment vertical="center"/>
    </xf>
    <xf numFmtId="41" fontId="0" fillId="8" borderId="15" xfId="0" applyNumberFormat="1" applyFill="1" applyBorder="1">
      <alignment vertical="center"/>
    </xf>
    <xf numFmtId="41" fontId="107" fillId="0" borderId="0" xfId="16" applyFont="1" applyFill="1" applyBorder="1" applyAlignment="1">
      <alignment horizontal="center" vertical="center"/>
    </xf>
    <xf numFmtId="41" fontId="0" fillId="11" borderId="0" xfId="16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9" fontId="0" fillId="7" borderId="1" xfId="0" applyNumberFormat="1" applyFill="1" applyBorder="1" applyAlignment="1">
      <alignment horizontal="center" vertical="center" wrapText="1"/>
    </xf>
    <xf numFmtId="9" fontId="0" fillId="9" borderId="0" xfId="0" applyNumberFormat="1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41" fontId="93" fillId="11" borderId="0" xfId="16" applyFont="1" applyFill="1" applyBorder="1" applyAlignment="1">
      <alignment horizontal="center" vertical="center" wrapText="1"/>
    </xf>
    <xf numFmtId="41" fontId="0" fillId="0" borderId="0" xfId="16" applyFont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86" fillId="17" borderId="0" xfId="18" applyFill="1">
      <alignment vertical="center"/>
    </xf>
    <xf numFmtId="0" fontId="86" fillId="7" borderId="0" xfId="18" applyFill="1">
      <alignment vertical="center"/>
    </xf>
    <xf numFmtId="0" fontId="117" fillId="0" borderId="0" xfId="11" applyFont="1" applyAlignment="1">
      <alignment vertical="center"/>
    </xf>
    <xf numFmtId="0" fontId="118" fillId="0" borderId="0" xfId="18" applyFont="1">
      <alignment vertical="center"/>
    </xf>
    <xf numFmtId="0" fontId="118" fillId="0" borderId="0" xfId="18" applyFont="1" applyAlignment="1">
      <alignment horizontal="left" vertical="center"/>
    </xf>
    <xf numFmtId="0" fontId="117" fillId="0" borderId="0" xfId="11" applyFont="1" applyAlignment="1">
      <alignment horizontal="center" vertical="center"/>
    </xf>
    <xf numFmtId="0" fontId="112" fillId="0" borderId="0" xfId="11" applyFont="1"/>
    <xf numFmtId="0" fontId="119" fillId="0" borderId="0" xfId="18" applyFont="1" applyAlignment="1">
      <alignment horizontal="left" vertical="center"/>
    </xf>
    <xf numFmtId="0" fontId="99" fillId="0" borderId="1" xfId="11" applyFont="1" applyBorder="1" applyAlignment="1">
      <alignment horizontal="center" vertical="center"/>
    </xf>
    <xf numFmtId="0" fontId="99" fillId="0" borderId="1" xfId="11" quotePrefix="1" applyFont="1" applyBorder="1" applyAlignment="1" applyProtection="1">
      <alignment horizontal="center" vertical="center"/>
      <protection locked="0"/>
    </xf>
    <xf numFmtId="0" fontId="99" fillId="0" borderId="1" xfId="11" applyFont="1" applyBorder="1" applyAlignment="1" applyProtection="1">
      <alignment horizontal="center" vertical="center"/>
      <protection locked="0"/>
    </xf>
    <xf numFmtId="0" fontId="120" fillId="0" borderId="1" xfId="11" applyFont="1" applyBorder="1" applyAlignment="1">
      <alignment horizontal="center" vertical="center"/>
    </xf>
    <xf numFmtId="0" fontId="99" fillId="0" borderId="1" xfId="19" applyNumberFormat="1" applyFont="1" applyBorder="1" applyAlignment="1" applyProtection="1">
      <alignment horizontal="center" vertical="center"/>
      <protection locked="0"/>
    </xf>
    <xf numFmtId="0" fontId="99" fillId="0" borderId="1" xfId="19" applyNumberFormat="1" applyFont="1" applyBorder="1" applyAlignment="1">
      <alignment horizontal="center" vertical="center"/>
    </xf>
    <xf numFmtId="0" fontId="99" fillId="5" borderId="1" xfId="11" applyFont="1" applyFill="1" applyBorder="1" applyAlignment="1" applyProtection="1">
      <alignment horizontal="center" vertical="center"/>
      <protection locked="0"/>
    </xf>
    <xf numFmtId="0" fontId="99" fillId="5" borderId="1" xfId="11" applyFont="1" applyFill="1" applyBorder="1" applyAlignment="1">
      <alignment vertical="center"/>
    </xf>
    <xf numFmtId="0" fontId="99" fillId="5" borderId="1" xfId="11" applyFont="1" applyFill="1" applyBorder="1" applyAlignment="1">
      <alignment horizontal="center" vertical="center"/>
    </xf>
    <xf numFmtId="0" fontId="100" fillId="0" borderId="0" xfId="18" applyFont="1" applyAlignment="1">
      <alignment horizontal="center" vertical="center"/>
    </xf>
    <xf numFmtId="0" fontId="121" fillId="19" borderId="1" xfId="21" applyFont="1" applyBorder="1" applyAlignment="1">
      <alignment horizontal="center" vertical="center"/>
    </xf>
    <xf numFmtId="0" fontId="85" fillId="0" borderId="0" xfId="18" applyFont="1">
      <alignment vertical="center"/>
    </xf>
    <xf numFmtId="176" fontId="122" fillId="5" borderId="5" xfId="0" applyNumberFormat="1" applyFont="1" applyFill="1" applyBorder="1">
      <alignment vertical="center"/>
    </xf>
    <xf numFmtId="41" fontId="0" fillId="0" borderId="0" xfId="16" applyFont="1" applyFill="1" applyAlignment="1">
      <alignment horizontal="center" vertical="center"/>
    </xf>
    <xf numFmtId="0" fontId="84" fillId="0" borderId="0" xfId="18" applyFont="1" applyAlignment="1">
      <alignment horizontal="left" vertical="center"/>
    </xf>
    <xf numFmtId="0" fontId="84" fillId="0" borderId="0" xfId="18" applyFont="1">
      <alignment vertical="center"/>
    </xf>
    <xf numFmtId="0" fontId="83" fillId="0" borderId="0" xfId="18" applyFont="1" applyAlignment="1">
      <alignment horizontal="left" vertical="center"/>
    </xf>
    <xf numFmtId="0" fontId="83" fillId="0" borderId="0" xfId="18" applyFont="1">
      <alignment vertical="center"/>
    </xf>
    <xf numFmtId="0" fontId="105" fillId="0" borderId="0" xfId="11" applyFont="1" applyAlignment="1">
      <alignment horizontal="center" vertical="center"/>
    </xf>
    <xf numFmtId="49" fontId="105" fillId="0" borderId="0" xfId="11" applyNumberFormat="1" applyFont="1" applyAlignment="1">
      <alignment horizontal="center" vertical="center" wrapText="1"/>
    </xf>
    <xf numFmtId="0" fontId="105" fillId="0" borderId="0" xfId="11" applyFont="1" applyAlignment="1">
      <alignment horizontal="center" vertical="center" wrapText="1"/>
    </xf>
    <xf numFmtId="41" fontId="105" fillId="0" borderId="0" xfId="16" applyFont="1" applyFill="1" applyAlignment="1">
      <alignment horizontal="center" vertical="center"/>
    </xf>
    <xf numFmtId="0" fontId="105" fillId="0" borderId="0" xfId="11" applyFont="1" applyAlignment="1">
      <alignment vertical="center"/>
    </xf>
    <xf numFmtId="41" fontId="105" fillId="0" borderId="0" xfId="16" applyFont="1" applyFill="1">
      <alignment vertical="center"/>
    </xf>
    <xf numFmtId="0" fontId="95" fillId="0" borderId="0" xfId="11" applyFont="1" applyAlignment="1">
      <alignment horizontal="center" vertical="center"/>
    </xf>
    <xf numFmtId="49" fontId="95" fillId="0" borderId="0" xfId="11" applyNumberFormat="1" applyFont="1" applyAlignment="1">
      <alignment horizontal="center" vertical="center"/>
    </xf>
    <xf numFmtId="0" fontId="95" fillId="0" borderId="0" xfId="11" applyFont="1" applyAlignment="1">
      <alignment vertical="center"/>
    </xf>
    <xf numFmtId="0" fontId="103" fillId="0" borderId="0" xfId="11" applyFont="1" applyAlignment="1">
      <alignment vertical="center"/>
    </xf>
    <xf numFmtId="41" fontId="95" fillId="0" borderId="0" xfId="16" applyFont="1" applyFill="1">
      <alignment vertical="center"/>
    </xf>
    <xf numFmtId="0" fontId="91" fillId="0" borderId="0" xfId="11" applyFont="1" applyAlignment="1">
      <alignment vertical="center"/>
    </xf>
    <xf numFmtId="181" fontId="88" fillId="0" borderId="0" xfId="11" applyNumberFormat="1" applyAlignment="1">
      <alignment vertical="center"/>
    </xf>
    <xf numFmtId="14" fontId="88" fillId="0" borderId="0" xfId="11" applyNumberFormat="1" applyAlignment="1">
      <alignment vertical="center"/>
    </xf>
    <xf numFmtId="9" fontId="91" fillId="0" borderId="0" xfId="17" applyFont="1" applyFill="1">
      <alignment vertical="center"/>
    </xf>
    <xf numFmtId="49" fontId="105" fillId="0" borderId="0" xfId="11" applyNumberFormat="1" applyFont="1" applyAlignment="1">
      <alignment horizontal="center" vertical="center"/>
    </xf>
    <xf numFmtId="0" fontId="95" fillId="0" borderId="0" xfId="11" quotePrefix="1" applyFont="1" applyAlignment="1">
      <alignment horizontal="center" vertical="center"/>
    </xf>
    <xf numFmtId="0" fontId="95" fillId="16" borderId="0" xfId="11" applyFont="1" applyFill="1" applyAlignment="1">
      <alignment vertical="center"/>
    </xf>
    <xf numFmtId="0" fontId="105" fillId="16" borderId="0" xfId="11" applyFont="1" applyFill="1" applyAlignment="1">
      <alignment vertical="center"/>
    </xf>
    <xf numFmtId="41" fontId="105" fillId="0" borderId="0" xfId="16" applyFont="1" applyFill="1" applyBorder="1">
      <alignment vertical="center"/>
    </xf>
    <xf numFmtId="0" fontId="105" fillId="0" borderId="0" xfId="0" applyFont="1" applyAlignment="1">
      <alignment horizontal="center" vertical="center"/>
    </xf>
    <xf numFmtId="0" fontId="105" fillId="0" borderId="0" xfId="0" applyFont="1">
      <alignment vertical="center"/>
    </xf>
    <xf numFmtId="0" fontId="105" fillId="0" borderId="0" xfId="11" quotePrefix="1" applyFont="1" applyAlignment="1">
      <alignment horizontal="center" vertical="center"/>
    </xf>
    <xf numFmtId="0" fontId="123" fillId="0" borderId="1" xfId="0" applyFont="1" applyBorder="1" applyAlignment="1">
      <alignment horizontal="center" vertical="center"/>
    </xf>
    <xf numFmtId="183" fontId="0" fillId="10" borderId="1" xfId="16" applyNumberFormat="1" applyFont="1" applyFill="1" applyBorder="1" applyAlignment="1">
      <alignment horizontal="center" vertical="center"/>
    </xf>
    <xf numFmtId="41" fontId="0" fillId="0" borderId="0" xfId="16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1" fontId="0" fillId="0" borderId="1" xfId="16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123" fillId="0" borderId="16" xfId="0" applyFont="1" applyBorder="1" applyAlignment="1">
      <alignment horizontal="center" vertical="center"/>
    </xf>
    <xf numFmtId="0" fontId="124" fillId="0" borderId="0" xfId="0" applyFont="1" applyAlignment="1">
      <alignment horizontal="center" vertical="center"/>
    </xf>
    <xf numFmtId="0" fontId="105" fillId="8" borderId="0" xfId="11" applyFont="1" applyFill="1" applyAlignment="1">
      <alignment horizontal="center" vertical="center"/>
    </xf>
    <xf numFmtId="0" fontId="105" fillId="8" borderId="0" xfId="11" applyFont="1" applyFill="1" applyAlignment="1">
      <alignment vertical="center"/>
    </xf>
    <xf numFmtId="0" fontId="95" fillId="8" borderId="0" xfId="11" applyFont="1" applyFill="1" applyAlignment="1">
      <alignment horizontal="center" vertical="center"/>
    </xf>
    <xf numFmtId="49" fontId="95" fillId="8" borderId="0" xfId="11" applyNumberFormat="1" applyFont="1" applyFill="1" applyAlignment="1">
      <alignment horizontal="center" vertical="center"/>
    </xf>
    <xf numFmtId="0" fontId="95" fillId="8" borderId="0" xfId="11" applyFont="1" applyFill="1" applyAlignment="1">
      <alignment vertical="center"/>
    </xf>
    <xf numFmtId="178" fontId="105" fillId="8" borderId="0" xfId="11" applyNumberFormat="1" applyFont="1" applyFill="1" applyAlignment="1">
      <alignment vertical="center"/>
    </xf>
    <xf numFmtId="41" fontId="105" fillId="8" borderId="0" xfId="16" applyFont="1" applyFill="1">
      <alignment vertical="center"/>
    </xf>
    <xf numFmtId="0" fontId="125" fillId="0" borderId="0" xfId="11" applyFont="1" applyAlignment="1">
      <alignment horizontal="center" vertical="center"/>
    </xf>
    <xf numFmtId="49" fontId="125" fillId="0" borderId="0" xfId="11" applyNumberFormat="1" applyFont="1" applyAlignment="1">
      <alignment horizontal="center" vertical="center"/>
    </xf>
    <xf numFmtId="0" fontId="125" fillId="0" borderId="0" xfId="11" applyFont="1" applyAlignment="1">
      <alignment vertical="center"/>
    </xf>
    <xf numFmtId="178" fontId="126" fillId="0" borderId="0" xfId="11" applyNumberFormat="1" applyFont="1" applyAlignment="1">
      <alignment vertical="center"/>
    </xf>
    <xf numFmtId="0" fontId="126" fillId="8" borderId="0" xfId="11" applyFont="1" applyFill="1" applyAlignment="1">
      <alignment vertical="center"/>
    </xf>
    <xf numFmtId="41" fontId="126" fillId="0" borderId="0" xfId="16" applyFont="1" applyFill="1">
      <alignment vertical="center"/>
    </xf>
    <xf numFmtId="0" fontId="105" fillId="20" borderId="0" xfId="11" applyFont="1" applyFill="1" applyAlignment="1">
      <alignment horizontal="center" vertical="center"/>
    </xf>
    <xf numFmtId="0" fontId="105" fillId="20" borderId="0" xfId="11" applyFont="1" applyFill="1" applyAlignment="1">
      <alignment vertical="center"/>
    </xf>
    <xf numFmtId="178" fontId="105" fillId="20" borderId="0" xfId="11" applyNumberFormat="1" applyFont="1" applyFill="1" applyAlignment="1">
      <alignment vertical="center"/>
    </xf>
    <xf numFmtId="41" fontId="105" fillId="20" borderId="0" xfId="16" applyFont="1" applyFill="1">
      <alignment vertical="center"/>
    </xf>
    <xf numFmtId="0" fontId="95" fillId="16" borderId="0" xfId="11" applyFont="1" applyFill="1" applyAlignment="1">
      <alignment horizontal="center" vertical="center"/>
    </xf>
    <xf numFmtId="49" fontId="95" fillId="16" borderId="0" xfId="11" applyNumberFormat="1" applyFont="1" applyFill="1" applyAlignment="1">
      <alignment horizontal="center" vertical="center"/>
    </xf>
    <xf numFmtId="178" fontId="105" fillId="16" borderId="0" xfId="11" applyNumberFormat="1" applyFont="1" applyFill="1" applyAlignment="1">
      <alignment vertical="center"/>
    </xf>
    <xf numFmtId="41" fontId="105" fillId="16" borderId="0" xfId="16" applyFont="1" applyFill="1">
      <alignment vertical="center"/>
    </xf>
    <xf numFmtId="0" fontId="88" fillId="0" borderId="0" xfId="11" applyAlignment="1">
      <alignment horizontal="left"/>
    </xf>
    <xf numFmtId="0" fontId="119" fillId="0" borderId="0" xfId="18" applyFont="1">
      <alignment vertical="center"/>
    </xf>
    <xf numFmtId="0" fontId="82" fillId="0" borderId="0" xfId="18" applyFont="1">
      <alignment vertical="center"/>
    </xf>
    <xf numFmtId="0" fontId="88" fillId="0" borderId="13" xfId="11" applyBorder="1"/>
    <xf numFmtId="0" fontId="88" fillId="7" borderId="13" xfId="11" applyFill="1" applyBorder="1"/>
    <xf numFmtId="0" fontId="88" fillId="17" borderId="13" xfId="11" applyFill="1" applyBorder="1"/>
    <xf numFmtId="49" fontId="105" fillId="0" borderId="0" xfId="0" applyNumberFormat="1" applyFont="1" applyAlignment="1">
      <alignment horizontal="center" vertical="center"/>
    </xf>
    <xf numFmtId="49" fontId="97" fillId="5" borderId="1" xfId="0" applyNumberFormat="1" applyFont="1" applyFill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4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8" borderId="0" xfId="0" applyFill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41" fontId="0" fillId="8" borderId="0" xfId="0" applyNumberFormat="1" applyFill="1" applyAlignment="1">
      <alignment horizontal="center" vertical="center"/>
    </xf>
    <xf numFmtId="41" fontId="0" fillId="0" borderId="0" xfId="0" applyNumberFormat="1" applyAlignment="1">
      <alignment horizontal="right" vertical="center"/>
    </xf>
    <xf numFmtId="1" fontId="0" fillId="0" borderId="17" xfId="0" applyNumberFormat="1" applyBorder="1" applyAlignment="1">
      <alignment horizontal="center" vertical="center"/>
    </xf>
    <xf numFmtId="0" fontId="127" fillId="7" borderId="0" xfId="18" applyFont="1" applyFill="1">
      <alignment vertical="center"/>
    </xf>
    <xf numFmtId="0" fontId="127" fillId="17" borderId="0" xfId="18" applyFont="1" applyFill="1">
      <alignment vertical="center"/>
    </xf>
    <xf numFmtId="0" fontId="128" fillId="0" borderId="1" xfId="11" quotePrefix="1" applyFont="1" applyBorder="1" applyAlignment="1" applyProtection="1">
      <alignment horizontal="center" vertical="center"/>
      <protection locked="0"/>
    </xf>
    <xf numFmtId="0" fontId="128" fillId="5" borderId="1" xfId="11" applyFont="1" applyFill="1" applyBorder="1" applyAlignment="1" applyProtection="1">
      <alignment horizontal="center" vertical="center"/>
      <protection locked="0"/>
    </xf>
    <xf numFmtId="0" fontId="128" fillId="5" borderId="1" xfId="11" applyFont="1" applyFill="1" applyBorder="1" applyAlignment="1">
      <alignment vertical="center"/>
    </xf>
    <xf numFmtId="0" fontId="128" fillId="5" borderId="1" xfId="11" applyFont="1" applyFill="1" applyBorder="1" applyAlignment="1">
      <alignment horizontal="center" vertical="center"/>
    </xf>
    <xf numFmtId="0" fontId="128" fillId="0" borderId="1" xfId="11" applyFont="1" applyBorder="1" applyAlignment="1">
      <alignment horizontal="center" vertical="center"/>
    </xf>
    <xf numFmtId="0" fontId="129" fillId="0" borderId="1" xfId="0" applyFont="1" applyBorder="1" applyAlignment="1">
      <alignment horizontal="center" vertical="center"/>
    </xf>
    <xf numFmtId="0" fontId="113" fillId="0" borderId="0" xfId="11" applyFont="1"/>
    <xf numFmtId="0" fontId="113" fillId="7" borderId="0" xfId="11" applyFont="1" applyFill="1"/>
    <xf numFmtId="0" fontId="113" fillId="17" borderId="0" xfId="11" applyFont="1" applyFill="1"/>
    <xf numFmtId="0" fontId="127" fillId="0" borderId="0" xfId="18" applyFont="1">
      <alignment vertical="center"/>
    </xf>
    <xf numFmtId="0" fontId="127" fillId="0" borderId="0" xfId="18" applyFont="1" applyAlignment="1">
      <alignment horizontal="left" vertical="center"/>
    </xf>
    <xf numFmtId="0" fontId="113" fillId="0" borderId="13" xfId="11" applyFont="1" applyBorder="1"/>
    <xf numFmtId="0" fontId="113" fillId="17" borderId="13" xfId="11" applyFont="1" applyFill="1" applyBorder="1"/>
    <xf numFmtId="0" fontId="130" fillId="0" borderId="0" xfId="18" applyFont="1" applyAlignment="1">
      <alignment horizontal="left" vertical="center"/>
    </xf>
    <xf numFmtId="0" fontId="131" fillId="0" borderId="1" xfId="11" applyFont="1" applyBorder="1" applyAlignment="1">
      <alignment horizontal="center" vertical="center"/>
    </xf>
    <xf numFmtId="0" fontId="128" fillId="0" borderId="1" xfId="19" applyNumberFormat="1" applyFont="1" applyBorder="1" applyAlignment="1">
      <alignment horizontal="center" vertical="center"/>
    </xf>
    <xf numFmtId="0" fontId="0" fillId="12" borderId="0" xfId="0" applyFill="1">
      <alignment vertical="center"/>
    </xf>
    <xf numFmtId="0" fontId="0" fillId="13" borderId="0" xfId="0" applyFill="1" applyAlignment="1">
      <alignment horizontal="left" vertical="center"/>
    </xf>
    <xf numFmtId="49" fontId="0" fillId="13" borderId="0" xfId="0" applyNumberFormat="1" applyFill="1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179" fontId="0" fillId="0" borderId="0" xfId="0" applyNumberFormat="1">
      <alignment vertical="center"/>
    </xf>
    <xf numFmtId="185" fontId="0" fillId="15" borderId="1" xfId="0" applyNumberFormat="1" applyFill="1" applyBorder="1" applyAlignment="1">
      <alignment horizontal="center" vertical="center"/>
    </xf>
    <xf numFmtId="176" fontId="122" fillId="8" borderId="5" xfId="0" applyNumberFormat="1" applyFont="1" applyFill="1" applyBorder="1">
      <alignment vertical="center"/>
    </xf>
    <xf numFmtId="14" fontId="0" fillId="21" borderId="1" xfId="0" applyNumberFormat="1" applyFill="1" applyBorder="1" applyAlignment="1">
      <alignment horizontal="center" vertical="center"/>
    </xf>
    <xf numFmtId="14" fontId="0" fillId="22" borderId="1" xfId="0" applyNumberFormat="1" applyFill="1" applyBorder="1" applyAlignment="1">
      <alignment horizontal="center" vertical="center"/>
    </xf>
    <xf numFmtId="176" fontId="95" fillId="8" borderId="4" xfId="0" applyNumberFormat="1" applyFont="1" applyFill="1" applyBorder="1">
      <alignment vertical="center"/>
    </xf>
    <xf numFmtId="0" fontId="100" fillId="0" borderId="0" xfId="1" applyFont="1" applyFill="1" applyBorder="1" applyAlignment="1">
      <alignment horizontal="center" vertical="center" wrapText="1"/>
    </xf>
    <xf numFmtId="182" fontId="113" fillId="0" borderId="0" xfId="11" applyNumberFormat="1" applyFont="1" applyAlignment="1" applyProtection="1">
      <alignment horizontal="left" vertical="center"/>
      <protection locked="0"/>
    </xf>
    <xf numFmtId="0" fontId="112" fillId="0" borderId="0" xfId="11" applyFont="1" applyAlignment="1">
      <alignment vertical="center"/>
    </xf>
  </cellXfs>
  <cellStyles count="140">
    <cellStyle name="40% - 강조색2" xfId="1" builtinId="35"/>
    <cellStyle name="강조색2" xfId="21" builtinId="33"/>
    <cellStyle name="강조색3" xfId="2" builtinId="37"/>
    <cellStyle name="백분율" xfId="17" builtinId="5"/>
    <cellStyle name="백분율 2" xfId="3" xr:uid="{00000000-0005-0000-0000-000004000000}"/>
    <cellStyle name="백분율 3" xfId="4" xr:uid="{00000000-0005-0000-0000-000005000000}"/>
    <cellStyle name="쉼표 [0]" xfId="16" builtinId="6"/>
    <cellStyle name="쉼표 [0] 2" xfId="5" xr:uid="{00000000-0005-0000-0000-000007000000}"/>
    <cellStyle name="쉼표 [0] 2 2" xfId="19" xr:uid="{00000000-0005-0000-0000-000008000000}"/>
    <cellStyle name="쉼표 [0] 2 2 2" xfId="28" xr:uid="{00000000-0005-0000-0000-000009000000}"/>
    <cellStyle name="쉼표 [0] 2 2 2 2" xfId="52" xr:uid="{00000000-0005-0000-0000-00000A000000}"/>
    <cellStyle name="쉼표 [0] 2 2 3" xfId="36" xr:uid="{00000000-0005-0000-0000-00000B000000}"/>
    <cellStyle name="쉼표 [0] 2 2 3 2" xfId="60" xr:uid="{00000000-0005-0000-0000-00000C000000}"/>
    <cellStyle name="쉼표 [0] 2 2 4" xfId="44" xr:uid="{00000000-0005-0000-0000-00000D000000}"/>
    <cellStyle name="쉼표 [0] 2 3" xfId="22" xr:uid="{00000000-0005-0000-0000-00000E000000}"/>
    <cellStyle name="쉼표 [0] 2 3 2" xfId="46" xr:uid="{00000000-0005-0000-0000-00000F000000}"/>
    <cellStyle name="쉼표 [0] 2 4" xfId="30" xr:uid="{00000000-0005-0000-0000-000010000000}"/>
    <cellStyle name="쉼표 [0] 2 4 2" xfId="54" xr:uid="{00000000-0005-0000-0000-000011000000}"/>
    <cellStyle name="쉼표 [0] 2 5" xfId="38" xr:uid="{00000000-0005-0000-0000-000012000000}"/>
    <cellStyle name="쉼표 [0] 3" xfId="6" xr:uid="{00000000-0005-0000-0000-000013000000}"/>
    <cellStyle name="쉼표 [0] 3 2" xfId="23" xr:uid="{00000000-0005-0000-0000-000014000000}"/>
    <cellStyle name="쉼표 [0] 3 2 2" xfId="47" xr:uid="{00000000-0005-0000-0000-000015000000}"/>
    <cellStyle name="쉼표 [0] 3 3" xfId="31" xr:uid="{00000000-0005-0000-0000-000016000000}"/>
    <cellStyle name="쉼표 [0] 3 3 2" xfId="55" xr:uid="{00000000-0005-0000-0000-000017000000}"/>
    <cellStyle name="쉼표 [0] 3 4" xfId="39" xr:uid="{00000000-0005-0000-0000-000018000000}"/>
    <cellStyle name="쉼표 [0] 4" xfId="7" xr:uid="{00000000-0005-0000-0000-000019000000}"/>
    <cellStyle name="쉼표 [0] 4 2" xfId="24" xr:uid="{00000000-0005-0000-0000-00001A000000}"/>
    <cellStyle name="쉼표 [0] 4 2 2" xfId="48" xr:uid="{00000000-0005-0000-0000-00001B000000}"/>
    <cellStyle name="쉼표 [0] 4 3" xfId="32" xr:uid="{00000000-0005-0000-0000-00001C000000}"/>
    <cellStyle name="쉼표 [0] 4 3 2" xfId="56" xr:uid="{00000000-0005-0000-0000-00001D000000}"/>
    <cellStyle name="쉼표 [0] 4 4" xfId="40" xr:uid="{00000000-0005-0000-0000-00001E000000}"/>
    <cellStyle name="쉼표 [0] 5" xfId="8" xr:uid="{00000000-0005-0000-0000-00001F000000}"/>
    <cellStyle name="쉼표 [0] 5 2" xfId="25" xr:uid="{00000000-0005-0000-0000-000020000000}"/>
    <cellStyle name="쉼표 [0] 5 2 2" xfId="49" xr:uid="{00000000-0005-0000-0000-000021000000}"/>
    <cellStyle name="쉼표 [0] 5 3" xfId="33" xr:uid="{00000000-0005-0000-0000-000022000000}"/>
    <cellStyle name="쉼표 [0] 5 3 2" xfId="57" xr:uid="{00000000-0005-0000-0000-000023000000}"/>
    <cellStyle name="쉼표 [0] 5 4" xfId="41" xr:uid="{00000000-0005-0000-0000-000024000000}"/>
    <cellStyle name="쉼표 [0] 6" xfId="20" xr:uid="{00000000-0005-0000-0000-000025000000}"/>
    <cellStyle name="쉼표 [0] 6 2" xfId="29" xr:uid="{00000000-0005-0000-0000-000026000000}"/>
    <cellStyle name="쉼표 [0] 6 2 2" xfId="53" xr:uid="{00000000-0005-0000-0000-000027000000}"/>
    <cellStyle name="쉼표 [0] 6 3" xfId="37" xr:uid="{00000000-0005-0000-0000-000028000000}"/>
    <cellStyle name="쉼표 [0] 6 3 2" xfId="61" xr:uid="{00000000-0005-0000-0000-000029000000}"/>
    <cellStyle name="쉼표 [0] 6 4" xfId="45" xr:uid="{00000000-0005-0000-0000-00002A000000}"/>
    <cellStyle name="쉼표 [0] 7" xfId="26" xr:uid="{00000000-0005-0000-0000-00002B000000}"/>
    <cellStyle name="쉼표 [0] 7 2" xfId="50" xr:uid="{00000000-0005-0000-0000-00002C000000}"/>
    <cellStyle name="쉼표 [0] 8" xfId="34" xr:uid="{00000000-0005-0000-0000-00002D000000}"/>
    <cellStyle name="쉼표 [0] 8 2" xfId="58" xr:uid="{00000000-0005-0000-0000-00002E000000}"/>
    <cellStyle name="쉼표 [0] 9" xfId="42" xr:uid="{00000000-0005-0000-0000-00002F000000}"/>
    <cellStyle name="입력" xfId="9" builtinId="20"/>
    <cellStyle name="콤마 [0]_Weekly Production Plan" xfId="10" xr:uid="{00000000-0005-0000-0000-000031000000}"/>
    <cellStyle name="표준" xfId="0" builtinId="0"/>
    <cellStyle name="표준 10" xfId="64" xr:uid="{00000000-0005-0000-0000-000033000000}"/>
    <cellStyle name="표준 11" xfId="65" xr:uid="{00000000-0005-0000-0000-000034000000}"/>
    <cellStyle name="표준 12" xfId="66" xr:uid="{00000000-0005-0000-0000-000035000000}"/>
    <cellStyle name="표준 13" xfId="67" xr:uid="{00000000-0005-0000-0000-000036000000}"/>
    <cellStyle name="표준 14" xfId="68" xr:uid="{00000000-0005-0000-0000-000037000000}"/>
    <cellStyle name="표준 15" xfId="69" xr:uid="{00000000-0005-0000-0000-000038000000}"/>
    <cellStyle name="표준 16" xfId="70" xr:uid="{00000000-0005-0000-0000-000039000000}"/>
    <cellStyle name="표준 17" xfId="71" xr:uid="{00000000-0005-0000-0000-00003A000000}"/>
    <cellStyle name="표준 18" xfId="72" xr:uid="{00000000-0005-0000-0000-00003B000000}"/>
    <cellStyle name="표준 19" xfId="73" xr:uid="{00000000-0005-0000-0000-00003C000000}"/>
    <cellStyle name="표준 2" xfId="11" xr:uid="{00000000-0005-0000-0000-00003D000000}"/>
    <cellStyle name="표준 20" xfId="74" xr:uid="{00000000-0005-0000-0000-00003E000000}"/>
    <cellStyle name="표준 21" xfId="75" xr:uid="{00000000-0005-0000-0000-00003F000000}"/>
    <cellStyle name="표준 22" xfId="76" xr:uid="{00000000-0005-0000-0000-000040000000}"/>
    <cellStyle name="표준 23" xfId="77" xr:uid="{00000000-0005-0000-0000-000041000000}"/>
    <cellStyle name="표준 24" xfId="78" xr:uid="{00000000-0005-0000-0000-000042000000}"/>
    <cellStyle name="표준 25" xfId="79" xr:uid="{00000000-0005-0000-0000-000043000000}"/>
    <cellStyle name="표준 26" xfId="80" xr:uid="{00000000-0005-0000-0000-000044000000}"/>
    <cellStyle name="표준 27" xfId="81" xr:uid="{00000000-0005-0000-0000-000045000000}"/>
    <cellStyle name="표준 28" xfId="82" xr:uid="{00000000-0005-0000-0000-000046000000}"/>
    <cellStyle name="표준 29" xfId="83" xr:uid="{00000000-0005-0000-0000-000047000000}"/>
    <cellStyle name="표준 3" xfId="12" xr:uid="{00000000-0005-0000-0000-000048000000}"/>
    <cellStyle name="표준 30" xfId="84" xr:uid="{00000000-0005-0000-0000-000049000000}"/>
    <cellStyle name="표준 31" xfId="85" xr:uid="{00000000-0005-0000-0000-00004A000000}"/>
    <cellStyle name="표준 32" xfId="86" xr:uid="{00000000-0005-0000-0000-00004B000000}"/>
    <cellStyle name="표준 33" xfId="87" xr:uid="{00000000-0005-0000-0000-00004C000000}"/>
    <cellStyle name="표준 34" xfId="88" xr:uid="{00000000-0005-0000-0000-00004D000000}"/>
    <cellStyle name="표준 35" xfId="89" xr:uid="{00000000-0005-0000-0000-00004E000000}"/>
    <cellStyle name="표준 36" xfId="90" xr:uid="{00000000-0005-0000-0000-00004F000000}"/>
    <cellStyle name="표준 37" xfId="91" xr:uid="{00000000-0005-0000-0000-000050000000}"/>
    <cellStyle name="표준 38" xfId="92" xr:uid="{00000000-0005-0000-0000-000051000000}"/>
    <cellStyle name="표준 39" xfId="93" xr:uid="{00000000-0005-0000-0000-000052000000}"/>
    <cellStyle name="표준 4" xfId="13" xr:uid="{00000000-0005-0000-0000-000053000000}"/>
    <cellStyle name="표준 40" xfId="94" xr:uid="{00000000-0005-0000-0000-000054000000}"/>
    <cellStyle name="표준 41" xfId="95" xr:uid="{00000000-0005-0000-0000-000055000000}"/>
    <cellStyle name="표준 42" xfId="96" xr:uid="{00000000-0005-0000-0000-000056000000}"/>
    <cellStyle name="표준 43" xfId="97" xr:uid="{00000000-0005-0000-0000-000057000000}"/>
    <cellStyle name="표준 44" xfId="98" xr:uid="{00000000-0005-0000-0000-000058000000}"/>
    <cellStyle name="표준 45" xfId="99" xr:uid="{00000000-0005-0000-0000-000059000000}"/>
    <cellStyle name="표준 46" xfId="100" xr:uid="{00000000-0005-0000-0000-00005A000000}"/>
    <cellStyle name="표준 47" xfId="101" xr:uid="{00000000-0005-0000-0000-00005B000000}"/>
    <cellStyle name="표준 48" xfId="102" xr:uid="{00000000-0005-0000-0000-00005C000000}"/>
    <cellStyle name="표준 49" xfId="103" xr:uid="{00000000-0005-0000-0000-00005D000000}"/>
    <cellStyle name="표준 5" xfId="14" xr:uid="{00000000-0005-0000-0000-00005E000000}"/>
    <cellStyle name="표준 50" xfId="104" xr:uid="{00000000-0005-0000-0000-00005F000000}"/>
    <cellStyle name="표준 51" xfId="105" xr:uid="{00000000-0005-0000-0000-000060000000}"/>
    <cellStyle name="표준 52" xfId="106" xr:uid="{00000000-0005-0000-0000-000061000000}"/>
    <cellStyle name="표준 53" xfId="107" xr:uid="{00000000-0005-0000-0000-000062000000}"/>
    <cellStyle name="표준 54" xfId="108" xr:uid="{00000000-0005-0000-0000-000063000000}"/>
    <cellStyle name="표준 55" xfId="109" xr:uid="{00000000-0005-0000-0000-000064000000}"/>
    <cellStyle name="표준 56" xfId="110" xr:uid="{00000000-0005-0000-0000-000065000000}"/>
    <cellStyle name="표준 57" xfId="111" xr:uid="{00000000-0005-0000-0000-000066000000}"/>
    <cellStyle name="표준 58" xfId="112" xr:uid="{00000000-0005-0000-0000-000067000000}"/>
    <cellStyle name="표준 59" xfId="113" xr:uid="{00000000-0005-0000-0000-000068000000}"/>
    <cellStyle name="표준 6" xfId="15" xr:uid="{00000000-0005-0000-0000-000069000000}"/>
    <cellStyle name="표준 60" xfId="114" xr:uid="{00000000-0005-0000-0000-00006A000000}"/>
    <cellStyle name="표준 61" xfId="115" xr:uid="{00000000-0005-0000-0000-00006B000000}"/>
    <cellStyle name="표준 62" xfId="116" xr:uid="{00000000-0005-0000-0000-00006C000000}"/>
    <cellStyle name="표준 63" xfId="117" xr:uid="{00000000-0005-0000-0000-00006D000000}"/>
    <cellStyle name="표준 64" xfId="118" xr:uid="{00000000-0005-0000-0000-00006E000000}"/>
    <cellStyle name="표준 65" xfId="119" xr:uid="{00000000-0005-0000-0000-00006F000000}"/>
    <cellStyle name="표준 66" xfId="120" xr:uid="{00000000-0005-0000-0000-000070000000}"/>
    <cellStyle name="표준 67" xfId="121" xr:uid="{00000000-0005-0000-0000-000071000000}"/>
    <cellStyle name="표준 68" xfId="122" xr:uid="{00000000-0005-0000-0000-000072000000}"/>
    <cellStyle name="표준 69" xfId="123" xr:uid="{00000000-0005-0000-0000-000073000000}"/>
    <cellStyle name="표준 7" xfId="18" xr:uid="{00000000-0005-0000-0000-000074000000}"/>
    <cellStyle name="표준 7 2" xfId="27" xr:uid="{00000000-0005-0000-0000-000075000000}"/>
    <cellStyle name="표준 7 2 2" xfId="51" xr:uid="{00000000-0005-0000-0000-000076000000}"/>
    <cellStyle name="표준 7 3" xfId="35" xr:uid="{00000000-0005-0000-0000-000077000000}"/>
    <cellStyle name="표준 7 3 2" xfId="59" xr:uid="{00000000-0005-0000-0000-000078000000}"/>
    <cellStyle name="표준 7 4" xfId="43" xr:uid="{00000000-0005-0000-0000-000079000000}"/>
    <cellStyle name="표준 70" xfId="124" xr:uid="{00000000-0005-0000-0000-00007A000000}"/>
    <cellStyle name="표준 71" xfId="125" xr:uid="{00000000-0005-0000-0000-00007B000000}"/>
    <cellStyle name="표준 72" xfId="126" xr:uid="{00000000-0005-0000-0000-00007C000000}"/>
    <cellStyle name="표준 73" xfId="127" xr:uid="{00000000-0005-0000-0000-00007D000000}"/>
    <cellStyle name="표준 74" xfId="128" xr:uid="{00000000-0005-0000-0000-00007E000000}"/>
    <cellStyle name="표준 75" xfId="129" xr:uid="{00000000-0005-0000-0000-00007F000000}"/>
    <cellStyle name="표준 76" xfId="130" xr:uid="{00000000-0005-0000-0000-000080000000}"/>
    <cellStyle name="표준 77" xfId="131" xr:uid="{00000000-0005-0000-0000-000081000000}"/>
    <cellStyle name="표준 78" xfId="132" xr:uid="{00000000-0005-0000-0000-000082000000}"/>
    <cellStyle name="표준 79" xfId="133" xr:uid="{00000000-0005-0000-0000-000083000000}"/>
    <cellStyle name="표준 8" xfId="62" xr:uid="{00000000-0005-0000-0000-000084000000}"/>
    <cellStyle name="표준 80" xfId="134" xr:uid="{00000000-0005-0000-0000-000085000000}"/>
    <cellStyle name="표준 81" xfId="135" xr:uid="{00000000-0005-0000-0000-000086000000}"/>
    <cellStyle name="표준 82" xfId="136" xr:uid="{00000000-0005-0000-0000-000087000000}"/>
    <cellStyle name="표준 83" xfId="137" xr:uid="{00000000-0005-0000-0000-000088000000}"/>
    <cellStyle name="표준 84" xfId="138" xr:uid="{00000000-0005-0000-0000-000089000000}"/>
    <cellStyle name="표준 85" xfId="139" xr:uid="{00000000-0005-0000-0000-00008A000000}"/>
    <cellStyle name="표준 9" xfId="63" xr:uid="{00000000-0005-0000-0000-00008B000000}"/>
  </cellStyles>
  <dxfs count="2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'믹스(잔량실사표)'!#REF!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C-4246-A849-B7A4DE616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48864"/>
        <c:axId val="146950400"/>
      </c:barChart>
      <c:catAx>
        <c:axId val="146948864"/>
        <c:scaling>
          <c:orientation val="minMax"/>
        </c:scaling>
        <c:delete val="0"/>
        <c:axPos val="b"/>
        <c:majorTickMark val="out"/>
        <c:minorTickMark val="none"/>
        <c:tickLblPos val="nextTo"/>
        <c:crossAx val="146950400"/>
        <c:crosses val="autoZero"/>
        <c:auto val="1"/>
        <c:lblAlgn val="ctr"/>
        <c:lblOffset val="100"/>
        <c:noMultiLvlLbl val="0"/>
      </c:catAx>
      <c:valAx>
        <c:axId val="146950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69488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 codeName="차트14">
    <tabColor rgb="FFFF0000"/>
  </sheetPr>
  <sheetViews>
    <sheetView zoomScale="12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976312</xdr:colOff>
      <xdr:row>0</xdr:row>
      <xdr:rowOff>130969</xdr:rowOff>
    </xdr:from>
    <xdr:to>
      <xdr:col>21</xdr:col>
      <xdr:colOff>619124</xdr:colOff>
      <xdr:row>26</xdr:row>
      <xdr:rowOff>107156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97" t="24355" r="21393" b="15472"/>
        <a:stretch>
          <a:fillRect/>
        </a:stretch>
      </xdr:blipFill>
      <xdr:spPr bwMode="auto">
        <a:xfrm>
          <a:off x="9310687" y="130969"/>
          <a:ext cx="9084469" cy="461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483420</xdr:colOff>
      <xdr:row>1</xdr:row>
      <xdr:rowOff>62082</xdr:rowOff>
    </xdr:from>
    <xdr:to>
      <xdr:col>7</xdr:col>
      <xdr:colOff>2513752</xdr:colOff>
      <xdr:row>5</xdr:row>
      <xdr:rowOff>199179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5420" y="718249"/>
          <a:ext cx="4063576" cy="973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483420</xdr:colOff>
      <xdr:row>1</xdr:row>
      <xdr:rowOff>62082</xdr:rowOff>
    </xdr:from>
    <xdr:to>
      <xdr:col>8</xdr:col>
      <xdr:colOff>631163</xdr:colOff>
      <xdr:row>5</xdr:row>
      <xdr:rowOff>199179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9070" y="719307"/>
          <a:ext cx="4052993" cy="9657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0779" cy="6050717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W185"/>
  <sheetViews>
    <sheetView showGridLines="0" showZeros="0" zoomScale="80" zoomScaleNormal="80" workbookViewId="0">
      <pane xSplit="6" ySplit="3" topLeftCell="G4" activePane="bottomRight" state="frozen"/>
      <selection activeCell="A3" sqref="A3"/>
      <selection pane="topRight" activeCell="A3" sqref="A3"/>
      <selection pane="bottomLeft" activeCell="A3" sqref="A3"/>
      <selection pane="bottomRight" activeCell="N40" sqref="N40"/>
    </sheetView>
  </sheetViews>
  <sheetFormatPr defaultRowHeight="16.5" x14ac:dyDescent="0.3"/>
  <cols>
    <col min="1" max="1" width="11.5" hidden="1" customWidth="1"/>
    <col min="2" max="2" width="11.5" customWidth="1"/>
    <col min="3" max="3" width="35.625" bestFit="1" customWidth="1"/>
    <col min="4" max="4" width="11.25" hidden="1" customWidth="1"/>
    <col min="5" max="5" width="7.75" customWidth="1"/>
    <col min="6" max="6" width="8.125" customWidth="1"/>
    <col min="7" max="7" width="11.25" style="1" customWidth="1"/>
    <col min="8" max="8" width="11.375" style="1" customWidth="1"/>
    <col min="9" max="9" width="11.625" style="1" customWidth="1"/>
    <col min="10" max="10" width="10.625" style="1" customWidth="1"/>
    <col min="11" max="11" width="12.5" style="1" customWidth="1"/>
    <col min="12" max="12" width="11.75" style="1" customWidth="1"/>
    <col min="13" max="13" width="11.5" style="1" customWidth="1"/>
    <col min="14" max="14" width="10.625" style="1" customWidth="1"/>
    <col min="15" max="15" width="3.625" customWidth="1"/>
    <col min="16" max="19" width="13.25" customWidth="1"/>
    <col min="20" max="20" width="12.625" customWidth="1"/>
    <col min="21" max="21" width="10.5" bestFit="1" customWidth="1"/>
    <col min="22" max="23" width="9" style="71"/>
  </cols>
  <sheetData>
    <row r="1" spans="1:23" s="3" customFormat="1" ht="15" customHeight="1" x14ac:dyDescent="0.3">
      <c r="A1" s="6"/>
      <c r="B1" s="6"/>
      <c r="C1" s="236" t="s">
        <v>328</v>
      </c>
      <c r="D1" s="13"/>
      <c r="E1" s="6"/>
      <c r="F1" s="6"/>
      <c r="G1" s="4"/>
      <c r="H1" s="4"/>
      <c r="I1" s="4"/>
      <c r="J1" s="4"/>
      <c r="K1" s="4"/>
      <c r="L1" s="4"/>
      <c r="M1" s="4"/>
      <c r="N1" s="25"/>
      <c r="V1" s="84"/>
      <c r="W1" s="84"/>
    </row>
    <row r="2" spans="1:23" s="3" customFormat="1" ht="13.5" customHeight="1" x14ac:dyDescent="0.3">
      <c r="A2" s="7"/>
      <c r="B2" s="7"/>
      <c r="C2" s="236"/>
      <c r="D2" s="13"/>
      <c r="E2" s="7"/>
      <c r="F2" s="7"/>
      <c r="G2" s="4"/>
      <c r="H2" s="4"/>
      <c r="I2" s="4"/>
      <c r="J2" s="4"/>
      <c r="K2" s="4"/>
      <c r="L2" s="4"/>
      <c r="M2" s="4"/>
      <c r="N2" s="4"/>
      <c r="V2" s="84"/>
      <c r="W2" s="84"/>
    </row>
    <row r="3" spans="1:23" ht="24" customHeight="1" x14ac:dyDescent="0.3">
      <c r="A3" s="28" t="s">
        <v>430</v>
      </c>
      <c r="B3" s="73" t="s">
        <v>429</v>
      </c>
      <c r="C3" s="73" t="s">
        <v>0</v>
      </c>
      <c r="D3" s="28" t="s">
        <v>302</v>
      </c>
      <c r="E3" s="73" t="s">
        <v>370</v>
      </c>
      <c r="F3" s="73" t="s">
        <v>371</v>
      </c>
      <c r="G3" s="72" t="s">
        <v>369</v>
      </c>
      <c r="H3" s="72" t="s">
        <v>324</v>
      </c>
      <c r="I3" s="72" t="s">
        <v>325</v>
      </c>
      <c r="J3" s="72" t="s">
        <v>336</v>
      </c>
      <c r="K3" s="72" t="s">
        <v>326</v>
      </c>
      <c r="L3" s="74" t="s">
        <v>1616</v>
      </c>
      <c r="M3" s="72" t="s">
        <v>357</v>
      </c>
      <c r="N3" s="75" t="s">
        <v>327</v>
      </c>
      <c r="P3" s="80" t="s">
        <v>369</v>
      </c>
      <c r="Q3" s="80" t="s">
        <v>324</v>
      </c>
      <c r="R3" s="80" t="s">
        <v>325</v>
      </c>
      <c r="S3" s="80" t="s">
        <v>336</v>
      </c>
      <c r="T3" s="80" t="s">
        <v>1832</v>
      </c>
      <c r="U3" s="80" t="s">
        <v>1833</v>
      </c>
      <c r="V3" s="85" t="s">
        <v>1834</v>
      </c>
      <c r="W3" s="85" t="s">
        <v>1835</v>
      </c>
    </row>
    <row r="4" spans="1:23" ht="16.5" hidden="1" customHeight="1" x14ac:dyDescent="0.3">
      <c r="A4" s="9">
        <v>7870</v>
      </c>
      <c r="B4" s="9" t="s">
        <v>1357</v>
      </c>
      <c r="C4" s="31" t="s">
        <v>1192</v>
      </c>
      <c r="D4" s="31" t="s">
        <v>320</v>
      </c>
      <c r="E4" s="9"/>
      <c r="F4" s="9">
        <v>72</v>
      </c>
      <c r="G4" s="2">
        <v>0</v>
      </c>
      <c r="H4" s="2">
        <v>0</v>
      </c>
      <c r="I4" s="2">
        <v>71</v>
      </c>
      <c r="J4" s="2">
        <v>0</v>
      </c>
      <c r="K4" s="2">
        <v>71</v>
      </c>
      <c r="L4" s="2">
        <v>73</v>
      </c>
      <c r="M4" s="2">
        <v>0</v>
      </c>
      <c r="N4" s="37">
        <v>-2</v>
      </c>
      <c r="V4"/>
      <c r="W4"/>
    </row>
    <row r="5" spans="1:23" ht="16.5" hidden="1" customHeight="1" x14ac:dyDescent="0.3">
      <c r="A5" s="9">
        <v>7011</v>
      </c>
      <c r="B5" s="9" t="s">
        <v>1286</v>
      </c>
      <c r="C5" s="31" t="s">
        <v>1287</v>
      </c>
      <c r="D5" s="31" t="s">
        <v>320</v>
      </c>
      <c r="E5" s="9"/>
      <c r="F5" s="9">
        <v>72</v>
      </c>
      <c r="G5" s="2">
        <v>0</v>
      </c>
      <c r="H5" s="2">
        <v>936</v>
      </c>
      <c r="I5" s="2">
        <v>28</v>
      </c>
      <c r="J5" s="2">
        <v>0</v>
      </c>
      <c r="K5" s="2">
        <v>964</v>
      </c>
      <c r="L5" s="2">
        <v>964</v>
      </c>
      <c r="M5" s="2">
        <v>0</v>
      </c>
      <c r="N5" s="37">
        <v>0</v>
      </c>
      <c r="V5"/>
      <c r="W5"/>
    </row>
    <row r="6" spans="1:23" ht="16.5" hidden="1" customHeight="1" x14ac:dyDescent="0.3">
      <c r="A6" s="9">
        <v>7871</v>
      </c>
      <c r="B6" s="9" t="s">
        <v>1359</v>
      </c>
      <c r="C6" s="31" t="s">
        <v>1193</v>
      </c>
      <c r="D6" s="31" t="s">
        <v>320</v>
      </c>
      <c r="E6" s="9"/>
      <c r="F6" s="9">
        <v>72</v>
      </c>
      <c r="G6" s="2">
        <v>0</v>
      </c>
      <c r="H6" s="2">
        <v>936</v>
      </c>
      <c r="I6" s="2">
        <v>48</v>
      </c>
      <c r="J6" s="2">
        <v>0</v>
      </c>
      <c r="K6" s="2">
        <v>984</v>
      </c>
      <c r="L6" s="2">
        <v>983</v>
      </c>
      <c r="M6" s="2">
        <v>0</v>
      </c>
      <c r="N6" s="37">
        <v>1</v>
      </c>
      <c r="V6"/>
      <c r="W6"/>
    </row>
    <row r="7" spans="1:23" ht="16.5" hidden="1" customHeight="1" x14ac:dyDescent="0.3">
      <c r="A7" s="9">
        <v>7873</v>
      </c>
      <c r="B7" s="9" t="s">
        <v>1361</v>
      </c>
      <c r="C7" s="31" t="s">
        <v>1362</v>
      </c>
      <c r="D7" s="31" t="s">
        <v>320</v>
      </c>
      <c r="E7" s="9"/>
      <c r="F7" s="9">
        <v>72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37">
        <v>0</v>
      </c>
      <c r="V7"/>
      <c r="W7"/>
    </row>
    <row r="8" spans="1:23" ht="16.5" hidden="1" customHeight="1" x14ac:dyDescent="0.3">
      <c r="A8" s="9">
        <v>7875</v>
      </c>
      <c r="B8" s="9" t="s">
        <v>1198</v>
      </c>
      <c r="C8" s="31" t="s">
        <v>1199</v>
      </c>
      <c r="D8" s="31" t="s">
        <v>320</v>
      </c>
      <c r="E8" s="9"/>
      <c r="F8" s="9">
        <v>64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37">
        <v>0</v>
      </c>
      <c r="V8"/>
      <c r="W8"/>
    </row>
    <row r="9" spans="1:23" ht="16.5" hidden="1" customHeight="1" x14ac:dyDescent="0.3">
      <c r="A9" s="9">
        <v>7872</v>
      </c>
      <c r="B9" s="9" t="s">
        <v>1360</v>
      </c>
      <c r="C9" s="31" t="s">
        <v>1194</v>
      </c>
      <c r="D9" s="31" t="s">
        <v>320</v>
      </c>
      <c r="E9" s="9"/>
      <c r="F9" s="9">
        <v>64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37">
        <v>0</v>
      </c>
      <c r="V9"/>
      <c r="W9"/>
    </row>
    <row r="10" spans="1:23" ht="16.5" hidden="1" customHeight="1" x14ac:dyDescent="0.3">
      <c r="A10" s="9">
        <v>7876</v>
      </c>
      <c r="B10" s="9" t="s">
        <v>1364</v>
      </c>
      <c r="C10" s="31" t="s">
        <v>1365</v>
      </c>
      <c r="D10" s="31" t="s">
        <v>320</v>
      </c>
      <c r="E10" s="9"/>
      <c r="F10" s="9">
        <v>72</v>
      </c>
      <c r="G10" s="2">
        <v>0</v>
      </c>
      <c r="H10" s="2">
        <v>648</v>
      </c>
      <c r="I10" s="2">
        <v>72</v>
      </c>
      <c r="J10" s="2">
        <v>0</v>
      </c>
      <c r="K10" s="2">
        <v>720</v>
      </c>
      <c r="L10" s="2">
        <v>716</v>
      </c>
      <c r="M10" s="2">
        <v>0</v>
      </c>
      <c r="N10" s="37">
        <v>4</v>
      </c>
      <c r="V10"/>
      <c r="W10"/>
    </row>
    <row r="11" spans="1:23" ht="16.5" hidden="1" customHeight="1" x14ac:dyDescent="0.3">
      <c r="A11" s="9">
        <v>7877</v>
      </c>
      <c r="B11" s="9" t="s">
        <v>1196</v>
      </c>
      <c r="C11" s="31" t="s">
        <v>1197</v>
      </c>
      <c r="D11" s="31" t="s">
        <v>320</v>
      </c>
      <c r="E11" s="9"/>
      <c r="F11" s="9">
        <v>72</v>
      </c>
      <c r="G11" s="2">
        <v>0</v>
      </c>
      <c r="H11" s="2">
        <v>432</v>
      </c>
      <c r="I11" s="2">
        <v>50</v>
      </c>
      <c r="J11" s="2">
        <v>0</v>
      </c>
      <c r="K11" s="2">
        <v>482</v>
      </c>
      <c r="L11" s="2">
        <v>480</v>
      </c>
      <c r="M11" s="2">
        <v>0</v>
      </c>
      <c r="N11" s="37">
        <v>2</v>
      </c>
      <c r="V11"/>
      <c r="W11"/>
    </row>
    <row r="12" spans="1:23" ht="16.5" hidden="1" customHeight="1" x14ac:dyDescent="0.3">
      <c r="A12" s="9">
        <v>7878</v>
      </c>
      <c r="B12" s="9" t="s">
        <v>1366</v>
      </c>
      <c r="C12" s="31" t="s">
        <v>1367</v>
      </c>
      <c r="D12" s="31" t="s">
        <v>320</v>
      </c>
      <c r="E12" s="9"/>
      <c r="F12" s="9">
        <v>72</v>
      </c>
      <c r="G12" s="2">
        <v>0</v>
      </c>
      <c r="H12" s="2">
        <v>720</v>
      </c>
      <c r="I12" s="2">
        <v>0</v>
      </c>
      <c r="J12" s="2">
        <v>0</v>
      </c>
      <c r="K12" s="2">
        <v>720</v>
      </c>
      <c r="L12" s="2">
        <v>720</v>
      </c>
      <c r="M12" s="2">
        <v>0</v>
      </c>
      <c r="N12" s="37">
        <v>0</v>
      </c>
      <c r="V12"/>
      <c r="W12"/>
    </row>
    <row r="13" spans="1:23" ht="16.5" hidden="1" customHeight="1" x14ac:dyDescent="0.3">
      <c r="A13" s="9">
        <v>7915</v>
      </c>
      <c r="B13" s="9" t="s">
        <v>1401</v>
      </c>
      <c r="C13" s="31" t="s">
        <v>1402</v>
      </c>
      <c r="D13" s="31" t="s">
        <v>320</v>
      </c>
      <c r="E13" s="9"/>
      <c r="F13" s="9">
        <v>72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37">
        <v>0</v>
      </c>
      <c r="V13"/>
      <c r="W13"/>
    </row>
    <row r="14" spans="1:23" ht="16.5" hidden="1" customHeight="1" x14ac:dyDescent="0.3">
      <c r="A14" s="9">
        <v>5630</v>
      </c>
      <c r="B14" s="9" t="s">
        <v>1054</v>
      </c>
      <c r="C14" s="31" t="s">
        <v>1055</v>
      </c>
      <c r="D14" s="31" t="s">
        <v>368</v>
      </c>
      <c r="E14" s="9"/>
      <c r="F14" s="9">
        <v>240</v>
      </c>
      <c r="G14" s="2">
        <v>0</v>
      </c>
      <c r="H14" s="2">
        <v>0</v>
      </c>
      <c r="I14" s="2">
        <v>24</v>
      </c>
      <c r="J14" s="2">
        <v>0</v>
      </c>
      <c r="K14" s="2">
        <v>24</v>
      </c>
      <c r="L14" s="2">
        <v>24</v>
      </c>
      <c r="M14" s="2">
        <v>0</v>
      </c>
      <c r="N14" s="37">
        <v>0</v>
      </c>
      <c r="V14"/>
      <c r="W14"/>
    </row>
    <row r="15" spans="1:23" ht="16.5" hidden="1" customHeight="1" x14ac:dyDescent="0.3">
      <c r="A15" s="9">
        <v>5631</v>
      </c>
      <c r="B15" s="9" t="s">
        <v>1056</v>
      </c>
      <c r="C15" s="31" t="s">
        <v>1057</v>
      </c>
      <c r="D15" s="31" t="s">
        <v>368</v>
      </c>
      <c r="E15" s="9"/>
      <c r="F15" s="9">
        <v>180</v>
      </c>
      <c r="G15" s="2">
        <v>0</v>
      </c>
      <c r="H15" s="2">
        <v>0</v>
      </c>
      <c r="I15" s="2">
        <v>2364</v>
      </c>
      <c r="J15" s="2">
        <v>0</v>
      </c>
      <c r="K15" s="2">
        <v>2364</v>
      </c>
      <c r="L15" s="2">
        <v>2363</v>
      </c>
      <c r="M15" s="2">
        <v>0</v>
      </c>
      <c r="N15" s="37">
        <v>1</v>
      </c>
      <c r="V15"/>
      <c r="W15"/>
    </row>
    <row r="16" spans="1:23" ht="16.5" hidden="1" customHeight="1" x14ac:dyDescent="0.3">
      <c r="A16" s="9">
        <v>8210</v>
      </c>
      <c r="B16" s="9" t="s">
        <v>1771</v>
      </c>
      <c r="C16" s="31" t="s">
        <v>1772</v>
      </c>
      <c r="D16" s="31" t="s">
        <v>1773</v>
      </c>
      <c r="E16" s="9"/>
      <c r="F16" s="9">
        <v>84</v>
      </c>
      <c r="G16" s="2">
        <v>0</v>
      </c>
      <c r="H16" s="2">
        <v>1932</v>
      </c>
      <c r="I16" s="2">
        <v>100</v>
      </c>
      <c r="J16" s="2">
        <v>0</v>
      </c>
      <c r="K16" s="2">
        <v>2032</v>
      </c>
      <c r="L16" s="2">
        <v>2032</v>
      </c>
      <c r="M16" s="2">
        <v>0</v>
      </c>
      <c r="N16" s="37">
        <v>0</v>
      </c>
      <c r="V16"/>
      <c r="W16"/>
    </row>
    <row r="17" spans="1:23" ht="16.5" hidden="1" customHeight="1" x14ac:dyDescent="0.3">
      <c r="A17" s="9">
        <v>8211</v>
      </c>
      <c r="B17" s="9" t="s">
        <v>1774</v>
      </c>
      <c r="C17" s="31" t="s">
        <v>1826</v>
      </c>
      <c r="D17" s="31" t="s">
        <v>1773</v>
      </c>
      <c r="E17" s="9"/>
      <c r="F17" s="9">
        <v>84</v>
      </c>
      <c r="G17" s="2">
        <v>0</v>
      </c>
      <c r="H17" s="2">
        <v>2772</v>
      </c>
      <c r="I17" s="2">
        <v>66</v>
      </c>
      <c r="J17" s="2">
        <v>167</v>
      </c>
      <c r="K17" s="2">
        <v>3005</v>
      </c>
      <c r="L17" s="2">
        <v>3005</v>
      </c>
      <c r="M17" s="2">
        <v>0</v>
      </c>
      <c r="N17" s="37">
        <v>0</v>
      </c>
      <c r="V17"/>
      <c r="W17"/>
    </row>
    <row r="18" spans="1:23" ht="16.5" hidden="1" customHeight="1" x14ac:dyDescent="0.3">
      <c r="A18" s="9">
        <v>6194</v>
      </c>
      <c r="B18" s="9" t="s">
        <v>1138</v>
      </c>
      <c r="C18" s="31" t="s">
        <v>1139</v>
      </c>
      <c r="D18" s="31" t="s">
        <v>354</v>
      </c>
      <c r="E18" s="9">
        <v>36</v>
      </c>
      <c r="F18" s="9"/>
      <c r="G18" s="2">
        <v>0</v>
      </c>
      <c r="H18" s="2">
        <v>0</v>
      </c>
      <c r="I18" s="2">
        <v>31</v>
      </c>
      <c r="J18" s="2">
        <v>0</v>
      </c>
      <c r="K18" s="2">
        <v>31</v>
      </c>
      <c r="L18" s="2">
        <v>31</v>
      </c>
      <c r="M18" s="2">
        <v>0</v>
      </c>
      <c r="N18" s="37">
        <v>0</v>
      </c>
      <c r="V18"/>
      <c r="W18"/>
    </row>
    <row r="19" spans="1:23" ht="16.5" hidden="1" customHeight="1" x14ac:dyDescent="0.3">
      <c r="A19" s="9">
        <v>5490</v>
      </c>
      <c r="B19" s="9" t="s">
        <v>975</v>
      </c>
      <c r="C19" s="31" t="s">
        <v>976</v>
      </c>
      <c r="D19" s="31" t="s">
        <v>317</v>
      </c>
      <c r="E19" s="9">
        <v>91</v>
      </c>
      <c r="F19" s="9"/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37">
        <v>0</v>
      </c>
      <c r="V19"/>
      <c r="W19"/>
    </row>
    <row r="20" spans="1:23" ht="16.5" hidden="1" customHeight="1" x14ac:dyDescent="0.3">
      <c r="A20" s="9">
        <v>5492</v>
      </c>
      <c r="B20" s="9" t="s">
        <v>980</v>
      </c>
      <c r="C20" s="31" t="s">
        <v>981</v>
      </c>
      <c r="D20" s="31" t="s">
        <v>317</v>
      </c>
      <c r="E20" s="9">
        <v>91</v>
      </c>
      <c r="F20" s="9"/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37">
        <v>0</v>
      </c>
      <c r="V20"/>
      <c r="W20"/>
    </row>
    <row r="21" spans="1:23" ht="16.5" hidden="1" customHeight="1" x14ac:dyDescent="0.3">
      <c r="A21" s="9">
        <v>5535</v>
      </c>
      <c r="B21" s="9" t="s">
        <v>999</v>
      </c>
      <c r="C21" s="31" t="s">
        <v>1000</v>
      </c>
      <c r="D21" s="31" t="s">
        <v>317</v>
      </c>
      <c r="E21" s="9"/>
      <c r="F21" s="9">
        <v>64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37">
        <v>0</v>
      </c>
      <c r="V21"/>
      <c r="W21"/>
    </row>
    <row r="22" spans="1:23" ht="16.5" hidden="1" customHeight="1" x14ac:dyDescent="0.3">
      <c r="A22" s="9">
        <v>5560</v>
      </c>
      <c r="B22" s="9" t="s">
        <v>1015</v>
      </c>
      <c r="C22" s="31" t="s">
        <v>1016</v>
      </c>
      <c r="D22" s="31" t="s">
        <v>317</v>
      </c>
      <c r="E22" s="9"/>
      <c r="F22" s="9">
        <v>56</v>
      </c>
      <c r="G22" s="2">
        <v>0</v>
      </c>
      <c r="H22" s="2">
        <v>1568</v>
      </c>
      <c r="I22" s="2">
        <v>129</v>
      </c>
      <c r="J22" s="2">
        <v>0</v>
      </c>
      <c r="K22" s="2">
        <v>1697</v>
      </c>
      <c r="L22" s="2">
        <v>1697</v>
      </c>
      <c r="M22" s="2">
        <v>0</v>
      </c>
      <c r="N22" s="37">
        <v>0</v>
      </c>
      <c r="V22"/>
      <c r="W22"/>
    </row>
    <row r="23" spans="1:23" ht="16.5" hidden="1" customHeight="1" x14ac:dyDescent="0.3">
      <c r="A23" s="9">
        <v>5561</v>
      </c>
      <c r="B23" s="9" t="s">
        <v>1018</v>
      </c>
      <c r="C23" s="31" t="s">
        <v>1019</v>
      </c>
      <c r="D23" s="31" t="s">
        <v>317</v>
      </c>
      <c r="E23" s="9"/>
      <c r="F23" s="9">
        <v>56</v>
      </c>
      <c r="G23" s="2">
        <v>0</v>
      </c>
      <c r="H23" s="2">
        <v>1120</v>
      </c>
      <c r="I23" s="2">
        <v>118</v>
      </c>
      <c r="J23" s="2">
        <v>0</v>
      </c>
      <c r="K23" s="2">
        <v>1238</v>
      </c>
      <c r="L23" s="2">
        <v>1238</v>
      </c>
      <c r="M23" s="2">
        <v>0</v>
      </c>
      <c r="N23" s="37">
        <v>0</v>
      </c>
      <c r="V23"/>
      <c r="W23"/>
    </row>
    <row r="24" spans="1:23" ht="16.5" hidden="1" customHeight="1" x14ac:dyDescent="0.3">
      <c r="A24" s="9">
        <v>5562</v>
      </c>
      <c r="B24" s="9" t="s">
        <v>1020</v>
      </c>
      <c r="C24" s="31" t="s">
        <v>1021</v>
      </c>
      <c r="D24" s="31" t="s">
        <v>317</v>
      </c>
      <c r="E24" s="9">
        <v>36</v>
      </c>
      <c r="F24" s="9">
        <v>56</v>
      </c>
      <c r="G24" s="2">
        <v>0</v>
      </c>
      <c r="H24" s="2">
        <v>672</v>
      </c>
      <c r="I24" s="2">
        <v>110</v>
      </c>
      <c r="J24" s="2">
        <v>0</v>
      </c>
      <c r="K24" s="2">
        <v>782</v>
      </c>
      <c r="L24" s="2">
        <v>785</v>
      </c>
      <c r="M24" s="2">
        <v>0</v>
      </c>
      <c r="N24" s="37">
        <v>-3</v>
      </c>
      <c r="V24"/>
      <c r="W24"/>
    </row>
    <row r="25" spans="1:23" ht="16.5" hidden="1" customHeight="1" x14ac:dyDescent="0.3">
      <c r="A25" s="9">
        <v>5563</v>
      </c>
      <c r="B25" s="9" t="s">
        <v>1023</v>
      </c>
      <c r="C25" s="31" t="s">
        <v>1024</v>
      </c>
      <c r="D25" s="31" t="s">
        <v>317</v>
      </c>
      <c r="E25" s="9"/>
      <c r="F25" s="9">
        <v>56</v>
      </c>
      <c r="G25" s="2">
        <v>0</v>
      </c>
      <c r="H25" s="2">
        <v>168</v>
      </c>
      <c r="I25" s="2">
        <v>18</v>
      </c>
      <c r="J25" s="2">
        <v>0</v>
      </c>
      <c r="K25" s="2">
        <v>186</v>
      </c>
      <c r="L25" s="2">
        <v>186</v>
      </c>
      <c r="M25" s="2">
        <v>0</v>
      </c>
      <c r="N25" s="37">
        <v>0</v>
      </c>
      <c r="V25"/>
      <c r="W25"/>
    </row>
    <row r="26" spans="1:23" ht="16.5" hidden="1" customHeight="1" x14ac:dyDescent="0.3">
      <c r="A26" s="9">
        <v>5564</v>
      </c>
      <c r="B26" s="9" t="s">
        <v>1026</v>
      </c>
      <c r="C26" s="31" t="s">
        <v>1027</v>
      </c>
      <c r="D26" s="31" t="s">
        <v>317</v>
      </c>
      <c r="E26" s="9"/>
      <c r="F26" s="9">
        <v>56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37">
        <v>0</v>
      </c>
      <c r="V26"/>
      <c r="W26"/>
    </row>
    <row r="27" spans="1:23" ht="16.5" hidden="1" customHeight="1" x14ac:dyDescent="0.3">
      <c r="A27" s="9">
        <v>5454</v>
      </c>
      <c r="B27" s="9" t="s">
        <v>1827</v>
      </c>
      <c r="C27" s="31" t="s">
        <v>1766</v>
      </c>
      <c r="D27" s="31" t="s">
        <v>317</v>
      </c>
      <c r="E27" s="9"/>
      <c r="F27" s="9">
        <v>60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37">
        <v>0</v>
      </c>
      <c r="V27"/>
      <c r="W27"/>
    </row>
    <row r="28" spans="1:23" ht="16.5" hidden="1" customHeight="1" x14ac:dyDescent="0.3">
      <c r="A28" s="9">
        <v>5455</v>
      </c>
      <c r="B28" s="9" t="s">
        <v>1828</v>
      </c>
      <c r="C28" s="31" t="s">
        <v>1765</v>
      </c>
      <c r="D28" s="31" t="s">
        <v>317</v>
      </c>
      <c r="E28" s="9"/>
      <c r="F28" s="9">
        <v>60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37">
        <v>0</v>
      </c>
      <c r="V28"/>
      <c r="W28"/>
    </row>
    <row r="29" spans="1:23" ht="16.5" hidden="1" customHeight="1" x14ac:dyDescent="0.3">
      <c r="A29" s="9">
        <v>5568</v>
      </c>
      <c r="B29" s="9" t="s">
        <v>1029</v>
      </c>
      <c r="C29" s="31" t="s">
        <v>1030</v>
      </c>
      <c r="D29" s="31" t="s">
        <v>317</v>
      </c>
      <c r="E29" s="9"/>
      <c r="F29" s="9">
        <v>56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37">
        <v>0</v>
      </c>
      <c r="V29"/>
      <c r="W29"/>
    </row>
    <row r="30" spans="1:23" ht="16.5" hidden="1" customHeight="1" x14ac:dyDescent="0.3">
      <c r="A30" s="9">
        <v>8188</v>
      </c>
      <c r="B30" s="9" t="s">
        <v>1476</v>
      </c>
      <c r="C30" s="31" t="s">
        <v>1477</v>
      </c>
      <c r="D30" s="31" t="s">
        <v>322</v>
      </c>
      <c r="E30" s="9">
        <v>40</v>
      </c>
      <c r="F30" s="9">
        <v>63</v>
      </c>
      <c r="G30" s="2">
        <v>0</v>
      </c>
      <c r="H30" s="2">
        <v>5481</v>
      </c>
      <c r="I30" s="2">
        <v>86</v>
      </c>
      <c r="J30" s="2">
        <v>0</v>
      </c>
      <c r="K30" s="2">
        <v>5567</v>
      </c>
      <c r="L30" s="2">
        <v>5317</v>
      </c>
      <c r="M30" s="2">
        <v>252</v>
      </c>
      <c r="N30" s="37">
        <v>-2</v>
      </c>
      <c r="V30"/>
      <c r="W30"/>
    </row>
    <row r="31" spans="1:23" ht="16.5" hidden="1" customHeight="1" x14ac:dyDescent="0.3">
      <c r="A31" s="9">
        <v>8187</v>
      </c>
      <c r="B31" s="9" t="s">
        <v>1473</v>
      </c>
      <c r="C31" s="31" t="s">
        <v>1474</v>
      </c>
      <c r="D31" s="31" t="s">
        <v>322</v>
      </c>
      <c r="E31" s="9"/>
      <c r="F31" s="9">
        <v>63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37">
        <v>0</v>
      </c>
      <c r="V31"/>
      <c r="W31"/>
    </row>
    <row r="32" spans="1:23" s="70" customFormat="1" x14ac:dyDescent="0.3">
      <c r="A32" s="9">
        <v>8811</v>
      </c>
      <c r="B32" s="87" t="s">
        <v>1583</v>
      </c>
      <c r="C32" s="88" t="s">
        <v>1584</v>
      </c>
      <c r="D32" s="31" t="s">
        <v>323</v>
      </c>
      <c r="E32" s="87">
        <v>72</v>
      </c>
      <c r="F32" s="87">
        <v>96</v>
      </c>
      <c r="G32" s="89">
        <v>72</v>
      </c>
      <c r="H32" s="89">
        <v>0</v>
      </c>
      <c r="I32" s="89">
        <v>26</v>
      </c>
      <c r="J32" s="89">
        <v>0</v>
      </c>
      <c r="K32" s="89">
        <v>98</v>
      </c>
      <c r="L32" s="89">
        <v>103</v>
      </c>
      <c r="M32" s="89">
        <v>0</v>
      </c>
      <c r="N32" s="90">
        <v>-5</v>
      </c>
      <c r="P32" s="92">
        <v>1</v>
      </c>
      <c r="Q32" s="83"/>
      <c r="R32" s="83">
        <v>26</v>
      </c>
      <c r="S32" s="83"/>
      <c r="T32" s="83">
        <f>(P32*E32)+(Q32*F32)+R32+S32</f>
        <v>98</v>
      </c>
      <c r="U32" s="83">
        <f>K32-T32</f>
        <v>0</v>
      </c>
      <c r="V32" s="91" t="e">
        <f>SUMIF(SAP!#REF!,월마감!B:B,SAP!#REF!)</f>
        <v>#REF!</v>
      </c>
      <c r="W32" s="93" t="e">
        <f>T32-V32</f>
        <v>#REF!</v>
      </c>
    </row>
    <row r="33" spans="1:23" ht="16.5" hidden="1" customHeight="1" x14ac:dyDescent="0.3">
      <c r="A33" s="9">
        <v>8812</v>
      </c>
      <c r="B33" s="9" t="s">
        <v>1585</v>
      </c>
      <c r="C33" s="31" t="s">
        <v>1586</v>
      </c>
      <c r="D33" s="31" t="s">
        <v>323</v>
      </c>
      <c r="E33" s="9">
        <v>60</v>
      </c>
      <c r="F33" s="9">
        <v>72</v>
      </c>
      <c r="G33" s="2">
        <v>180</v>
      </c>
      <c r="H33" s="2">
        <v>0</v>
      </c>
      <c r="I33" s="2">
        <v>27</v>
      </c>
      <c r="J33" s="2">
        <v>0</v>
      </c>
      <c r="K33" s="2">
        <v>207</v>
      </c>
      <c r="L33" s="2">
        <v>208</v>
      </c>
      <c r="M33" s="2">
        <v>0</v>
      </c>
      <c r="N33" s="37">
        <v>-1</v>
      </c>
      <c r="V33"/>
      <c r="W33"/>
    </row>
    <row r="34" spans="1:23" ht="16.5" hidden="1" customHeight="1" x14ac:dyDescent="0.3">
      <c r="A34" s="9">
        <v>8813</v>
      </c>
      <c r="B34" s="9" t="s">
        <v>1587</v>
      </c>
      <c r="C34" s="31" t="s">
        <v>1588</v>
      </c>
      <c r="D34" s="31" t="s">
        <v>323</v>
      </c>
      <c r="E34" s="9">
        <v>72</v>
      </c>
      <c r="F34" s="9"/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37">
        <v>0</v>
      </c>
      <c r="V34"/>
      <c r="W34"/>
    </row>
    <row r="35" spans="1:23" ht="16.5" hidden="1" customHeight="1" x14ac:dyDescent="0.3">
      <c r="A35" s="9">
        <v>8815</v>
      </c>
      <c r="B35" s="9" t="s">
        <v>1590</v>
      </c>
      <c r="C35" s="31" t="s">
        <v>1591</v>
      </c>
      <c r="D35" s="31" t="s">
        <v>323</v>
      </c>
      <c r="E35" s="9"/>
      <c r="F35" s="9">
        <v>112</v>
      </c>
      <c r="G35" s="2">
        <v>0</v>
      </c>
      <c r="H35" s="2">
        <v>112</v>
      </c>
      <c r="I35" s="2">
        <v>72</v>
      </c>
      <c r="J35" s="2">
        <v>0</v>
      </c>
      <c r="K35" s="2">
        <v>184</v>
      </c>
      <c r="L35" s="2">
        <v>185</v>
      </c>
      <c r="M35" s="2">
        <v>0</v>
      </c>
      <c r="N35" s="37">
        <v>0</v>
      </c>
      <c r="V35"/>
      <c r="W35"/>
    </row>
    <row r="36" spans="1:23" ht="16.5" hidden="1" customHeight="1" x14ac:dyDescent="0.3">
      <c r="A36" s="9">
        <v>8816</v>
      </c>
      <c r="B36" s="9" t="s">
        <v>1593</v>
      </c>
      <c r="C36" s="31" t="s">
        <v>1594</v>
      </c>
      <c r="D36" s="31" t="s">
        <v>323</v>
      </c>
      <c r="E36" s="9"/>
      <c r="F36" s="9">
        <v>100</v>
      </c>
      <c r="G36" s="2">
        <v>0</v>
      </c>
      <c r="H36" s="2">
        <v>100</v>
      </c>
      <c r="I36" s="2">
        <v>45</v>
      </c>
      <c r="J36" s="2">
        <v>0</v>
      </c>
      <c r="K36" s="2">
        <v>145</v>
      </c>
      <c r="L36" s="2">
        <v>141</v>
      </c>
      <c r="M36" s="2">
        <v>0</v>
      </c>
      <c r="N36" s="37">
        <v>4</v>
      </c>
      <c r="V36"/>
      <c r="W36"/>
    </row>
    <row r="37" spans="1:23" ht="16.5" hidden="1" customHeight="1" x14ac:dyDescent="0.3">
      <c r="A37" s="9">
        <v>8830</v>
      </c>
      <c r="B37" s="9" t="s">
        <v>1600</v>
      </c>
      <c r="C37" s="31" t="s">
        <v>1601</v>
      </c>
      <c r="D37" s="31" t="s">
        <v>323</v>
      </c>
      <c r="E37" s="9"/>
      <c r="F37" s="9">
        <v>100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37">
        <v>0</v>
      </c>
      <c r="V37"/>
      <c r="W37"/>
    </row>
    <row r="38" spans="1:23" ht="16.5" hidden="1" customHeight="1" x14ac:dyDescent="0.3">
      <c r="A38" s="9">
        <v>8794</v>
      </c>
      <c r="B38" s="9" t="s">
        <v>1572</v>
      </c>
      <c r="C38" s="31" t="s">
        <v>1573</v>
      </c>
      <c r="D38" s="31" t="s">
        <v>323</v>
      </c>
      <c r="E38" s="9"/>
      <c r="F38" s="9">
        <v>91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37">
        <v>0</v>
      </c>
      <c r="V38"/>
      <c r="W38"/>
    </row>
    <row r="39" spans="1:23" ht="15.75" hidden="1" customHeight="1" x14ac:dyDescent="0.3">
      <c r="A39" s="9">
        <v>4230</v>
      </c>
      <c r="B39" s="9" t="s">
        <v>1615</v>
      </c>
      <c r="C39" s="31" t="s">
        <v>730</v>
      </c>
      <c r="D39" s="31" t="s">
        <v>323</v>
      </c>
      <c r="E39" s="9">
        <v>72</v>
      </c>
      <c r="F39" s="9">
        <v>96</v>
      </c>
      <c r="G39" s="2">
        <v>864</v>
      </c>
      <c r="H39" s="2">
        <v>0</v>
      </c>
      <c r="I39" s="2">
        <v>186</v>
      </c>
      <c r="J39" s="2">
        <v>0</v>
      </c>
      <c r="K39" s="2">
        <v>1050</v>
      </c>
      <c r="L39" s="2">
        <v>1051</v>
      </c>
      <c r="M39" s="2">
        <v>0</v>
      </c>
      <c r="N39" s="37">
        <v>-1</v>
      </c>
      <c r="V39"/>
      <c r="W39"/>
    </row>
    <row r="40" spans="1:23" x14ac:dyDescent="0.3">
      <c r="A40" s="9">
        <v>8702</v>
      </c>
      <c r="B40" s="76" t="s">
        <v>1563</v>
      </c>
      <c r="C40" s="77" t="s">
        <v>1564</v>
      </c>
      <c r="D40" s="31" t="s">
        <v>1658</v>
      </c>
      <c r="E40" s="76"/>
      <c r="F40" s="76">
        <v>50</v>
      </c>
      <c r="G40" s="2">
        <v>0</v>
      </c>
      <c r="H40" s="2">
        <v>400</v>
      </c>
      <c r="I40" s="2">
        <v>32</v>
      </c>
      <c r="J40" s="2">
        <v>59</v>
      </c>
      <c r="K40" s="2">
        <v>491</v>
      </c>
      <c r="L40" s="2">
        <v>495</v>
      </c>
      <c r="M40" s="2">
        <v>0</v>
      </c>
      <c r="N40" s="37">
        <v>-4</v>
      </c>
      <c r="P40" s="81"/>
      <c r="Q40" s="81">
        <v>8</v>
      </c>
      <c r="R40" s="81">
        <v>32</v>
      </c>
      <c r="S40" s="81">
        <v>59</v>
      </c>
      <c r="T40" s="81">
        <f t="shared" ref="T40:T103" si="0">(P40*E40)+(Q40*F40)+R40+S40</f>
        <v>491</v>
      </c>
      <c r="U40" s="82">
        <f t="shared" ref="U40:U103" si="1">K40-T40</f>
        <v>0</v>
      </c>
      <c r="V40" s="86" t="e">
        <f>SUMIF(SAP!#REF!,월마감!B:B,SAP!#REF!)</f>
        <v>#REF!</v>
      </c>
      <c r="W40" s="86" t="e">
        <f t="shared" ref="W40:W103" si="2">T40-V40</f>
        <v>#REF!</v>
      </c>
    </row>
    <row r="41" spans="1:23" ht="16.5" hidden="1" customHeight="1" x14ac:dyDescent="0.3">
      <c r="A41" s="9">
        <v>7142</v>
      </c>
      <c r="B41" s="9" t="s">
        <v>1300</v>
      </c>
      <c r="C41" s="31" t="s">
        <v>1301</v>
      </c>
      <c r="D41" s="31" t="s">
        <v>1660</v>
      </c>
      <c r="E41" s="9">
        <v>108</v>
      </c>
      <c r="F41" s="9">
        <v>144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37">
        <v>0</v>
      </c>
      <c r="P41">
        <v>1</v>
      </c>
      <c r="T41">
        <f t="shared" si="0"/>
        <v>108</v>
      </c>
      <c r="U41">
        <f t="shared" si="1"/>
        <v>-108</v>
      </c>
      <c r="V41" t="e">
        <f>SUMIF(SAP!#REF!,월마감!B:B,SAP!#REF!)</f>
        <v>#REF!</v>
      </c>
      <c r="W41" t="e">
        <f t="shared" si="2"/>
        <v>#REF!</v>
      </c>
    </row>
    <row r="42" spans="1:23" x14ac:dyDescent="0.3">
      <c r="A42" s="9">
        <v>4166</v>
      </c>
      <c r="B42" s="76" t="s">
        <v>682</v>
      </c>
      <c r="C42" s="77" t="s">
        <v>683</v>
      </c>
      <c r="D42" s="31" t="s">
        <v>309</v>
      </c>
      <c r="E42" s="76">
        <v>40</v>
      </c>
      <c r="F42" s="76">
        <v>50</v>
      </c>
      <c r="G42" s="2">
        <v>0</v>
      </c>
      <c r="H42" s="2">
        <v>2150</v>
      </c>
      <c r="I42" s="2">
        <v>60</v>
      </c>
      <c r="J42" s="2">
        <v>7</v>
      </c>
      <c r="K42" s="2">
        <v>2217</v>
      </c>
      <c r="L42" s="2">
        <v>1958</v>
      </c>
      <c r="M42" s="2">
        <v>250</v>
      </c>
      <c r="N42" s="37">
        <v>9</v>
      </c>
      <c r="P42" s="81"/>
      <c r="Q42" s="81">
        <v>39</v>
      </c>
      <c r="R42" s="81">
        <f>20+18+7+20</f>
        <v>65</v>
      </c>
      <c r="S42" s="81"/>
      <c r="T42" s="81">
        <f t="shared" si="0"/>
        <v>2015</v>
      </c>
      <c r="U42" s="82">
        <f t="shared" si="1"/>
        <v>202</v>
      </c>
      <c r="V42" s="86" t="e">
        <f>SUMIF(SAP!#REF!,월마감!B:B,SAP!#REF!)</f>
        <v>#REF!</v>
      </c>
      <c r="W42" s="86" t="e">
        <f t="shared" si="2"/>
        <v>#REF!</v>
      </c>
    </row>
    <row r="43" spans="1:23" ht="16.5" hidden="1" customHeight="1" x14ac:dyDescent="0.3">
      <c r="A43" s="9">
        <v>4167</v>
      </c>
      <c r="B43" s="9" t="s">
        <v>684</v>
      </c>
      <c r="C43" s="31" t="s">
        <v>685</v>
      </c>
      <c r="D43" s="31" t="s">
        <v>309</v>
      </c>
      <c r="E43" s="9">
        <v>40</v>
      </c>
      <c r="F43" s="9">
        <v>50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37">
        <v>0</v>
      </c>
      <c r="P43">
        <v>1</v>
      </c>
      <c r="T43">
        <f t="shared" si="0"/>
        <v>40</v>
      </c>
      <c r="U43">
        <f t="shared" si="1"/>
        <v>-40</v>
      </c>
      <c r="V43" t="e">
        <f>SUMIF(SAP!#REF!,월마감!B:B,SAP!#REF!)</f>
        <v>#REF!</v>
      </c>
      <c r="W43" t="e">
        <f t="shared" si="2"/>
        <v>#REF!</v>
      </c>
    </row>
    <row r="44" spans="1:23" ht="16.5" hidden="1" customHeight="1" x14ac:dyDescent="0.3">
      <c r="A44" s="9">
        <v>4169</v>
      </c>
      <c r="B44" s="9" t="s">
        <v>686</v>
      </c>
      <c r="C44" s="31" t="s">
        <v>687</v>
      </c>
      <c r="D44" s="31" t="s">
        <v>1659</v>
      </c>
      <c r="E44" s="9">
        <v>56</v>
      </c>
      <c r="F44" s="9">
        <v>50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37">
        <v>0</v>
      </c>
      <c r="P44">
        <v>1</v>
      </c>
      <c r="T44">
        <f t="shared" si="0"/>
        <v>56</v>
      </c>
      <c r="U44">
        <f t="shared" si="1"/>
        <v>-56</v>
      </c>
      <c r="V44" t="e">
        <f>SUMIF(SAP!#REF!,월마감!B:B,SAP!#REF!)</f>
        <v>#REF!</v>
      </c>
      <c r="W44" t="e">
        <f t="shared" si="2"/>
        <v>#REF!</v>
      </c>
    </row>
    <row r="45" spans="1:23" ht="16.5" hidden="1" customHeight="1" x14ac:dyDescent="0.3">
      <c r="A45" s="9">
        <v>4193</v>
      </c>
      <c r="B45" s="9" t="s">
        <v>710</v>
      </c>
      <c r="C45" s="31" t="s">
        <v>711</v>
      </c>
      <c r="D45" s="31" t="s">
        <v>310</v>
      </c>
      <c r="E45" s="9">
        <v>40</v>
      </c>
      <c r="F45" s="9">
        <v>50</v>
      </c>
      <c r="G45" s="2">
        <v>0</v>
      </c>
      <c r="H45" s="2">
        <v>3900</v>
      </c>
      <c r="I45" s="2">
        <v>90</v>
      </c>
      <c r="J45" s="2">
        <v>0</v>
      </c>
      <c r="K45" s="2">
        <v>3990</v>
      </c>
      <c r="L45" s="2">
        <v>3391</v>
      </c>
      <c r="M45" s="2">
        <v>600</v>
      </c>
      <c r="N45" s="37">
        <v>-1</v>
      </c>
      <c r="P45">
        <v>1</v>
      </c>
      <c r="T45">
        <f t="shared" si="0"/>
        <v>40</v>
      </c>
      <c r="U45">
        <f t="shared" si="1"/>
        <v>3950</v>
      </c>
      <c r="V45" t="e">
        <f>SUMIF(SAP!#REF!,월마감!B:B,SAP!#REF!)</f>
        <v>#REF!</v>
      </c>
      <c r="W45" t="e">
        <f t="shared" si="2"/>
        <v>#REF!</v>
      </c>
    </row>
    <row r="46" spans="1:23" ht="16.5" hidden="1" customHeight="1" x14ac:dyDescent="0.3">
      <c r="A46" s="9">
        <v>4196</v>
      </c>
      <c r="B46" s="9" t="s">
        <v>716</v>
      </c>
      <c r="C46" s="31" t="s">
        <v>717</v>
      </c>
      <c r="D46" s="31" t="s">
        <v>310</v>
      </c>
      <c r="E46" s="9"/>
      <c r="F46" s="9">
        <v>50</v>
      </c>
      <c r="G46" s="2">
        <v>0</v>
      </c>
      <c r="H46" s="2">
        <v>2300</v>
      </c>
      <c r="I46" s="2">
        <v>38</v>
      </c>
      <c r="J46" s="2">
        <v>0</v>
      </c>
      <c r="K46" s="2">
        <v>2338</v>
      </c>
      <c r="L46" s="2">
        <v>2037</v>
      </c>
      <c r="M46" s="2">
        <v>300</v>
      </c>
      <c r="N46" s="37">
        <v>1</v>
      </c>
      <c r="P46">
        <v>1</v>
      </c>
      <c r="T46">
        <f t="shared" si="0"/>
        <v>0</v>
      </c>
      <c r="U46">
        <f t="shared" si="1"/>
        <v>2338</v>
      </c>
      <c r="V46" t="e">
        <f>SUMIF(SAP!#REF!,월마감!B:B,SAP!#REF!)</f>
        <v>#REF!</v>
      </c>
      <c r="W46" t="e">
        <f t="shared" si="2"/>
        <v>#REF!</v>
      </c>
    </row>
    <row r="47" spans="1:23" ht="16.5" hidden="1" customHeight="1" x14ac:dyDescent="0.3">
      <c r="A47" s="9">
        <v>7008</v>
      </c>
      <c r="B47" s="9" t="s">
        <v>1282</v>
      </c>
      <c r="C47" s="31" t="s">
        <v>1283</v>
      </c>
      <c r="D47" s="31" t="s">
        <v>1664</v>
      </c>
      <c r="E47" s="9">
        <v>40</v>
      </c>
      <c r="F47" s="9">
        <v>40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37">
        <v>0</v>
      </c>
      <c r="P47">
        <v>1</v>
      </c>
      <c r="T47">
        <f t="shared" si="0"/>
        <v>40</v>
      </c>
      <c r="U47">
        <f t="shared" si="1"/>
        <v>-40</v>
      </c>
      <c r="V47" t="e">
        <f>SUMIF(SAP!#REF!,월마감!B:B,SAP!#REF!)</f>
        <v>#REF!</v>
      </c>
      <c r="W47" t="e">
        <f t="shared" si="2"/>
        <v>#REF!</v>
      </c>
    </row>
    <row r="48" spans="1:23" ht="16.5" hidden="1" customHeight="1" x14ac:dyDescent="0.3">
      <c r="A48" s="9">
        <v>6509</v>
      </c>
      <c r="B48" s="9" t="s">
        <v>1169</v>
      </c>
      <c r="C48" s="31" t="s">
        <v>1170</v>
      </c>
      <c r="D48" s="31" t="s">
        <v>1664</v>
      </c>
      <c r="E48" s="9">
        <v>32</v>
      </c>
      <c r="F48" s="9">
        <v>44</v>
      </c>
      <c r="G48" s="2">
        <v>0</v>
      </c>
      <c r="H48" s="2">
        <v>1628</v>
      </c>
      <c r="I48" s="2">
        <v>92</v>
      </c>
      <c r="J48" s="2">
        <v>0</v>
      </c>
      <c r="K48" s="2">
        <v>1720</v>
      </c>
      <c r="L48" s="2">
        <v>1675</v>
      </c>
      <c r="M48" s="2">
        <v>44</v>
      </c>
      <c r="N48" s="37">
        <v>1</v>
      </c>
      <c r="P48">
        <v>1</v>
      </c>
      <c r="T48">
        <f t="shared" si="0"/>
        <v>32</v>
      </c>
      <c r="U48">
        <f t="shared" si="1"/>
        <v>1688</v>
      </c>
      <c r="V48" t="e">
        <f>SUMIF(SAP!#REF!,월마감!B:B,SAP!#REF!)</f>
        <v>#REF!</v>
      </c>
      <c r="W48" t="e">
        <f t="shared" si="2"/>
        <v>#REF!</v>
      </c>
    </row>
    <row r="49" spans="1:23" x14ac:dyDescent="0.3">
      <c r="A49" s="9">
        <v>6510</v>
      </c>
      <c r="B49" s="76" t="s">
        <v>1171</v>
      </c>
      <c r="C49" s="77" t="s">
        <v>1172</v>
      </c>
      <c r="D49" s="31" t="s">
        <v>1664</v>
      </c>
      <c r="E49" s="76">
        <v>32</v>
      </c>
      <c r="F49" s="76">
        <v>44</v>
      </c>
      <c r="G49" s="2">
        <v>0</v>
      </c>
      <c r="H49" s="2">
        <v>308</v>
      </c>
      <c r="I49" s="2">
        <v>36</v>
      </c>
      <c r="J49" s="2">
        <v>0</v>
      </c>
      <c r="K49" s="2">
        <v>344</v>
      </c>
      <c r="L49" s="2">
        <v>339</v>
      </c>
      <c r="M49" s="2">
        <v>0</v>
      </c>
      <c r="N49" s="37">
        <v>5</v>
      </c>
      <c r="P49" s="81"/>
      <c r="Q49" s="81">
        <v>7</v>
      </c>
      <c r="R49" s="81">
        <v>36</v>
      </c>
      <c r="S49" s="81"/>
      <c r="T49" s="81">
        <f t="shared" si="0"/>
        <v>344</v>
      </c>
      <c r="U49" s="82">
        <f t="shared" si="1"/>
        <v>0</v>
      </c>
      <c r="V49" s="86" t="e">
        <f>SUMIF(SAP!#REF!,월마감!B:B,SAP!#REF!)</f>
        <v>#REF!</v>
      </c>
      <c r="W49" s="86" t="e">
        <f t="shared" si="2"/>
        <v>#REF!</v>
      </c>
    </row>
    <row r="50" spans="1:23" ht="16.5" hidden="1" customHeight="1" x14ac:dyDescent="0.3">
      <c r="A50" s="9">
        <v>6528</v>
      </c>
      <c r="B50" s="9" t="s">
        <v>1178</v>
      </c>
      <c r="C50" s="31" t="s">
        <v>1179</v>
      </c>
      <c r="D50" s="31" t="s">
        <v>1664</v>
      </c>
      <c r="E50" s="9">
        <v>32</v>
      </c>
      <c r="F50" s="9">
        <v>44</v>
      </c>
      <c r="G50" s="2">
        <v>0</v>
      </c>
      <c r="H50" s="2">
        <v>44</v>
      </c>
      <c r="I50" s="2">
        <v>1</v>
      </c>
      <c r="J50" s="2">
        <v>0</v>
      </c>
      <c r="K50" s="2">
        <v>45</v>
      </c>
      <c r="L50" s="2">
        <v>45</v>
      </c>
      <c r="M50" s="2">
        <v>0</v>
      </c>
      <c r="N50" s="37">
        <v>0</v>
      </c>
      <c r="P50">
        <v>1</v>
      </c>
      <c r="T50">
        <f t="shared" si="0"/>
        <v>32</v>
      </c>
      <c r="U50">
        <f t="shared" si="1"/>
        <v>13</v>
      </c>
      <c r="V50" t="e">
        <f>SUMIF(SAP!#REF!,월마감!B:B,SAP!#REF!)</f>
        <v>#REF!</v>
      </c>
      <c r="W50" t="e">
        <f t="shared" si="2"/>
        <v>#REF!</v>
      </c>
    </row>
    <row r="51" spans="1:23" ht="16.5" hidden="1" customHeight="1" x14ac:dyDescent="0.3">
      <c r="A51" s="9">
        <v>7812</v>
      </c>
      <c r="B51" s="9" t="s">
        <v>1333</v>
      </c>
      <c r="C51" s="31" t="s">
        <v>1334</v>
      </c>
      <c r="D51" s="31" t="s">
        <v>1664</v>
      </c>
      <c r="E51" s="9">
        <v>32</v>
      </c>
      <c r="F51" s="9">
        <v>44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37">
        <v>0</v>
      </c>
      <c r="P51">
        <v>1</v>
      </c>
      <c r="T51">
        <f t="shared" si="0"/>
        <v>32</v>
      </c>
      <c r="U51">
        <f t="shared" si="1"/>
        <v>-32</v>
      </c>
      <c r="V51" t="e">
        <f>SUMIF(SAP!#REF!,월마감!B:B,SAP!#REF!)</f>
        <v>#REF!</v>
      </c>
      <c r="W51" t="e">
        <f t="shared" si="2"/>
        <v>#REF!</v>
      </c>
    </row>
    <row r="52" spans="1:23" ht="16.5" hidden="1" customHeight="1" x14ac:dyDescent="0.3">
      <c r="A52" s="9">
        <v>7896</v>
      </c>
      <c r="B52" s="9" t="s">
        <v>1377</v>
      </c>
      <c r="C52" s="31" t="s">
        <v>1378</v>
      </c>
      <c r="D52" s="31" t="s">
        <v>1664</v>
      </c>
      <c r="E52" s="9"/>
      <c r="F52" s="9">
        <v>32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37">
        <v>0</v>
      </c>
      <c r="P52">
        <v>1</v>
      </c>
      <c r="T52">
        <f t="shared" si="0"/>
        <v>0</v>
      </c>
      <c r="U52">
        <f t="shared" si="1"/>
        <v>0</v>
      </c>
      <c r="V52" t="e">
        <f>SUMIF(SAP!#REF!,월마감!B:B,SAP!#REF!)</f>
        <v>#REF!</v>
      </c>
      <c r="W52" t="e">
        <f t="shared" si="2"/>
        <v>#REF!</v>
      </c>
    </row>
    <row r="53" spans="1:23" ht="16.5" hidden="1" customHeight="1" x14ac:dyDescent="0.3">
      <c r="A53" s="9">
        <v>7900</v>
      </c>
      <c r="B53" s="9" t="s">
        <v>1383</v>
      </c>
      <c r="C53" s="33" t="s">
        <v>1384</v>
      </c>
      <c r="D53" s="31" t="s">
        <v>1664</v>
      </c>
      <c r="E53" s="9">
        <v>32</v>
      </c>
      <c r="F53" s="9">
        <v>44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37">
        <v>0</v>
      </c>
      <c r="P53">
        <v>1</v>
      </c>
      <c r="T53">
        <f t="shared" si="0"/>
        <v>32</v>
      </c>
      <c r="U53">
        <f t="shared" si="1"/>
        <v>-32</v>
      </c>
      <c r="V53" t="e">
        <f>SUMIF(SAP!#REF!,월마감!B:B,SAP!#REF!)</f>
        <v>#REF!</v>
      </c>
      <c r="W53" t="e">
        <f t="shared" si="2"/>
        <v>#REF!</v>
      </c>
    </row>
    <row r="54" spans="1:23" ht="16.5" hidden="1" customHeight="1" x14ac:dyDescent="0.3">
      <c r="A54" s="9">
        <v>6700</v>
      </c>
      <c r="B54" s="9" t="s">
        <v>1224</v>
      </c>
      <c r="C54" s="31" t="s">
        <v>1162</v>
      </c>
      <c r="D54" s="31" t="s">
        <v>319</v>
      </c>
      <c r="E54" s="9">
        <v>64</v>
      </c>
      <c r="F54" s="9"/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37">
        <v>0</v>
      </c>
      <c r="P54">
        <v>1</v>
      </c>
      <c r="T54">
        <f t="shared" si="0"/>
        <v>64</v>
      </c>
      <c r="U54">
        <f t="shared" si="1"/>
        <v>-64</v>
      </c>
      <c r="V54" t="e">
        <f>SUMIF(SAP!#REF!,월마감!B:B,SAP!#REF!)</f>
        <v>#REF!</v>
      </c>
      <c r="W54" t="e">
        <f t="shared" si="2"/>
        <v>#REF!</v>
      </c>
    </row>
    <row r="55" spans="1:23" ht="16.5" hidden="1" customHeight="1" x14ac:dyDescent="0.3">
      <c r="A55" s="9">
        <v>6705</v>
      </c>
      <c r="B55" s="9" t="s">
        <v>1226</v>
      </c>
      <c r="C55" s="31" t="s">
        <v>1227</v>
      </c>
      <c r="D55" s="31" t="s">
        <v>319</v>
      </c>
      <c r="E55" s="9">
        <v>64</v>
      </c>
      <c r="F55" s="9">
        <v>60</v>
      </c>
      <c r="G55" s="2">
        <v>0</v>
      </c>
      <c r="H55" s="2">
        <v>1380</v>
      </c>
      <c r="I55" s="2">
        <v>112</v>
      </c>
      <c r="J55" s="2">
        <v>0</v>
      </c>
      <c r="K55" s="2">
        <v>1492</v>
      </c>
      <c r="L55" s="2">
        <v>1434</v>
      </c>
      <c r="M55" s="2">
        <v>60</v>
      </c>
      <c r="N55" s="37">
        <v>-2</v>
      </c>
      <c r="P55">
        <v>1</v>
      </c>
      <c r="T55">
        <f t="shared" si="0"/>
        <v>64</v>
      </c>
      <c r="U55">
        <f t="shared" si="1"/>
        <v>1428</v>
      </c>
      <c r="V55" t="e">
        <f>SUMIF(SAP!#REF!,월마감!B:B,SAP!#REF!)</f>
        <v>#REF!</v>
      </c>
      <c r="W55" t="e">
        <f t="shared" si="2"/>
        <v>#REF!</v>
      </c>
    </row>
    <row r="56" spans="1:23" ht="16.5" hidden="1" customHeight="1" x14ac:dyDescent="0.3">
      <c r="A56" s="9">
        <v>7007</v>
      </c>
      <c r="B56" s="9" t="s">
        <v>1280</v>
      </c>
      <c r="C56" s="31" t="s">
        <v>1281</v>
      </c>
      <c r="D56" s="31" t="s">
        <v>319</v>
      </c>
      <c r="E56" s="9"/>
      <c r="F56" s="9">
        <v>60</v>
      </c>
      <c r="G56" s="2">
        <v>0</v>
      </c>
      <c r="H56" s="2">
        <v>480</v>
      </c>
      <c r="I56" s="2">
        <v>31</v>
      </c>
      <c r="J56" s="2">
        <v>0</v>
      </c>
      <c r="K56" s="2">
        <v>511</v>
      </c>
      <c r="L56" s="2">
        <v>512</v>
      </c>
      <c r="M56" s="2">
        <v>0</v>
      </c>
      <c r="N56" s="37">
        <v>-1</v>
      </c>
      <c r="P56">
        <v>1</v>
      </c>
      <c r="T56">
        <f t="shared" si="0"/>
        <v>0</v>
      </c>
      <c r="U56">
        <f t="shared" si="1"/>
        <v>511</v>
      </c>
      <c r="V56" t="e">
        <f>SUMIF(SAP!#REF!,월마감!B:B,SAP!#REF!)</f>
        <v>#REF!</v>
      </c>
      <c r="W56" t="e">
        <f t="shared" si="2"/>
        <v>#REF!</v>
      </c>
    </row>
    <row r="57" spans="1:23" ht="16.5" hidden="1" customHeight="1" x14ac:dyDescent="0.3">
      <c r="A57" s="9">
        <v>7005</v>
      </c>
      <c r="B57" s="9" t="s">
        <v>1277</v>
      </c>
      <c r="C57" s="31" t="s">
        <v>1278</v>
      </c>
      <c r="D57" s="31" t="s">
        <v>319</v>
      </c>
      <c r="E57" s="9"/>
      <c r="F57" s="9">
        <v>60</v>
      </c>
      <c r="G57" s="2">
        <v>0</v>
      </c>
      <c r="H57" s="2">
        <v>720</v>
      </c>
      <c r="I57" s="2">
        <v>102</v>
      </c>
      <c r="J57" s="2">
        <v>0</v>
      </c>
      <c r="K57" s="2">
        <v>822</v>
      </c>
      <c r="L57" s="2">
        <v>762</v>
      </c>
      <c r="M57" s="2">
        <v>60</v>
      </c>
      <c r="N57" s="37">
        <v>0</v>
      </c>
      <c r="P57">
        <v>1</v>
      </c>
      <c r="T57">
        <f t="shared" si="0"/>
        <v>0</v>
      </c>
      <c r="U57">
        <f t="shared" si="1"/>
        <v>822</v>
      </c>
      <c r="V57" t="e">
        <f>SUMIF(SAP!#REF!,월마감!B:B,SAP!#REF!)</f>
        <v>#REF!</v>
      </c>
      <c r="W57" t="e">
        <f t="shared" si="2"/>
        <v>#REF!</v>
      </c>
    </row>
    <row r="58" spans="1:23" ht="16.5" hidden="1" customHeight="1" x14ac:dyDescent="0.3">
      <c r="A58" s="9">
        <v>7004</v>
      </c>
      <c r="B58" s="9" t="s">
        <v>1275</v>
      </c>
      <c r="C58" s="31" t="s">
        <v>1276</v>
      </c>
      <c r="D58" s="31" t="s">
        <v>319</v>
      </c>
      <c r="E58" s="9"/>
      <c r="F58" s="9">
        <v>91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37">
        <v>0</v>
      </c>
      <c r="P58">
        <v>1</v>
      </c>
      <c r="T58">
        <f t="shared" si="0"/>
        <v>0</v>
      </c>
      <c r="U58">
        <f t="shared" si="1"/>
        <v>0</v>
      </c>
      <c r="V58" t="e">
        <f>SUMIF(SAP!#REF!,월마감!B:B,SAP!#REF!)</f>
        <v>#REF!</v>
      </c>
      <c r="W58" t="e">
        <f t="shared" si="2"/>
        <v>#REF!</v>
      </c>
    </row>
    <row r="59" spans="1:23" ht="16.5" hidden="1" customHeight="1" x14ac:dyDescent="0.3">
      <c r="A59" s="9">
        <v>7003</v>
      </c>
      <c r="B59" s="9" t="s">
        <v>1273</v>
      </c>
      <c r="C59" s="31" t="s">
        <v>1274</v>
      </c>
      <c r="D59" s="31" t="s">
        <v>319</v>
      </c>
      <c r="E59" s="9"/>
      <c r="F59" s="9">
        <v>72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37">
        <v>0</v>
      </c>
      <c r="P59">
        <v>1</v>
      </c>
      <c r="T59">
        <f t="shared" si="0"/>
        <v>0</v>
      </c>
      <c r="U59">
        <f t="shared" si="1"/>
        <v>0</v>
      </c>
      <c r="V59" t="e">
        <f>SUMIF(SAP!#REF!,월마감!B:B,SAP!#REF!)</f>
        <v>#REF!</v>
      </c>
      <c r="W59" t="e">
        <f t="shared" si="2"/>
        <v>#REF!</v>
      </c>
    </row>
    <row r="60" spans="1:23" ht="16.5" hidden="1" customHeight="1" x14ac:dyDescent="0.3">
      <c r="A60" s="32" t="s">
        <v>1626</v>
      </c>
      <c r="B60" s="9" t="s">
        <v>1781</v>
      </c>
      <c r="C60" s="31" t="s">
        <v>1668</v>
      </c>
      <c r="D60" s="31" t="s">
        <v>319</v>
      </c>
      <c r="E60" s="9"/>
      <c r="F60" s="9">
        <v>60</v>
      </c>
      <c r="G60" s="2">
        <v>0</v>
      </c>
      <c r="H60" s="2">
        <v>420</v>
      </c>
      <c r="I60" s="2">
        <v>40</v>
      </c>
      <c r="J60" s="2">
        <v>0</v>
      </c>
      <c r="K60" s="2">
        <v>460</v>
      </c>
      <c r="L60" s="2">
        <v>460</v>
      </c>
      <c r="M60" s="2">
        <v>0</v>
      </c>
      <c r="N60" s="37">
        <v>0</v>
      </c>
      <c r="P60">
        <v>1</v>
      </c>
      <c r="T60">
        <f t="shared" si="0"/>
        <v>0</v>
      </c>
      <c r="U60">
        <f t="shared" si="1"/>
        <v>460</v>
      </c>
      <c r="V60" t="e">
        <f>SUMIF(SAP!#REF!,월마감!B:B,SAP!#REF!)</f>
        <v>#REF!</v>
      </c>
      <c r="W60" t="e">
        <f t="shared" si="2"/>
        <v>#REF!</v>
      </c>
    </row>
    <row r="61" spans="1:23" ht="16.5" hidden="1" customHeight="1" x14ac:dyDescent="0.3">
      <c r="A61" s="32" t="s">
        <v>1762</v>
      </c>
      <c r="B61" s="9" t="s">
        <v>1763</v>
      </c>
      <c r="C61" s="31" t="s">
        <v>1764</v>
      </c>
      <c r="D61" s="31" t="s">
        <v>319</v>
      </c>
      <c r="E61" s="9"/>
      <c r="F61" s="9">
        <v>91</v>
      </c>
      <c r="G61" s="2">
        <v>0</v>
      </c>
      <c r="H61" s="2">
        <v>0</v>
      </c>
      <c r="I61" s="2">
        <v>45</v>
      </c>
      <c r="J61" s="2">
        <v>0</v>
      </c>
      <c r="K61" s="2">
        <v>45</v>
      </c>
      <c r="L61" s="2">
        <v>45</v>
      </c>
      <c r="M61" s="2">
        <v>0</v>
      </c>
      <c r="N61" s="37">
        <v>0</v>
      </c>
      <c r="P61">
        <v>1</v>
      </c>
      <c r="T61">
        <f t="shared" si="0"/>
        <v>0</v>
      </c>
      <c r="U61">
        <f t="shared" si="1"/>
        <v>45</v>
      </c>
      <c r="V61" t="e">
        <f>SUMIF(SAP!#REF!,월마감!B:B,SAP!#REF!)</f>
        <v>#REF!</v>
      </c>
      <c r="W61" t="e">
        <f t="shared" si="2"/>
        <v>#REF!</v>
      </c>
    </row>
    <row r="62" spans="1:23" ht="16.5" hidden="1" customHeight="1" x14ac:dyDescent="0.3">
      <c r="A62" s="9">
        <v>8422</v>
      </c>
      <c r="B62" s="9" t="s">
        <v>1508</v>
      </c>
      <c r="C62" s="31" t="s">
        <v>1509</v>
      </c>
      <c r="D62" s="31" t="s">
        <v>319</v>
      </c>
      <c r="E62" s="9">
        <v>64</v>
      </c>
      <c r="F62" s="9">
        <v>80</v>
      </c>
      <c r="G62" s="2">
        <v>0</v>
      </c>
      <c r="H62" s="2">
        <v>0</v>
      </c>
      <c r="I62" s="2">
        <v>16</v>
      </c>
      <c r="J62" s="2">
        <v>0</v>
      </c>
      <c r="K62" s="2">
        <v>16</v>
      </c>
      <c r="L62" s="2">
        <v>18</v>
      </c>
      <c r="M62" s="2">
        <v>0</v>
      </c>
      <c r="N62" s="37">
        <v>-2</v>
      </c>
      <c r="P62">
        <v>1</v>
      </c>
      <c r="T62">
        <f t="shared" si="0"/>
        <v>64</v>
      </c>
      <c r="U62">
        <f t="shared" si="1"/>
        <v>-48</v>
      </c>
      <c r="V62" t="e">
        <f>SUMIF(SAP!#REF!,월마감!B:B,SAP!#REF!)</f>
        <v>#REF!</v>
      </c>
      <c r="W62" t="e">
        <f t="shared" si="2"/>
        <v>#REF!</v>
      </c>
    </row>
    <row r="63" spans="1:23" ht="16.5" hidden="1" customHeight="1" x14ac:dyDescent="0.3">
      <c r="A63" s="9">
        <v>5325</v>
      </c>
      <c r="B63" s="9" t="s">
        <v>951</v>
      </c>
      <c r="C63" s="31" t="s">
        <v>952</v>
      </c>
      <c r="D63" s="31" t="s">
        <v>319</v>
      </c>
      <c r="E63" s="9"/>
      <c r="F63" s="9">
        <v>60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37">
        <v>0</v>
      </c>
      <c r="P63">
        <v>1</v>
      </c>
      <c r="T63">
        <f t="shared" si="0"/>
        <v>0</v>
      </c>
      <c r="U63">
        <f t="shared" si="1"/>
        <v>0</v>
      </c>
      <c r="V63" t="e">
        <f>SUMIF(SAP!#REF!,월마감!B:B,SAP!#REF!)</f>
        <v>#REF!</v>
      </c>
      <c r="W63" t="e">
        <f t="shared" si="2"/>
        <v>#REF!</v>
      </c>
    </row>
    <row r="64" spans="1:23" ht="16.5" hidden="1" customHeight="1" x14ac:dyDescent="0.3">
      <c r="A64" s="9">
        <v>771</v>
      </c>
      <c r="B64" s="9" t="s">
        <v>543</v>
      </c>
      <c r="C64" s="31" t="s">
        <v>544</v>
      </c>
      <c r="D64" s="31" t="s">
        <v>307</v>
      </c>
      <c r="E64" s="9">
        <v>126</v>
      </c>
      <c r="F64" s="9">
        <v>156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37">
        <v>0</v>
      </c>
      <c r="P64">
        <v>1</v>
      </c>
      <c r="T64">
        <f t="shared" si="0"/>
        <v>126</v>
      </c>
      <c r="U64">
        <f t="shared" si="1"/>
        <v>-126</v>
      </c>
      <c r="V64" t="e">
        <f>SUMIF(SAP!#REF!,월마감!B:B,SAP!#REF!)</f>
        <v>#REF!</v>
      </c>
      <c r="W64" t="e">
        <f t="shared" si="2"/>
        <v>#REF!</v>
      </c>
    </row>
    <row r="65" spans="1:23" ht="16.5" hidden="1" customHeight="1" x14ac:dyDescent="0.3">
      <c r="A65" s="9">
        <v>4877</v>
      </c>
      <c r="B65" s="9" t="s">
        <v>852</v>
      </c>
      <c r="C65" s="31" t="s">
        <v>853</v>
      </c>
      <c r="D65" s="31" t="s">
        <v>307</v>
      </c>
      <c r="E65" s="9">
        <v>126</v>
      </c>
      <c r="F65" s="9"/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37">
        <v>0</v>
      </c>
      <c r="P65">
        <v>1</v>
      </c>
      <c r="T65">
        <f t="shared" si="0"/>
        <v>126</v>
      </c>
      <c r="U65">
        <f t="shared" si="1"/>
        <v>-126</v>
      </c>
      <c r="V65" t="e">
        <f>SUMIF(SAP!#REF!,월마감!B:B,SAP!#REF!)</f>
        <v>#REF!</v>
      </c>
      <c r="W65" t="e">
        <f t="shared" si="2"/>
        <v>#REF!</v>
      </c>
    </row>
    <row r="66" spans="1:23" ht="16.5" hidden="1" customHeight="1" x14ac:dyDescent="0.3">
      <c r="A66" s="9">
        <v>4971</v>
      </c>
      <c r="B66" s="9" t="s">
        <v>886</v>
      </c>
      <c r="C66" s="31" t="s">
        <v>887</v>
      </c>
      <c r="D66" s="31" t="s">
        <v>307</v>
      </c>
      <c r="E66" s="9">
        <v>126</v>
      </c>
      <c r="F66" s="9"/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37">
        <v>0</v>
      </c>
      <c r="P66">
        <v>1</v>
      </c>
      <c r="T66">
        <f t="shared" si="0"/>
        <v>126</v>
      </c>
      <c r="U66">
        <f t="shared" si="1"/>
        <v>-126</v>
      </c>
      <c r="V66" t="e">
        <f>SUMIF(SAP!#REF!,월마감!B:B,SAP!#REF!)</f>
        <v>#REF!</v>
      </c>
      <c r="W66" t="e">
        <f t="shared" si="2"/>
        <v>#REF!</v>
      </c>
    </row>
    <row r="67" spans="1:23" ht="16.5" hidden="1" customHeight="1" x14ac:dyDescent="0.3">
      <c r="A67" s="9">
        <v>4972</v>
      </c>
      <c r="B67" s="9" t="s">
        <v>888</v>
      </c>
      <c r="C67" s="31" t="s">
        <v>889</v>
      </c>
      <c r="D67" s="31" t="s">
        <v>307</v>
      </c>
      <c r="E67" s="9">
        <v>126</v>
      </c>
      <c r="F67" s="9">
        <v>156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37">
        <v>0</v>
      </c>
      <c r="P67">
        <v>1</v>
      </c>
      <c r="T67">
        <f t="shared" si="0"/>
        <v>126</v>
      </c>
      <c r="U67">
        <f t="shared" si="1"/>
        <v>-126</v>
      </c>
      <c r="V67" t="e">
        <f>SUMIF(SAP!#REF!,월마감!B:B,SAP!#REF!)</f>
        <v>#REF!</v>
      </c>
      <c r="W67" t="e">
        <f t="shared" si="2"/>
        <v>#REF!</v>
      </c>
    </row>
    <row r="68" spans="1:23" ht="16.5" hidden="1" customHeight="1" x14ac:dyDescent="0.3">
      <c r="A68" s="9">
        <v>4973</v>
      </c>
      <c r="B68" s="9" t="s">
        <v>890</v>
      </c>
      <c r="C68" s="31" t="s">
        <v>891</v>
      </c>
      <c r="D68" s="31" t="s">
        <v>315</v>
      </c>
      <c r="E68" s="9">
        <v>108</v>
      </c>
      <c r="F68" s="9"/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37">
        <v>0</v>
      </c>
      <c r="P68">
        <v>1</v>
      </c>
      <c r="T68">
        <f t="shared" si="0"/>
        <v>108</v>
      </c>
      <c r="U68">
        <f t="shared" si="1"/>
        <v>-108</v>
      </c>
      <c r="V68" t="e">
        <f>SUMIF(SAP!#REF!,월마감!B:B,SAP!#REF!)</f>
        <v>#REF!</v>
      </c>
      <c r="W68" t="e">
        <f t="shared" si="2"/>
        <v>#REF!</v>
      </c>
    </row>
    <row r="69" spans="1:23" ht="16.5" hidden="1" customHeight="1" x14ac:dyDescent="0.3">
      <c r="A69" s="9">
        <v>4974</v>
      </c>
      <c r="B69" s="9" t="s">
        <v>892</v>
      </c>
      <c r="C69" s="31" t="s">
        <v>893</v>
      </c>
      <c r="D69" s="31" t="s">
        <v>315</v>
      </c>
      <c r="E69" s="9">
        <v>108</v>
      </c>
      <c r="F69" s="9">
        <v>144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37">
        <v>0</v>
      </c>
      <c r="P69">
        <v>1</v>
      </c>
      <c r="T69">
        <f t="shared" si="0"/>
        <v>108</v>
      </c>
      <c r="U69">
        <f t="shared" si="1"/>
        <v>-108</v>
      </c>
      <c r="V69" t="e">
        <f>SUMIF(SAP!#REF!,월마감!B:B,SAP!#REF!)</f>
        <v>#REF!</v>
      </c>
      <c r="W69" t="e">
        <f t="shared" si="2"/>
        <v>#REF!</v>
      </c>
    </row>
    <row r="70" spans="1:23" s="70" customFormat="1" x14ac:dyDescent="0.3">
      <c r="A70" s="9">
        <v>8264</v>
      </c>
      <c r="B70" s="87" t="s">
        <v>1496</v>
      </c>
      <c r="C70" s="88" t="s">
        <v>1495</v>
      </c>
      <c r="D70" s="31" t="s">
        <v>315</v>
      </c>
      <c r="E70" s="87">
        <v>108</v>
      </c>
      <c r="F70" s="87">
        <v>144</v>
      </c>
      <c r="G70" s="89">
        <v>0</v>
      </c>
      <c r="H70" s="89">
        <v>1440</v>
      </c>
      <c r="I70" s="89">
        <v>74</v>
      </c>
      <c r="J70" s="89">
        <v>0</v>
      </c>
      <c r="K70" s="89">
        <v>1514</v>
      </c>
      <c r="L70" s="89">
        <v>1518</v>
      </c>
      <c r="M70" s="89">
        <v>0</v>
      </c>
      <c r="N70" s="90">
        <v>-4</v>
      </c>
      <c r="P70" s="83"/>
      <c r="Q70" s="83">
        <v>10</v>
      </c>
      <c r="R70" s="83">
        <f>12+18+13+31</f>
        <v>74</v>
      </c>
      <c r="S70" s="83"/>
      <c r="T70" s="83">
        <f t="shared" si="0"/>
        <v>1514</v>
      </c>
      <c r="U70" s="83">
        <f t="shared" si="1"/>
        <v>0</v>
      </c>
      <c r="V70" s="91" t="e">
        <f>SUMIF(SAP!#REF!,월마감!B:B,SAP!#REF!)</f>
        <v>#REF!</v>
      </c>
      <c r="W70" s="91" t="e">
        <f t="shared" si="2"/>
        <v>#REF!</v>
      </c>
    </row>
    <row r="71" spans="1:23" ht="16.5" hidden="1" customHeight="1" x14ac:dyDescent="0.3">
      <c r="A71" s="9">
        <v>8099</v>
      </c>
      <c r="B71" s="9" t="s">
        <v>1432</v>
      </c>
      <c r="C71" s="31" t="s">
        <v>1433</v>
      </c>
      <c r="D71" s="31" t="s">
        <v>315</v>
      </c>
      <c r="E71" s="9"/>
      <c r="F71" s="9">
        <v>144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37">
        <v>0</v>
      </c>
      <c r="P71">
        <v>1</v>
      </c>
      <c r="T71">
        <f t="shared" si="0"/>
        <v>0</v>
      </c>
      <c r="U71">
        <f t="shared" si="1"/>
        <v>0</v>
      </c>
      <c r="V71" t="e">
        <f>SUMIF(SAP!#REF!,월마감!B:B,SAP!#REF!)</f>
        <v>#REF!</v>
      </c>
      <c r="W71" t="e">
        <f t="shared" si="2"/>
        <v>#REF!</v>
      </c>
    </row>
    <row r="72" spans="1:23" ht="16.5" hidden="1" customHeight="1" x14ac:dyDescent="0.3">
      <c r="A72" s="9">
        <v>4868</v>
      </c>
      <c r="B72" s="9" t="s">
        <v>846</v>
      </c>
      <c r="C72" s="31" t="s">
        <v>847</v>
      </c>
      <c r="D72" s="31" t="s">
        <v>314</v>
      </c>
      <c r="E72" s="9">
        <v>99</v>
      </c>
      <c r="F72" s="9"/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37">
        <v>0</v>
      </c>
      <c r="P72">
        <v>1</v>
      </c>
      <c r="T72">
        <f t="shared" si="0"/>
        <v>99</v>
      </c>
      <c r="U72">
        <f t="shared" si="1"/>
        <v>-99</v>
      </c>
      <c r="V72" t="e">
        <f>SUMIF(SAP!#REF!,월마감!B:B,SAP!#REF!)</f>
        <v>#REF!</v>
      </c>
      <c r="W72" t="e">
        <f t="shared" si="2"/>
        <v>#REF!</v>
      </c>
    </row>
    <row r="73" spans="1:23" ht="16.5" hidden="1" customHeight="1" x14ac:dyDescent="0.3">
      <c r="A73" s="9">
        <v>4869</v>
      </c>
      <c r="B73" s="9" t="s">
        <v>848</v>
      </c>
      <c r="C73" s="31" t="s">
        <v>849</v>
      </c>
      <c r="D73" s="31" t="s">
        <v>314</v>
      </c>
      <c r="E73" s="9">
        <v>99</v>
      </c>
      <c r="F73" s="9"/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37">
        <v>0</v>
      </c>
      <c r="P73">
        <v>1</v>
      </c>
      <c r="T73">
        <f t="shared" si="0"/>
        <v>99</v>
      </c>
      <c r="U73">
        <f t="shared" si="1"/>
        <v>-99</v>
      </c>
      <c r="V73" t="e">
        <f>SUMIF(SAP!#REF!,월마감!B:B,SAP!#REF!)</f>
        <v>#REF!</v>
      </c>
      <c r="W73" t="e">
        <f t="shared" si="2"/>
        <v>#REF!</v>
      </c>
    </row>
    <row r="74" spans="1:23" ht="16.5" hidden="1" customHeight="1" x14ac:dyDescent="0.3">
      <c r="A74" s="9">
        <v>4872</v>
      </c>
      <c r="B74" s="9" t="s">
        <v>850</v>
      </c>
      <c r="C74" s="31" t="s">
        <v>851</v>
      </c>
      <c r="D74" s="31" t="s">
        <v>314</v>
      </c>
      <c r="E74" s="9">
        <v>99</v>
      </c>
      <c r="F74" s="9">
        <v>132</v>
      </c>
      <c r="G74" s="2">
        <v>0</v>
      </c>
      <c r="H74" s="2">
        <v>5016</v>
      </c>
      <c r="I74" s="2">
        <v>278</v>
      </c>
      <c r="J74" s="2">
        <v>0</v>
      </c>
      <c r="K74" s="2">
        <v>5294</v>
      </c>
      <c r="L74" s="2">
        <v>2922</v>
      </c>
      <c r="M74" s="2">
        <v>2376</v>
      </c>
      <c r="N74" s="37">
        <v>-3</v>
      </c>
      <c r="P74">
        <v>1</v>
      </c>
      <c r="T74">
        <f t="shared" si="0"/>
        <v>99</v>
      </c>
      <c r="U74">
        <f t="shared" si="1"/>
        <v>5195</v>
      </c>
      <c r="V74" t="e">
        <f>SUMIF(SAP!#REF!,월마감!B:B,SAP!#REF!)</f>
        <v>#REF!</v>
      </c>
      <c r="W74" t="e">
        <f t="shared" si="2"/>
        <v>#REF!</v>
      </c>
    </row>
    <row r="75" spans="1:23" ht="16.5" hidden="1" customHeight="1" x14ac:dyDescent="0.3">
      <c r="A75" s="9">
        <v>4879</v>
      </c>
      <c r="B75" s="9" t="s">
        <v>855</v>
      </c>
      <c r="C75" s="31" t="s">
        <v>854</v>
      </c>
      <c r="D75" s="31" t="s">
        <v>314</v>
      </c>
      <c r="E75" s="9">
        <v>99</v>
      </c>
      <c r="F75" s="9">
        <v>132</v>
      </c>
      <c r="G75" s="2">
        <v>0</v>
      </c>
      <c r="H75" s="2">
        <v>3036</v>
      </c>
      <c r="I75" s="2">
        <v>94</v>
      </c>
      <c r="J75" s="2">
        <v>33</v>
      </c>
      <c r="K75" s="2">
        <v>3163</v>
      </c>
      <c r="L75" s="2">
        <v>3165</v>
      </c>
      <c r="M75" s="2">
        <v>0</v>
      </c>
      <c r="N75" s="37">
        <v>-1</v>
      </c>
      <c r="P75">
        <v>1</v>
      </c>
      <c r="T75">
        <f t="shared" si="0"/>
        <v>99</v>
      </c>
      <c r="U75">
        <f t="shared" si="1"/>
        <v>3064</v>
      </c>
      <c r="V75" t="e">
        <f>SUMIF(SAP!#REF!,월마감!B:B,SAP!#REF!)</f>
        <v>#REF!</v>
      </c>
      <c r="W75" t="e">
        <f t="shared" si="2"/>
        <v>#REF!</v>
      </c>
    </row>
    <row r="76" spans="1:23" ht="16.5" hidden="1" customHeight="1" x14ac:dyDescent="0.3">
      <c r="A76" s="9">
        <v>4885</v>
      </c>
      <c r="B76" s="9" t="s">
        <v>858</v>
      </c>
      <c r="C76" s="31" t="s">
        <v>859</v>
      </c>
      <c r="D76" s="31" t="s">
        <v>314</v>
      </c>
      <c r="E76" s="9">
        <v>99</v>
      </c>
      <c r="F76" s="9"/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37">
        <v>0</v>
      </c>
      <c r="P76">
        <v>1</v>
      </c>
      <c r="T76">
        <f t="shared" si="0"/>
        <v>99</v>
      </c>
      <c r="U76">
        <f t="shared" si="1"/>
        <v>-99</v>
      </c>
      <c r="V76" t="e">
        <f>SUMIF(SAP!#REF!,월마감!B:B,SAP!#REF!)</f>
        <v>#REF!</v>
      </c>
      <c r="W76" t="e">
        <f t="shared" si="2"/>
        <v>#REF!</v>
      </c>
    </row>
    <row r="77" spans="1:23" ht="16.5" hidden="1" customHeight="1" x14ac:dyDescent="0.3">
      <c r="A77" s="9">
        <v>4899</v>
      </c>
      <c r="B77" s="9" t="s">
        <v>860</v>
      </c>
      <c r="C77" s="31" t="s">
        <v>861</v>
      </c>
      <c r="D77" s="31" t="s">
        <v>314</v>
      </c>
      <c r="E77" s="9">
        <v>99</v>
      </c>
      <c r="F77" s="9">
        <v>132</v>
      </c>
      <c r="G77" s="2">
        <v>0</v>
      </c>
      <c r="H77" s="2">
        <v>2508</v>
      </c>
      <c r="I77" s="2">
        <v>388</v>
      </c>
      <c r="J77" s="2">
        <v>0</v>
      </c>
      <c r="K77" s="2">
        <v>2896</v>
      </c>
      <c r="L77" s="2">
        <v>2896</v>
      </c>
      <c r="M77" s="2">
        <v>0</v>
      </c>
      <c r="N77" s="37">
        <v>0</v>
      </c>
      <c r="P77">
        <v>1</v>
      </c>
      <c r="T77">
        <f t="shared" si="0"/>
        <v>99</v>
      </c>
      <c r="U77">
        <f t="shared" si="1"/>
        <v>2797</v>
      </c>
      <c r="V77" t="e">
        <f>SUMIF(SAP!#REF!,월마감!B:B,SAP!#REF!)</f>
        <v>#REF!</v>
      </c>
      <c r="W77" t="e">
        <f t="shared" si="2"/>
        <v>#REF!</v>
      </c>
    </row>
    <row r="78" spans="1:23" ht="16.5" hidden="1" customHeight="1" x14ac:dyDescent="0.3">
      <c r="A78" s="9">
        <v>4978</v>
      </c>
      <c r="B78" s="9" t="s">
        <v>894</v>
      </c>
      <c r="C78" s="31" t="s">
        <v>895</v>
      </c>
      <c r="D78" s="31" t="s">
        <v>314</v>
      </c>
      <c r="E78" s="9">
        <v>99</v>
      </c>
      <c r="F78" s="9"/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37">
        <v>0</v>
      </c>
      <c r="P78">
        <v>1</v>
      </c>
      <c r="T78">
        <f t="shared" si="0"/>
        <v>99</v>
      </c>
      <c r="U78">
        <f t="shared" si="1"/>
        <v>-99</v>
      </c>
      <c r="V78" t="e">
        <f>SUMIF(SAP!#REF!,월마감!B:B,SAP!#REF!)</f>
        <v>#REF!</v>
      </c>
      <c r="W78" t="e">
        <f t="shared" si="2"/>
        <v>#REF!</v>
      </c>
    </row>
    <row r="79" spans="1:23" ht="16.5" hidden="1" customHeight="1" x14ac:dyDescent="0.3">
      <c r="A79" s="9">
        <v>4982</v>
      </c>
      <c r="B79" s="9" t="s">
        <v>898</v>
      </c>
      <c r="C79" s="31" t="s">
        <v>899</v>
      </c>
      <c r="D79" s="31" t="s">
        <v>314</v>
      </c>
      <c r="E79" s="9">
        <v>99</v>
      </c>
      <c r="F79" s="9"/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37">
        <v>0</v>
      </c>
      <c r="P79">
        <v>1</v>
      </c>
      <c r="T79">
        <f t="shared" si="0"/>
        <v>99</v>
      </c>
      <c r="U79">
        <f t="shared" si="1"/>
        <v>-99</v>
      </c>
      <c r="V79" t="e">
        <f>SUMIF(SAP!#REF!,월마감!B:B,SAP!#REF!)</f>
        <v>#REF!</v>
      </c>
      <c r="W79" t="e">
        <f t="shared" si="2"/>
        <v>#REF!</v>
      </c>
    </row>
    <row r="80" spans="1:23" ht="16.5" hidden="1" customHeight="1" x14ac:dyDescent="0.3">
      <c r="A80" s="9">
        <v>4983</v>
      </c>
      <c r="B80" s="9" t="s">
        <v>900</v>
      </c>
      <c r="C80" s="31" t="s">
        <v>901</v>
      </c>
      <c r="D80" s="31" t="s">
        <v>314</v>
      </c>
      <c r="E80" s="9">
        <v>99</v>
      </c>
      <c r="F80" s="9">
        <v>132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37">
        <v>0</v>
      </c>
      <c r="P80">
        <v>1</v>
      </c>
      <c r="T80">
        <f t="shared" si="0"/>
        <v>99</v>
      </c>
      <c r="U80">
        <f t="shared" si="1"/>
        <v>-99</v>
      </c>
      <c r="V80" t="e">
        <f>SUMIF(SAP!#REF!,월마감!B:B,SAP!#REF!)</f>
        <v>#REF!</v>
      </c>
      <c r="W80" t="e">
        <f t="shared" si="2"/>
        <v>#REF!</v>
      </c>
    </row>
    <row r="81" spans="1:23" ht="16.5" hidden="1" customHeight="1" x14ac:dyDescent="0.3">
      <c r="A81" s="9">
        <v>8146</v>
      </c>
      <c r="B81" s="9" t="s">
        <v>1454</v>
      </c>
      <c r="C81" s="31" t="s">
        <v>1455</v>
      </c>
      <c r="D81" s="31" t="s">
        <v>321</v>
      </c>
      <c r="E81" s="9"/>
      <c r="F81" s="9">
        <v>88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37">
        <v>0</v>
      </c>
      <c r="P81">
        <v>1</v>
      </c>
      <c r="T81">
        <f t="shared" si="0"/>
        <v>0</v>
      </c>
      <c r="U81">
        <f t="shared" si="1"/>
        <v>0</v>
      </c>
      <c r="V81" t="e">
        <f>SUMIF(SAP!#REF!,월마감!B:B,SAP!#REF!)</f>
        <v>#REF!</v>
      </c>
      <c r="W81" t="e">
        <f t="shared" si="2"/>
        <v>#REF!</v>
      </c>
    </row>
    <row r="82" spans="1:23" ht="16.5" hidden="1" customHeight="1" x14ac:dyDescent="0.3">
      <c r="A82" s="9">
        <v>8147</v>
      </c>
      <c r="B82" s="9" t="s">
        <v>1456</v>
      </c>
      <c r="C82" s="31" t="s">
        <v>1457</v>
      </c>
      <c r="D82" s="31" t="s">
        <v>321</v>
      </c>
      <c r="E82" s="9"/>
      <c r="F82" s="9">
        <v>88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37">
        <v>0</v>
      </c>
      <c r="P82">
        <v>1</v>
      </c>
      <c r="T82">
        <f t="shared" si="0"/>
        <v>0</v>
      </c>
      <c r="U82">
        <f t="shared" si="1"/>
        <v>0</v>
      </c>
      <c r="V82" t="e">
        <f>SUMIF(SAP!#REF!,월마감!B:B,SAP!#REF!)</f>
        <v>#REF!</v>
      </c>
      <c r="W82" t="e">
        <f t="shared" si="2"/>
        <v>#REF!</v>
      </c>
    </row>
    <row r="83" spans="1:23" ht="16.5" hidden="1" customHeight="1" x14ac:dyDescent="0.3">
      <c r="A83" s="9">
        <v>8148</v>
      </c>
      <c r="B83" s="9" t="s">
        <v>1458</v>
      </c>
      <c r="C83" s="31" t="s">
        <v>1459</v>
      </c>
      <c r="D83" s="31" t="s">
        <v>321</v>
      </c>
      <c r="E83" s="9"/>
      <c r="F83" s="9">
        <v>88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37">
        <v>0</v>
      </c>
      <c r="P83">
        <v>1</v>
      </c>
      <c r="T83">
        <f t="shared" si="0"/>
        <v>0</v>
      </c>
      <c r="U83">
        <f t="shared" si="1"/>
        <v>0</v>
      </c>
      <c r="V83" t="e">
        <f>SUMIF(SAP!#REF!,월마감!B:B,SAP!#REF!)</f>
        <v>#REF!</v>
      </c>
      <c r="W83" t="e">
        <f t="shared" si="2"/>
        <v>#REF!</v>
      </c>
    </row>
    <row r="84" spans="1:23" s="70" customFormat="1" x14ac:dyDescent="0.3">
      <c r="A84" s="9">
        <v>8082</v>
      </c>
      <c r="B84" s="87" t="s">
        <v>1420</v>
      </c>
      <c r="C84" s="88" t="s">
        <v>1421</v>
      </c>
      <c r="D84" s="31" t="s">
        <v>321</v>
      </c>
      <c r="E84" s="87"/>
      <c r="F84" s="87">
        <v>88</v>
      </c>
      <c r="G84" s="89">
        <v>0</v>
      </c>
      <c r="H84" s="89">
        <v>1936</v>
      </c>
      <c r="I84" s="89">
        <v>208</v>
      </c>
      <c r="J84" s="89">
        <v>0</v>
      </c>
      <c r="K84" s="89">
        <v>2144</v>
      </c>
      <c r="L84" s="89">
        <v>2050</v>
      </c>
      <c r="M84" s="89">
        <v>88</v>
      </c>
      <c r="N84" s="90">
        <v>6</v>
      </c>
      <c r="P84" s="83"/>
      <c r="Q84" s="83">
        <f>10+12</f>
        <v>22</v>
      </c>
      <c r="R84" s="83">
        <f>36+48+59+62</f>
        <v>205</v>
      </c>
      <c r="S84" s="83"/>
      <c r="T84" s="83">
        <f t="shared" si="0"/>
        <v>2141</v>
      </c>
      <c r="U84" s="83">
        <f t="shared" si="1"/>
        <v>3</v>
      </c>
      <c r="V84" s="91" t="e">
        <f>SUMIF(SAP!#REF!,월마감!B:B,SAP!#REF!)</f>
        <v>#REF!</v>
      </c>
      <c r="W84" s="91" t="e">
        <f t="shared" si="2"/>
        <v>#REF!</v>
      </c>
    </row>
    <row r="85" spans="1:23" ht="16.5" hidden="1" customHeight="1" x14ac:dyDescent="0.3">
      <c r="A85" s="9">
        <v>8084</v>
      </c>
      <c r="B85" s="9" t="s">
        <v>1423</v>
      </c>
      <c r="C85" s="31" t="s">
        <v>1424</v>
      </c>
      <c r="D85" s="31" t="s">
        <v>321</v>
      </c>
      <c r="E85" s="9">
        <v>40</v>
      </c>
      <c r="F85" s="9">
        <v>88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37">
        <v>0</v>
      </c>
      <c r="P85">
        <v>1</v>
      </c>
      <c r="T85">
        <f t="shared" si="0"/>
        <v>40</v>
      </c>
      <c r="U85">
        <f t="shared" si="1"/>
        <v>-40</v>
      </c>
      <c r="V85" t="e">
        <f>SUMIF(SAP!#REF!,월마감!B:B,SAP!#REF!)</f>
        <v>#REF!</v>
      </c>
      <c r="W85" t="e">
        <f t="shared" si="2"/>
        <v>#REF!</v>
      </c>
    </row>
    <row r="86" spans="1:23" ht="16.5" hidden="1" customHeight="1" x14ac:dyDescent="0.3">
      <c r="A86" s="9">
        <v>8086</v>
      </c>
      <c r="B86" s="9" t="s">
        <v>1427</v>
      </c>
      <c r="C86" s="31" t="s">
        <v>1428</v>
      </c>
      <c r="D86" s="31" t="s">
        <v>321</v>
      </c>
      <c r="E86" s="9"/>
      <c r="F86" s="9">
        <v>88</v>
      </c>
      <c r="G86" s="2">
        <v>0</v>
      </c>
      <c r="H86" s="2">
        <v>968</v>
      </c>
      <c r="I86" s="2">
        <v>190</v>
      </c>
      <c r="J86" s="2">
        <v>0</v>
      </c>
      <c r="K86" s="2">
        <v>1158</v>
      </c>
      <c r="L86" s="2">
        <v>1158</v>
      </c>
      <c r="M86" s="2">
        <v>0</v>
      </c>
      <c r="N86" s="37">
        <v>0</v>
      </c>
      <c r="P86">
        <v>1</v>
      </c>
      <c r="T86">
        <f t="shared" si="0"/>
        <v>0</v>
      </c>
      <c r="U86">
        <f t="shared" si="1"/>
        <v>1158</v>
      </c>
      <c r="V86" t="e">
        <f>SUMIF(SAP!#REF!,월마감!B:B,SAP!#REF!)</f>
        <v>#REF!</v>
      </c>
      <c r="W86" t="e">
        <f t="shared" si="2"/>
        <v>#REF!</v>
      </c>
    </row>
    <row r="87" spans="1:23" ht="16.5" hidden="1" customHeight="1" x14ac:dyDescent="0.3">
      <c r="A87" s="9">
        <v>8167</v>
      </c>
      <c r="B87" s="9" t="s">
        <v>1782</v>
      </c>
      <c r="C87" s="31" t="s">
        <v>1829</v>
      </c>
      <c r="D87" s="31" t="s">
        <v>321</v>
      </c>
      <c r="E87" s="9"/>
      <c r="F87" s="9">
        <v>88</v>
      </c>
      <c r="G87" s="2">
        <v>0</v>
      </c>
      <c r="H87" s="2">
        <v>968</v>
      </c>
      <c r="I87" s="2">
        <v>202</v>
      </c>
      <c r="J87" s="2">
        <v>0</v>
      </c>
      <c r="K87" s="2">
        <v>1170</v>
      </c>
      <c r="L87" s="2">
        <v>1085</v>
      </c>
      <c r="M87" s="2">
        <v>88</v>
      </c>
      <c r="N87" s="37">
        <v>-3</v>
      </c>
      <c r="P87">
        <v>1</v>
      </c>
      <c r="T87">
        <f t="shared" si="0"/>
        <v>0</v>
      </c>
      <c r="U87">
        <f t="shared" si="1"/>
        <v>1170</v>
      </c>
      <c r="V87" t="e">
        <f>SUMIF(SAP!#REF!,월마감!B:B,SAP!#REF!)</f>
        <v>#REF!</v>
      </c>
      <c r="W87" t="e">
        <f t="shared" si="2"/>
        <v>#REF!</v>
      </c>
    </row>
    <row r="88" spans="1:23" ht="16.5" hidden="1" customHeight="1" x14ac:dyDescent="0.3">
      <c r="A88" s="9">
        <v>8085</v>
      </c>
      <c r="B88" s="9" t="s">
        <v>1425</v>
      </c>
      <c r="C88" s="31" t="s">
        <v>1426</v>
      </c>
      <c r="D88" s="31" t="s">
        <v>321</v>
      </c>
      <c r="E88" s="9"/>
      <c r="F88" s="9">
        <v>110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37">
        <v>0</v>
      </c>
      <c r="P88">
        <v>1</v>
      </c>
      <c r="T88">
        <f t="shared" si="0"/>
        <v>0</v>
      </c>
      <c r="U88">
        <f t="shared" si="1"/>
        <v>0</v>
      </c>
      <c r="V88" t="e">
        <f>SUMIF(SAP!#REF!,월마감!B:B,SAP!#REF!)</f>
        <v>#REF!</v>
      </c>
      <c r="W88" t="e">
        <f t="shared" si="2"/>
        <v>#REF!</v>
      </c>
    </row>
    <row r="89" spans="1:23" ht="16.5" hidden="1" customHeight="1" x14ac:dyDescent="0.3">
      <c r="A89" s="9">
        <v>8072</v>
      </c>
      <c r="B89" s="9" t="s">
        <v>1414</v>
      </c>
      <c r="C89" s="31" t="s">
        <v>1415</v>
      </c>
      <c r="D89" s="31" t="s">
        <v>374</v>
      </c>
      <c r="E89" s="9"/>
      <c r="F89" s="9">
        <v>64</v>
      </c>
      <c r="G89" s="2">
        <v>0</v>
      </c>
      <c r="H89" s="2">
        <v>1024</v>
      </c>
      <c r="I89" s="2">
        <v>61</v>
      </c>
      <c r="J89" s="2">
        <v>0</v>
      </c>
      <c r="K89" s="2">
        <v>1085</v>
      </c>
      <c r="L89" s="2">
        <v>1083</v>
      </c>
      <c r="M89" s="2">
        <v>0</v>
      </c>
      <c r="N89" s="37">
        <v>2</v>
      </c>
      <c r="P89">
        <v>1</v>
      </c>
      <c r="T89">
        <f t="shared" si="0"/>
        <v>0</v>
      </c>
      <c r="U89">
        <f t="shared" si="1"/>
        <v>1085</v>
      </c>
      <c r="V89" t="e">
        <f>SUMIF(SAP!#REF!,월마감!B:B,SAP!#REF!)</f>
        <v>#REF!</v>
      </c>
      <c r="W89" t="e">
        <f t="shared" si="2"/>
        <v>#REF!</v>
      </c>
    </row>
    <row r="90" spans="1:23" s="70" customFormat="1" x14ac:dyDescent="0.3">
      <c r="A90" s="9">
        <v>8074</v>
      </c>
      <c r="B90" s="87" t="s">
        <v>1417</v>
      </c>
      <c r="C90" s="88" t="s">
        <v>1418</v>
      </c>
      <c r="D90" s="31" t="s">
        <v>374</v>
      </c>
      <c r="E90" s="87"/>
      <c r="F90" s="87">
        <v>64</v>
      </c>
      <c r="G90" s="89">
        <v>0</v>
      </c>
      <c r="H90" s="89">
        <v>704</v>
      </c>
      <c r="I90" s="89">
        <v>64</v>
      </c>
      <c r="J90" s="89">
        <v>0</v>
      </c>
      <c r="K90" s="89">
        <v>768</v>
      </c>
      <c r="L90" s="89">
        <v>772</v>
      </c>
      <c r="M90" s="89">
        <v>0</v>
      </c>
      <c r="N90" s="90">
        <v>-4</v>
      </c>
      <c r="P90" s="83"/>
      <c r="Q90" s="83">
        <v>11</v>
      </c>
      <c r="R90" s="83">
        <f>42+22</f>
        <v>64</v>
      </c>
      <c r="S90" s="83"/>
      <c r="T90" s="83">
        <f t="shared" si="0"/>
        <v>768</v>
      </c>
      <c r="U90" s="83">
        <f t="shared" si="1"/>
        <v>0</v>
      </c>
      <c r="V90" s="91" t="e">
        <f>SUMIF(SAP!#REF!,월마감!B:B,SAP!#REF!)</f>
        <v>#REF!</v>
      </c>
      <c r="W90" s="91" t="e">
        <f t="shared" si="2"/>
        <v>#REF!</v>
      </c>
    </row>
    <row r="91" spans="1:23" x14ac:dyDescent="0.3">
      <c r="A91" s="9" t="s">
        <v>1780</v>
      </c>
      <c r="B91" s="76" t="s">
        <v>1777</v>
      </c>
      <c r="C91" s="77" t="s">
        <v>1830</v>
      </c>
      <c r="D91" s="31" t="s">
        <v>374</v>
      </c>
      <c r="E91" s="76"/>
      <c r="F91" s="76">
        <v>64</v>
      </c>
      <c r="G91" s="2">
        <v>0</v>
      </c>
      <c r="H91" s="2">
        <v>64</v>
      </c>
      <c r="I91" s="2">
        <v>79</v>
      </c>
      <c r="J91" s="2">
        <v>13</v>
      </c>
      <c r="K91" s="2">
        <v>156</v>
      </c>
      <c r="L91" s="2">
        <v>145</v>
      </c>
      <c r="M91" s="2">
        <v>0</v>
      </c>
      <c r="N91" s="37">
        <v>11</v>
      </c>
      <c r="P91" s="81"/>
      <c r="Q91" s="81">
        <v>1</v>
      </c>
      <c r="R91" s="81">
        <f>50+18+11</f>
        <v>79</v>
      </c>
      <c r="S91" s="81"/>
      <c r="T91" s="81">
        <f t="shared" si="0"/>
        <v>143</v>
      </c>
      <c r="U91" s="82">
        <f t="shared" si="1"/>
        <v>13</v>
      </c>
      <c r="V91" s="86" t="e">
        <f>SUMIF(SAP!#REF!,월마감!B:B,SAP!#REF!)</f>
        <v>#REF!</v>
      </c>
      <c r="W91" s="86" t="e">
        <f t="shared" si="2"/>
        <v>#REF!</v>
      </c>
    </row>
    <row r="92" spans="1:23" ht="16.5" hidden="1" customHeight="1" x14ac:dyDescent="0.3">
      <c r="A92" s="9">
        <v>62</v>
      </c>
      <c r="B92" s="9" t="s">
        <v>434</v>
      </c>
      <c r="C92" s="31" t="s">
        <v>435</v>
      </c>
      <c r="D92" s="31" t="s">
        <v>306</v>
      </c>
      <c r="E92" s="9"/>
      <c r="F92" s="9"/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37">
        <v>0</v>
      </c>
      <c r="P92">
        <v>1</v>
      </c>
      <c r="T92">
        <f t="shared" si="0"/>
        <v>0</v>
      </c>
      <c r="U92">
        <f t="shared" si="1"/>
        <v>0</v>
      </c>
      <c r="V92" t="e">
        <f>SUMIF(SAP!#REF!,월마감!B:B,SAP!#REF!)</f>
        <v>#REF!</v>
      </c>
      <c r="W92" t="e">
        <f t="shared" si="2"/>
        <v>#REF!</v>
      </c>
    </row>
    <row r="93" spans="1:23" ht="16.5" hidden="1" customHeight="1" x14ac:dyDescent="0.3">
      <c r="A93" s="9">
        <v>5618</v>
      </c>
      <c r="B93" s="9" t="s">
        <v>1051</v>
      </c>
      <c r="C93" s="31" t="s">
        <v>1052</v>
      </c>
      <c r="D93" s="31" t="s">
        <v>306</v>
      </c>
      <c r="E93" s="9"/>
      <c r="F93" s="9">
        <v>44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37">
        <v>0</v>
      </c>
      <c r="P93">
        <v>1</v>
      </c>
      <c r="T93">
        <f t="shared" si="0"/>
        <v>0</v>
      </c>
      <c r="U93">
        <f t="shared" si="1"/>
        <v>0</v>
      </c>
      <c r="V93" t="e">
        <f>SUMIF(SAP!#REF!,월마감!B:B,SAP!#REF!)</f>
        <v>#REF!</v>
      </c>
      <c r="W93" t="e">
        <f t="shared" si="2"/>
        <v>#REF!</v>
      </c>
    </row>
    <row r="94" spans="1:23" ht="16.5" hidden="1" customHeight="1" x14ac:dyDescent="0.3">
      <c r="A94" s="9">
        <v>4549</v>
      </c>
      <c r="B94" s="9" t="s">
        <v>762</v>
      </c>
      <c r="C94" s="31" t="s">
        <v>763</v>
      </c>
      <c r="D94" s="31" t="s">
        <v>318</v>
      </c>
      <c r="E94" s="9">
        <v>32</v>
      </c>
      <c r="F94" s="9">
        <v>44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37">
        <v>0</v>
      </c>
      <c r="P94">
        <v>1</v>
      </c>
      <c r="T94">
        <f t="shared" si="0"/>
        <v>32</v>
      </c>
      <c r="U94">
        <f t="shared" si="1"/>
        <v>-32</v>
      </c>
      <c r="V94" t="e">
        <f>SUMIF(SAP!#REF!,월마감!B:B,SAP!#REF!)</f>
        <v>#REF!</v>
      </c>
      <c r="W94" t="e">
        <f t="shared" si="2"/>
        <v>#REF!</v>
      </c>
    </row>
    <row r="95" spans="1:23" ht="16.5" hidden="1" customHeight="1" x14ac:dyDescent="0.3">
      <c r="A95" s="9">
        <v>6309</v>
      </c>
      <c r="B95" s="9" t="s">
        <v>1145</v>
      </c>
      <c r="C95" s="31" t="s">
        <v>1146</v>
      </c>
      <c r="D95" s="31" t="s">
        <v>318</v>
      </c>
      <c r="E95" s="9">
        <v>40</v>
      </c>
      <c r="F95" s="9">
        <v>44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37">
        <v>0</v>
      </c>
      <c r="P95">
        <v>1</v>
      </c>
      <c r="T95">
        <f t="shared" si="0"/>
        <v>40</v>
      </c>
      <c r="U95">
        <f t="shared" si="1"/>
        <v>-40</v>
      </c>
      <c r="V95" t="e">
        <f>SUMIF(SAP!#REF!,월마감!B:B,SAP!#REF!)</f>
        <v>#REF!</v>
      </c>
      <c r="W95" t="e">
        <f t="shared" si="2"/>
        <v>#REF!</v>
      </c>
    </row>
    <row r="96" spans="1:23" ht="16.5" hidden="1" customHeight="1" x14ac:dyDescent="0.3">
      <c r="A96" s="9">
        <v>6335</v>
      </c>
      <c r="B96" s="9" t="s">
        <v>1149</v>
      </c>
      <c r="C96" s="31" t="s">
        <v>1150</v>
      </c>
      <c r="D96" s="31" t="s">
        <v>318</v>
      </c>
      <c r="E96" s="9">
        <v>32</v>
      </c>
      <c r="F96" s="9"/>
      <c r="G96" s="2">
        <v>0</v>
      </c>
      <c r="H96" s="2">
        <v>0</v>
      </c>
      <c r="I96" s="2">
        <v>16</v>
      </c>
      <c r="J96" s="2">
        <v>0</v>
      </c>
      <c r="K96" s="2">
        <v>16</v>
      </c>
      <c r="L96" s="2">
        <v>16</v>
      </c>
      <c r="M96" s="2">
        <v>0</v>
      </c>
      <c r="N96" s="37">
        <v>0</v>
      </c>
      <c r="P96">
        <v>1</v>
      </c>
      <c r="T96">
        <f t="shared" si="0"/>
        <v>32</v>
      </c>
      <c r="U96">
        <f t="shared" si="1"/>
        <v>-16</v>
      </c>
      <c r="V96" t="e">
        <f>SUMIF(SAP!#REF!,월마감!B:B,SAP!#REF!)</f>
        <v>#REF!</v>
      </c>
      <c r="W96" t="e">
        <f t="shared" si="2"/>
        <v>#REF!</v>
      </c>
    </row>
    <row r="97" spans="1:23" ht="16.5" hidden="1" customHeight="1" x14ac:dyDescent="0.3">
      <c r="A97" s="9">
        <v>6344</v>
      </c>
      <c r="B97" s="9" t="s">
        <v>1158</v>
      </c>
      <c r="C97" s="31" t="s">
        <v>1159</v>
      </c>
      <c r="D97" s="31" t="s">
        <v>318</v>
      </c>
      <c r="E97" s="9">
        <v>32</v>
      </c>
      <c r="F97" s="9"/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37">
        <v>0</v>
      </c>
      <c r="P97">
        <v>1</v>
      </c>
      <c r="T97">
        <f t="shared" si="0"/>
        <v>32</v>
      </c>
      <c r="U97">
        <f t="shared" si="1"/>
        <v>-32</v>
      </c>
      <c r="V97" t="e">
        <f>SUMIF(SAP!#REF!,월마감!B:B,SAP!#REF!)</f>
        <v>#REF!</v>
      </c>
      <c r="W97" t="e">
        <f t="shared" si="2"/>
        <v>#REF!</v>
      </c>
    </row>
    <row r="98" spans="1:23" ht="16.5" hidden="1" customHeight="1" x14ac:dyDescent="0.3">
      <c r="A98" s="9">
        <v>7532</v>
      </c>
      <c r="B98" s="9" t="s">
        <v>1322</v>
      </c>
      <c r="C98" s="31" t="s">
        <v>1323</v>
      </c>
      <c r="D98" s="31" t="s">
        <v>318</v>
      </c>
      <c r="E98" s="9">
        <v>40</v>
      </c>
      <c r="F98" s="9"/>
      <c r="G98" s="2">
        <v>0</v>
      </c>
      <c r="H98" s="2">
        <v>0</v>
      </c>
      <c r="I98" s="2">
        <v>28</v>
      </c>
      <c r="J98" s="2">
        <v>0</v>
      </c>
      <c r="K98" s="2">
        <v>28</v>
      </c>
      <c r="L98" s="2">
        <v>30</v>
      </c>
      <c r="M98" s="2">
        <v>0</v>
      </c>
      <c r="N98" s="37">
        <v>-2</v>
      </c>
      <c r="P98">
        <v>1</v>
      </c>
      <c r="T98">
        <f t="shared" si="0"/>
        <v>40</v>
      </c>
      <c r="U98">
        <f t="shared" si="1"/>
        <v>-12</v>
      </c>
      <c r="V98" t="e">
        <f>SUMIF(SAP!#REF!,월마감!B:B,SAP!#REF!)</f>
        <v>#REF!</v>
      </c>
      <c r="W98" t="e">
        <f t="shared" si="2"/>
        <v>#REF!</v>
      </c>
    </row>
    <row r="99" spans="1:23" ht="16.5" hidden="1" customHeight="1" x14ac:dyDescent="0.3">
      <c r="A99" s="9">
        <v>6120</v>
      </c>
      <c r="B99" s="9" t="s">
        <v>1126</v>
      </c>
      <c r="C99" s="31" t="s">
        <v>1127</v>
      </c>
      <c r="D99" s="31" t="s">
        <v>318</v>
      </c>
      <c r="E99" s="9">
        <v>32</v>
      </c>
      <c r="F99" s="9">
        <v>44</v>
      </c>
      <c r="G99" s="2">
        <v>0</v>
      </c>
      <c r="H99" s="2">
        <v>572</v>
      </c>
      <c r="I99" s="2">
        <v>48</v>
      </c>
      <c r="J99" s="2">
        <v>0</v>
      </c>
      <c r="K99" s="2">
        <v>620</v>
      </c>
      <c r="L99" s="2">
        <v>533</v>
      </c>
      <c r="M99" s="2">
        <v>88</v>
      </c>
      <c r="N99" s="37">
        <v>-1</v>
      </c>
      <c r="P99">
        <v>1</v>
      </c>
      <c r="T99">
        <f t="shared" si="0"/>
        <v>32</v>
      </c>
      <c r="U99">
        <f t="shared" si="1"/>
        <v>588</v>
      </c>
      <c r="V99" t="e">
        <f>SUMIF(SAP!#REF!,월마감!B:B,SAP!#REF!)</f>
        <v>#REF!</v>
      </c>
      <c r="W99" t="e">
        <f t="shared" si="2"/>
        <v>#REF!</v>
      </c>
    </row>
    <row r="100" spans="1:23" ht="16.5" hidden="1" customHeight="1" x14ac:dyDescent="0.3">
      <c r="A100" s="9">
        <v>6349</v>
      </c>
      <c r="B100" s="9" t="s">
        <v>1160</v>
      </c>
      <c r="C100" s="31" t="s">
        <v>1161</v>
      </c>
      <c r="D100" s="31" t="s">
        <v>318</v>
      </c>
      <c r="E100" s="9">
        <v>32</v>
      </c>
      <c r="F100" s="9">
        <v>33</v>
      </c>
      <c r="G100" s="2">
        <v>0</v>
      </c>
      <c r="H100" s="2">
        <v>2277</v>
      </c>
      <c r="I100" s="2">
        <v>66</v>
      </c>
      <c r="J100" s="2">
        <v>0</v>
      </c>
      <c r="K100" s="2">
        <v>2343</v>
      </c>
      <c r="L100" s="2">
        <v>1914</v>
      </c>
      <c r="M100" s="2">
        <v>429</v>
      </c>
      <c r="N100" s="37">
        <v>0</v>
      </c>
      <c r="P100">
        <v>1</v>
      </c>
      <c r="T100">
        <f t="shared" si="0"/>
        <v>32</v>
      </c>
      <c r="U100">
        <f t="shared" si="1"/>
        <v>2311</v>
      </c>
      <c r="V100" t="e">
        <f>SUMIF(SAP!#REF!,월마감!B:B,SAP!#REF!)</f>
        <v>#REF!</v>
      </c>
      <c r="W100" t="e">
        <f t="shared" si="2"/>
        <v>#REF!</v>
      </c>
    </row>
    <row r="101" spans="1:23" ht="16.5" hidden="1" customHeight="1" x14ac:dyDescent="0.3">
      <c r="A101" s="9">
        <v>7923</v>
      </c>
      <c r="B101" s="9" t="s">
        <v>1406</v>
      </c>
      <c r="C101" s="31" t="s">
        <v>1407</v>
      </c>
      <c r="D101" s="31" t="s">
        <v>318</v>
      </c>
      <c r="E101" s="9">
        <v>32</v>
      </c>
      <c r="F101" s="9">
        <v>44</v>
      </c>
      <c r="G101" s="2">
        <v>0</v>
      </c>
      <c r="H101" s="2">
        <v>7788</v>
      </c>
      <c r="I101" s="2">
        <v>34</v>
      </c>
      <c r="J101" s="2">
        <v>0</v>
      </c>
      <c r="K101" s="2">
        <v>7822</v>
      </c>
      <c r="L101" s="2">
        <v>5315</v>
      </c>
      <c r="M101" s="2">
        <v>2508</v>
      </c>
      <c r="N101" s="37">
        <v>-1</v>
      </c>
      <c r="P101">
        <v>1</v>
      </c>
      <c r="T101">
        <f t="shared" si="0"/>
        <v>32</v>
      </c>
      <c r="U101">
        <f t="shared" si="1"/>
        <v>7790</v>
      </c>
      <c r="V101" t="e">
        <f>SUMIF(SAP!#REF!,월마감!B:B,SAP!#REF!)</f>
        <v>#REF!</v>
      </c>
      <c r="W101" t="e">
        <f t="shared" si="2"/>
        <v>#REF!</v>
      </c>
    </row>
    <row r="102" spans="1:23" ht="16.5" hidden="1" customHeight="1" x14ac:dyDescent="0.3">
      <c r="A102" s="9">
        <v>4487</v>
      </c>
      <c r="B102" s="9" t="s">
        <v>752</v>
      </c>
      <c r="C102" s="31" t="s">
        <v>753</v>
      </c>
      <c r="D102" s="31" t="s">
        <v>318</v>
      </c>
      <c r="E102" s="9">
        <v>32</v>
      </c>
      <c r="F102" s="9">
        <v>44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37">
        <v>0</v>
      </c>
      <c r="P102">
        <v>1</v>
      </c>
      <c r="T102">
        <f t="shared" si="0"/>
        <v>32</v>
      </c>
      <c r="U102">
        <f t="shared" si="1"/>
        <v>-32</v>
      </c>
      <c r="V102" t="e">
        <f>SUMIF(SAP!#REF!,월마감!B:B,SAP!#REF!)</f>
        <v>#REF!</v>
      </c>
      <c r="W102" t="e">
        <f t="shared" si="2"/>
        <v>#REF!</v>
      </c>
    </row>
    <row r="103" spans="1:23" ht="16.5" hidden="1" customHeight="1" x14ac:dyDescent="0.3">
      <c r="A103" s="9">
        <v>4488</v>
      </c>
      <c r="B103" s="9" t="s">
        <v>750</v>
      </c>
      <c r="C103" s="31" t="s">
        <v>751</v>
      </c>
      <c r="D103" s="31" t="s">
        <v>318</v>
      </c>
      <c r="E103" s="9">
        <v>32</v>
      </c>
      <c r="F103" s="9">
        <v>44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37">
        <v>0</v>
      </c>
      <c r="P103">
        <v>1</v>
      </c>
      <c r="T103">
        <f t="shared" si="0"/>
        <v>32</v>
      </c>
      <c r="U103">
        <f t="shared" si="1"/>
        <v>-32</v>
      </c>
      <c r="V103" t="e">
        <f>SUMIF(SAP!#REF!,월마감!B:B,SAP!#REF!)</f>
        <v>#REF!</v>
      </c>
      <c r="W103" t="e">
        <f t="shared" si="2"/>
        <v>#REF!</v>
      </c>
    </row>
    <row r="104" spans="1:23" ht="16.5" hidden="1" customHeight="1" x14ac:dyDescent="0.3">
      <c r="A104" s="9">
        <v>2440</v>
      </c>
      <c r="B104" s="9" t="s">
        <v>593</v>
      </c>
      <c r="C104" s="31" t="s">
        <v>594</v>
      </c>
      <c r="D104" s="31" t="s">
        <v>305</v>
      </c>
      <c r="E104" s="9">
        <v>126</v>
      </c>
      <c r="F104" s="9">
        <v>156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37">
        <v>0</v>
      </c>
      <c r="P104">
        <v>1</v>
      </c>
      <c r="T104">
        <f t="shared" ref="T104:T167" si="3">(P104*E104)+(Q104*F104)+R104+S104</f>
        <v>126</v>
      </c>
      <c r="U104">
        <f t="shared" ref="U104:U167" si="4">K104-T104</f>
        <v>-126</v>
      </c>
      <c r="V104" t="e">
        <f>SUMIF(SAP!#REF!,월마감!B:B,SAP!#REF!)</f>
        <v>#REF!</v>
      </c>
      <c r="W104" t="e">
        <f t="shared" ref="W104:W167" si="5">T104-V104</f>
        <v>#REF!</v>
      </c>
    </row>
    <row r="105" spans="1:23" ht="16.5" hidden="1" customHeight="1" x14ac:dyDescent="0.3">
      <c r="A105" s="9">
        <v>2441</v>
      </c>
      <c r="B105" s="9" t="s">
        <v>596</v>
      </c>
      <c r="C105" s="31" t="s">
        <v>597</v>
      </c>
      <c r="D105" s="31" t="s">
        <v>305</v>
      </c>
      <c r="E105" s="9">
        <v>126</v>
      </c>
      <c r="F105" s="9">
        <v>156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37">
        <v>0</v>
      </c>
      <c r="P105">
        <v>1</v>
      </c>
      <c r="T105">
        <f t="shared" si="3"/>
        <v>126</v>
      </c>
      <c r="U105">
        <f t="shared" si="4"/>
        <v>-126</v>
      </c>
      <c r="V105" t="e">
        <f>SUMIF(SAP!#REF!,월마감!B:B,SAP!#REF!)</f>
        <v>#REF!</v>
      </c>
      <c r="W105" t="e">
        <f t="shared" si="5"/>
        <v>#REF!</v>
      </c>
    </row>
    <row r="106" spans="1:23" ht="16.5" hidden="1" customHeight="1" x14ac:dyDescent="0.3">
      <c r="A106" s="9">
        <v>2443</v>
      </c>
      <c r="B106" s="9" t="s">
        <v>599</v>
      </c>
      <c r="C106" s="31" t="s">
        <v>600</v>
      </c>
      <c r="D106" s="31" t="s">
        <v>305</v>
      </c>
      <c r="E106" s="9">
        <v>126</v>
      </c>
      <c r="F106" s="9">
        <v>156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37">
        <v>0</v>
      </c>
      <c r="P106">
        <v>1</v>
      </c>
      <c r="T106">
        <f t="shared" si="3"/>
        <v>126</v>
      </c>
      <c r="U106">
        <f t="shared" si="4"/>
        <v>-126</v>
      </c>
      <c r="V106" t="e">
        <f>SUMIF(SAP!#REF!,월마감!B:B,SAP!#REF!)</f>
        <v>#REF!</v>
      </c>
      <c r="W106" t="e">
        <f t="shared" si="5"/>
        <v>#REF!</v>
      </c>
    </row>
    <row r="107" spans="1:23" ht="16.5" hidden="1" customHeight="1" x14ac:dyDescent="0.3">
      <c r="A107" s="9">
        <v>2437</v>
      </c>
      <c r="B107" s="9" t="s">
        <v>590</v>
      </c>
      <c r="C107" s="31" t="s">
        <v>591</v>
      </c>
      <c r="D107" s="31" t="s">
        <v>305</v>
      </c>
      <c r="E107" s="9">
        <v>126</v>
      </c>
      <c r="F107" s="9">
        <v>156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37">
        <v>0</v>
      </c>
      <c r="P107">
        <v>1</v>
      </c>
      <c r="T107">
        <f t="shared" si="3"/>
        <v>126</v>
      </c>
      <c r="U107">
        <f t="shared" si="4"/>
        <v>-126</v>
      </c>
      <c r="V107" t="e">
        <f>SUMIF(SAP!#REF!,월마감!B:B,SAP!#REF!)</f>
        <v>#REF!</v>
      </c>
      <c r="W107" t="e">
        <f t="shared" si="5"/>
        <v>#REF!</v>
      </c>
    </row>
    <row r="108" spans="1:23" ht="16.5" hidden="1" customHeight="1" x14ac:dyDescent="0.3">
      <c r="A108" s="9">
        <v>4857</v>
      </c>
      <c r="B108" s="9" t="s">
        <v>835</v>
      </c>
      <c r="C108" s="31" t="s">
        <v>836</v>
      </c>
      <c r="D108" s="31" t="s">
        <v>313</v>
      </c>
      <c r="E108" s="9">
        <v>108</v>
      </c>
      <c r="F108" s="9"/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37">
        <v>0</v>
      </c>
      <c r="P108">
        <v>1</v>
      </c>
      <c r="T108">
        <f t="shared" si="3"/>
        <v>108</v>
      </c>
      <c r="U108">
        <f t="shared" si="4"/>
        <v>-108</v>
      </c>
      <c r="V108" t="e">
        <f>SUMIF(SAP!#REF!,월마감!B:B,SAP!#REF!)</f>
        <v>#REF!</v>
      </c>
      <c r="W108" t="e">
        <f t="shared" si="5"/>
        <v>#REF!</v>
      </c>
    </row>
    <row r="109" spans="1:23" s="70" customFormat="1" x14ac:dyDescent="0.3">
      <c r="A109" s="9">
        <v>4861</v>
      </c>
      <c r="B109" s="87" t="s">
        <v>841</v>
      </c>
      <c r="C109" s="88" t="s">
        <v>821</v>
      </c>
      <c r="D109" s="31" t="s">
        <v>313</v>
      </c>
      <c r="E109" s="87"/>
      <c r="F109" s="87">
        <v>132</v>
      </c>
      <c r="G109" s="89">
        <v>0</v>
      </c>
      <c r="H109" s="89">
        <v>792</v>
      </c>
      <c r="I109" s="89">
        <v>86</v>
      </c>
      <c r="J109" s="89">
        <v>0</v>
      </c>
      <c r="K109" s="89">
        <v>878</v>
      </c>
      <c r="L109" s="89">
        <v>872</v>
      </c>
      <c r="M109" s="89">
        <v>0</v>
      </c>
      <c r="N109" s="90">
        <v>6</v>
      </c>
      <c r="P109" s="83"/>
      <c r="Q109" s="83">
        <v>6</v>
      </c>
      <c r="R109" s="83">
        <f>44+42</f>
        <v>86</v>
      </c>
      <c r="S109" s="83"/>
      <c r="T109" s="83">
        <f t="shared" si="3"/>
        <v>878</v>
      </c>
      <c r="U109" s="83">
        <f t="shared" si="4"/>
        <v>0</v>
      </c>
      <c r="V109" s="91" t="e">
        <f>SUMIF(SAP!#REF!,월마감!B:B,SAP!#REF!)</f>
        <v>#REF!</v>
      </c>
      <c r="W109" s="91" t="e">
        <f t="shared" si="5"/>
        <v>#REF!</v>
      </c>
    </row>
    <row r="110" spans="1:23" ht="16.5" hidden="1" customHeight="1" x14ac:dyDescent="0.3">
      <c r="A110" s="9">
        <v>4862</v>
      </c>
      <c r="B110" s="9" t="s">
        <v>843</v>
      </c>
      <c r="C110" s="31" t="s">
        <v>822</v>
      </c>
      <c r="D110" s="31" t="s">
        <v>313</v>
      </c>
      <c r="E110" s="9"/>
      <c r="F110" s="9">
        <v>132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37">
        <v>0</v>
      </c>
      <c r="P110">
        <v>1</v>
      </c>
      <c r="T110">
        <f t="shared" si="3"/>
        <v>0</v>
      </c>
      <c r="U110">
        <f t="shared" si="4"/>
        <v>0</v>
      </c>
      <c r="V110" t="e">
        <f>SUMIF(SAP!#REF!,월마감!B:B,SAP!#REF!)</f>
        <v>#REF!</v>
      </c>
      <c r="W110" t="e">
        <f t="shared" si="5"/>
        <v>#REF!</v>
      </c>
    </row>
    <row r="111" spans="1:23" ht="16.5" hidden="1" customHeight="1" x14ac:dyDescent="0.3">
      <c r="A111" s="9">
        <v>4863</v>
      </c>
      <c r="B111" s="9" t="s">
        <v>844</v>
      </c>
      <c r="C111" s="31" t="s">
        <v>823</v>
      </c>
      <c r="D111" s="31" t="s">
        <v>313</v>
      </c>
      <c r="E111" s="9">
        <v>108</v>
      </c>
      <c r="F111" s="9"/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37">
        <v>0</v>
      </c>
      <c r="P111">
        <v>1</v>
      </c>
      <c r="T111">
        <f t="shared" si="3"/>
        <v>108</v>
      </c>
      <c r="U111">
        <f t="shared" si="4"/>
        <v>-108</v>
      </c>
      <c r="V111" t="e">
        <f>SUMIF(SAP!#REF!,월마감!B:B,SAP!#REF!)</f>
        <v>#REF!</v>
      </c>
      <c r="W111" t="e">
        <f t="shared" si="5"/>
        <v>#REF!</v>
      </c>
    </row>
    <row r="112" spans="1:23" ht="16.5" hidden="1" customHeight="1" x14ac:dyDescent="0.3">
      <c r="A112" s="9" t="s">
        <v>1769</v>
      </c>
      <c r="B112" s="9" t="s">
        <v>1767</v>
      </c>
      <c r="C112" s="31" t="s">
        <v>1768</v>
      </c>
      <c r="D112" s="31" t="s">
        <v>312</v>
      </c>
      <c r="E112" s="9">
        <v>72</v>
      </c>
      <c r="F112" s="9"/>
      <c r="G112" s="2">
        <v>0</v>
      </c>
      <c r="H112" s="2">
        <v>0</v>
      </c>
      <c r="I112" s="2">
        <v>14</v>
      </c>
      <c r="J112" s="2">
        <v>0</v>
      </c>
      <c r="K112" s="2">
        <v>14</v>
      </c>
      <c r="L112" s="2">
        <v>14</v>
      </c>
      <c r="M112" s="2">
        <v>0</v>
      </c>
      <c r="N112" s="37">
        <v>0</v>
      </c>
      <c r="P112">
        <v>1</v>
      </c>
      <c r="T112">
        <f t="shared" si="3"/>
        <v>72</v>
      </c>
      <c r="U112">
        <f t="shared" si="4"/>
        <v>-58</v>
      </c>
      <c r="V112" t="e">
        <f>SUMIF(SAP!#REF!,월마감!B:B,SAP!#REF!)</f>
        <v>#REF!</v>
      </c>
      <c r="W112" t="e">
        <f t="shared" si="5"/>
        <v>#REF!</v>
      </c>
    </row>
    <row r="113" spans="1:23" ht="16.5" hidden="1" customHeight="1" x14ac:dyDescent="0.3">
      <c r="A113" s="9">
        <v>1300</v>
      </c>
      <c r="B113" s="9" t="s">
        <v>574</v>
      </c>
      <c r="C113" s="31" t="s">
        <v>575</v>
      </c>
      <c r="D113" s="31" t="s">
        <v>312</v>
      </c>
      <c r="E113" s="9">
        <v>99</v>
      </c>
      <c r="F113" s="9">
        <v>132</v>
      </c>
      <c r="G113" s="2">
        <v>0</v>
      </c>
      <c r="H113" s="2">
        <v>5148</v>
      </c>
      <c r="I113" s="2">
        <v>263</v>
      </c>
      <c r="J113" s="2">
        <v>0</v>
      </c>
      <c r="K113" s="2">
        <v>5411</v>
      </c>
      <c r="L113" s="2">
        <v>4489</v>
      </c>
      <c r="M113" s="2">
        <v>924</v>
      </c>
      <c r="N113" s="37">
        <v>-2</v>
      </c>
      <c r="P113">
        <v>1</v>
      </c>
      <c r="T113">
        <f t="shared" si="3"/>
        <v>99</v>
      </c>
      <c r="U113">
        <f t="shared" si="4"/>
        <v>5312</v>
      </c>
      <c r="V113" t="e">
        <f>SUMIF(SAP!#REF!,월마감!B:B,SAP!#REF!)</f>
        <v>#REF!</v>
      </c>
      <c r="W113" t="e">
        <f t="shared" si="5"/>
        <v>#REF!</v>
      </c>
    </row>
    <row r="114" spans="1:23" ht="16.5" hidden="1" customHeight="1" x14ac:dyDescent="0.3">
      <c r="A114" s="9">
        <v>3392</v>
      </c>
      <c r="B114" s="9" t="s">
        <v>630</v>
      </c>
      <c r="C114" s="31" t="s">
        <v>631</v>
      </c>
      <c r="D114" s="31" t="s">
        <v>304</v>
      </c>
      <c r="E114" s="9">
        <v>99</v>
      </c>
      <c r="F114" s="9"/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37">
        <v>0</v>
      </c>
      <c r="P114">
        <v>1</v>
      </c>
      <c r="T114">
        <f t="shared" si="3"/>
        <v>99</v>
      </c>
      <c r="U114">
        <f t="shared" si="4"/>
        <v>-99</v>
      </c>
      <c r="V114" t="e">
        <f>SUMIF(SAP!#REF!,월마감!B:B,SAP!#REF!)</f>
        <v>#REF!</v>
      </c>
      <c r="W114" t="e">
        <f t="shared" si="5"/>
        <v>#REF!</v>
      </c>
    </row>
    <row r="115" spans="1:23" ht="16.5" hidden="1" customHeight="1" x14ac:dyDescent="0.3">
      <c r="A115" s="9">
        <v>4660</v>
      </c>
      <c r="B115" s="9" t="s">
        <v>785</v>
      </c>
      <c r="C115" s="31" t="s">
        <v>786</v>
      </c>
      <c r="D115" s="31" t="s">
        <v>304</v>
      </c>
      <c r="E115" s="9">
        <v>99</v>
      </c>
      <c r="F115" s="9">
        <v>132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37">
        <v>0</v>
      </c>
      <c r="P115">
        <v>1</v>
      </c>
      <c r="T115">
        <f t="shared" si="3"/>
        <v>99</v>
      </c>
      <c r="U115">
        <f t="shared" si="4"/>
        <v>-99</v>
      </c>
      <c r="V115" t="e">
        <f>SUMIF(SAP!#REF!,월마감!B:B,SAP!#REF!)</f>
        <v>#REF!</v>
      </c>
      <c r="W115" t="e">
        <f t="shared" si="5"/>
        <v>#REF!</v>
      </c>
    </row>
    <row r="116" spans="1:23" x14ac:dyDescent="0.3">
      <c r="A116" s="9">
        <v>4823</v>
      </c>
      <c r="B116" s="76" t="s">
        <v>819</v>
      </c>
      <c r="C116" s="77" t="s">
        <v>820</v>
      </c>
      <c r="D116" s="31" t="s">
        <v>304</v>
      </c>
      <c r="E116" s="76">
        <v>99</v>
      </c>
      <c r="F116" s="76">
        <v>132</v>
      </c>
      <c r="G116" s="2">
        <v>297</v>
      </c>
      <c r="H116" s="2">
        <v>1320</v>
      </c>
      <c r="I116" s="2">
        <v>292</v>
      </c>
      <c r="J116" s="2">
        <v>0</v>
      </c>
      <c r="K116" s="2">
        <v>1909</v>
      </c>
      <c r="L116" s="2">
        <v>1901</v>
      </c>
      <c r="M116" s="2">
        <v>0</v>
      </c>
      <c r="N116" s="37">
        <v>8</v>
      </c>
      <c r="P116" s="81">
        <v>3</v>
      </c>
      <c r="Q116" s="81">
        <v>10</v>
      </c>
      <c r="R116" s="81">
        <f>40+48+56+96+19+33</f>
        <v>292</v>
      </c>
      <c r="S116" s="81"/>
      <c r="T116" s="81">
        <f t="shared" si="3"/>
        <v>1909</v>
      </c>
      <c r="U116" s="82">
        <f t="shared" si="4"/>
        <v>0</v>
      </c>
      <c r="V116" s="86" t="e">
        <f>SUMIF(SAP!#REF!,월마감!B:B,SAP!#REF!)</f>
        <v>#REF!</v>
      </c>
      <c r="W116" s="86" t="e">
        <f t="shared" si="5"/>
        <v>#REF!</v>
      </c>
    </row>
    <row r="117" spans="1:23" ht="16.5" hidden="1" customHeight="1" x14ac:dyDescent="0.3">
      <c r="A117" s="9">
        <v>4833</v>
      </c>
      <c r="B117" s="9" t="s">
        <v>824</v>
      </c>
      <c r="C117" s="31" t="s">
        <v>825</v>
      </c>
      <c r="D117" s="31" t="s">
        <v>304</v>
      </c>
      <c r="E117" s="9">
        <v>99</v>
      </c>
      <c r="F117" s="9">
        <v>132</v>
      </c>
      <c r="G117" s="2">
        <v>0</v>
      </c>
      <c r="H117" s="2">
        <v>0</v>
      </c>
      <c r="I117" s="2">
        <v>80</v>
      </c>
      <c r="J117" s="2">
        <v>0</v>
      </c>
      <c r="K117" s="2">
        <v>80</v>
      </c>
      <c r="L117" s="2">
        <v>81</v>
      </c>
      <c r="M117" s="2">
        <v>0</v>
      </c>
      <c r="N117" s="37">
        <v>-1</v>
      </c>
      <c r="P117">
        <v>1</v>
      </c>
      <c r="T117">
        <f t="shared" si="3"/>
        <v>99</v>
      </c>
      <c r="U117">
        <f t="shared" si="4"/>
        <v>-19</v>
      </c>
      <c r="V117" t="e">
        <f>SUMIF(SAP!#REF!,월마감!B:B,SAP!#REF!)</f>
        <v>#REF!</v>
      </c>
      <c r="W117" t="e">
        <f t="shared" si="5"/>
        <v>#REF!</v>
      </c>
    </row>
    <row r="118" spans="1:23" ht="16.5" hidden="1" customHeight="1" x14ac:dyDescent="0.3">
      <c r="A118" s="9">
        <v>4834</v>
      </c>
      <c r="B118" s="9" t="s">
        <v>826</v>
      </c>
      <c r="C118" s="31" t="s">
        <v>827</v>
      </c>
      <c r="D118" s="31" t="s">
        <v>304</v>
      </c>
      <c r="E118" s="9">
        <v>99</v>
      </c>
      <c r="F118" s="9">
        <v>132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37">
        <v>0</v>
      </c>
      <c r="P118">
        <v>1</v>
      </c>
      <c r="T118">
        <f t="shared" si="3"/>
        <v>99</v>
      </c>
      <c r="U118">
        <f t="shared" si="4"/>
        <v>-99</v>
      </c>
      <c r="V118" t="e">
        <f>SUMIF(SAP!#REF!,월마감!B:B,SAP!#REF!)</f>
        <v>#REF!</v>
      </c>
      <c r="W118" t="e">
        <f t="shared" si="5"/>
        <v>#REF!</v>
      </c>
    </row>
    <row r="119" spans="1:23" ht="16.5" hidden="1" customHeight="1" x14ac:dyDescent="0.3">
      <c r="A119" s="9">
        <v>4835</v>
      </c>
      <c r="B119" s="9" t="s">
        <v>829</v>
      </c>
      <c r="C119" s="31" t="s">
        <v>830</v>
      </c>
      <c r="D119" s="31" t="s">
        <v>304</v>
      </c>
      <c r="E119" s="9">
        <v>99</v>
      </c>
      <c r="F119" s="9"/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37">
        <v>0</v>
      </c>
      <c r="P119">
        <v>1</v>
      </c>
      <c r="T119">
        <f t="shared" si="3"/>
        <v>99</v>
      </c>
      <c r="U119">
        <f t="shared" si="4"/>
        <v>-99</v>
      </c>
      <c r="V119" t="e">
        <f>SUMIF(SAP!#REF!,월마감!B:B,SAP!#REF!)</f>
        <v>#REF!</v>
      </c>
      <c r="W119" t="e">
        <f t="shared" si="5"/>
        <v>#REF!</v>
      </c>
    </row>
    <row r="120" spans="1:23" ht="16.5" hidden="1" customHeight="1" x14ac:dyDescent="0.3">
      <c r="A120" s="9">
        <v>4893</v>
      </c>
      <c r="B120" s="9" t="s">
        <v>863</v>
      </c>
      <c r="C120" s="31" t="s">
        <v>864</v>
      </c>
      <c r="D120" s="31" t="s">
        <v>304</v>
      </c>
      <c r="E120" s="9">
        <v>99</v>
      </c>
      <c r="F120" s="9"/>
      <c r="G120" s="2">
        <v>0</v>
      </c>
      <c r="H120" s="2">
        <v>0</v>
      </c>
      <c r="I120" s="2">
        <v>45</v>
      </c>
      <c r="J120" s="2">
        <v>0</v>
      </c>
      <c r="K120" s="2">
        <v>45</v>
      </c>
      <c r="L120" s="2">
        <v>45</v>
      </c>
      <c r="M120" s="2">
        <v>0</v>
      </c>
      <c r="N120" s="37">
        <v>0</v>
      </c>
      <c r="P120">
        <v>1</v>
      </c>
      <c r="T120">
        <f t="shared" si="3"/>
        <v>99</v>
      </c>
      <c r="U120">
        <f t="shared" si="4"/>
        <v>-54</v>
      </c>
      <c r="V120" t="e">
        <f>SUMIF(SAP!#REF!,월마감!B:B,SAP!#REF!)</f>
        <v>#REF!</v>
      </c>
      <c r="W120" t="e">
        <f t="shared" si="5"/>
        <v>#REF!</v>
      </c>
    </row>
    <row r="121" spans="1:23" ht="16.5" hidden="1" customHeight="1" x14ac:dyDescent="0.3">
      <c r="A121" s="9">
        <v>4943</v>
      </c>
      <c r="B121" s="9" t="s">
        <v>870</v>
      </c>
      <c r="C121" s="31" t="s">
        <v>871</v>
      </c>
      <c r="D121" s="31" t="s">
        <v>304</v>
      </c>
      <c r="E121" s="9">
        <v>99</v>
      </c>
      <c r="F121" s="9"/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37">
        <v>0</v>
      </c>
      <c r="P121">
        <v>1</v>
      </c>
      <c r="T121">
        <f t="shared" si="3"/>
        <v>99</v>
      </c>
      <c r="U121">
        <f t="shared" si="4"/>
        <v>-99</v>
      </c>
      <c r="V121" t="e">
        <f>SUMIF(SAP!#REF!,월마감!B:B,SAP!#REF!)</f>
        <v>#REF!</v>
      </c>
      <c r="W121" t="e">
        <f t="shared" si="5"/>
        <v>#REF!</v>
      </c>
    </row>
    <row r="122" spans="1:23" x14ac:dyDescent="0.3">
      <c r="A122" s="9">
        <v>5312</v>
      </c>
      <c r="B122" s="76" t="s">
        <v>942</v>
      </c>
      <c r="C122" s="77" t="s">
        <v>941</v>
      </c>
      <c r="D122" s="31" t="s">
        <v>304</v>
      </c>
      <c r="E122" s="76">
        <v>99</v>
      </c>
      <c r="F122" s="76">
        <v>132</v>
      </c>
      <c r="G122" s="2">
        <v>0</v>
      </c>
      <c r="H122" s="2">
        <v>0</v>
      </c>
      <c r="I122" s="2">
        <v>85</v>
      </c>
      <c r="J122" s="2">
        <v>0</v>
      </c>
      <c r="K122" s="2">
        <v>85</v>
      </c>
      <c r="L122" s="2">
        <v>90</v>
      </c>
      <c r="M122" s="2">
        <v>0</v>
      </c>
      <c r="N122" s="37">
        <v>-5</v>
      </c>
      <c r="P122" s="81"/>
      <c r="Q122" s="81"/>
      <c r="R122" s="81">
        <f>62+23</f>
        <v>85</v>
      </c>
      <c r="S122" s="81"/>
      <c r="T122" s="81">
        <f t="shared" si="3"/>
        <v>85</v>
      </c>
      <c r="U122" s="82">
        <f t="shared" si="4"/>
        <v>0</v>
      </c>
      <c r="V122" s="86" t="e">
        <f>SUMIF(SAP!#REF!,월마감!B:B,SAP!#REF!)</f>
        <v>#REF!</v>
      </c>
      <c r="W122" s="86" t="e">
        <f t="shared" si="5"/>
        <v>#REF!</v>
      </c>
    </row>
    <row r="123" spans="1:23" ht="16.5" hidden="1" customHeight="1" x14ac:dyDescent="0.3">
      <c r="A123" s="9">
        <v>6110</v>
      </c>
      <c r="B123" s="9" t="s">
        <v>1109</v>
      </c>
      <c r="C123" s="31" t="s">
        <v>1110</v>
      </c>
      <c r="D123" s="31" t="s">
        <v>304</v>
      </c>
      <c r="E123" s="9">
        <v>99</v>
      </c>
      <c r="F123" s="9"/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37">
        <v>0</v>
      </c>
      <c r="P123">
        <v>1</v>
      </c>
      <c r="T123">
        <f t="shared" si="3"/>
        <v>99</v>
      </c>
      <c r="U123">
        <f t="shared" si="4"/>
        <v>-99</v>
      </c>
      <c r="V123" t="e">
        <f>SUMIF(SAP!#REF!,월마감!B:B,SAP!#REF!)</f>
        <v>#REF!</v>
      </c>
      <c r="W123" t="e">
        <f t="shared" si="5"/>
        <v>#REF!</v>
      </c>
    </row>
    <row r="124" spans="1:23" x14ac:dyDescent="0.3">
      <c r="A124" s="9">
        <v>6111</v>
      </c>
      <c r="B124" s="76" t="s">
        <v>1112</v>
      </c>
      <c r="C124" s="77" t="s">
        <v>1113</v>
      </c>
      <c r="D124" s="31" t="s">
        <v>304</v>
      </c>
      <c r="E124" s="76">
        <v>99</v>
      </c>
      <c r="F124" s="76">
        <v>132</v>
      </c>
      <c r="G124" s="2">
        <v>0</v>
      </c>
      <c r="H124" s="2">
        <v>2244</v>
      </c>
      <c r="I124" s="2">
        <v>380</v>
      </c>
      <c r="J124" s="2">
        <v>7</v>
      </c>
      <c r="K124" s="2">
        <v>2631</v>
      </c>
      <c r="L124" s="2">
        <v>2625</v>
      </c>
      <c r="M124" s="2">
        <v>0</v>
      </c>
      <c r="N124" s="37">
        <v>6</v>
      </c>
      <c r="P124" s="81"/>
      <c r="Q124" s="81">
        <f>7+10</f>
        <v>17</v>
      </c>
      <c r="R124" s="81">
        <f>12+25+126+103+114</f>
        <v>380</v>
      </c>
      <c r="S124" s="81"/>
      <c r="T124" s="81">
        <f t="shared" si="3"/>
        <v>2624</v>
      </c>
      <c r="U124" s="82">
        <f t="shared" si="4"/>
        <v>7</v>
      </c>
      <c r="V124" s="86" t="e">
        <f>SUMIF(SAP!#REF!,월마감!B:B,SAP!#REF!)</f>
        <v>#REF!</v>
      </c>
      <c r="W124" s="86" t="e">
        <f t="shared" si="5"/>
        <v>#REF!</v>
      </c>
    </row>
    <row r="125" spans="1:23" ht="16.5" hidden="1" customHeight="1" x14ac:dyDescent="0.3">
      <c r="A125" s="9">
        <v>6778</v>
      </c>
      <c r="B125" s="9" t="s">
        <v>1248</v>
      </c>
      <c r="C125" s="31" t="s">
        <v>1249</v>
      </c>
      <c r="D125" s="31" t="s">
        <v>304</v>
      </c>
      <c r="E125" s="9">
        <v>99</v>
      </c>
      <c r="F125" s="9">
        <v>132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37">
        <v>0</v>
      </c>
      <c r="P125">
        <v>1</v>
      </c>
      <c r="T125">
        <f t="shared" si="3"/>
        <v>99</v>
      </c>
      <c r="U125">
        <f t="shared" si="4"/>
        <v>-99</v>
      </c>
      <c r="V125" t="e">
        <f>SUMIF(SAP!#REF!,월마감!B:B,SAP!#REF!)</f>
        <v>#REF!</v>
      </c>
      <c r="W125" t="e">
        <f t="shared" si="5"/>
        <v>#REF!</v>
      </c>
    </row>
    <row r="126" spans="1:23" ht="16.5" hidden="1" customHeight="1" x14ac:dyDescent="0.3">
      <c r="A126" s="9">
        <v>8272</v>
      </c>
      <c r="B126" s="9" t="s">
        <v>1498</v>
      </c>
      <c r="C126" s="31" t="s">
        <v>1499</v>
      </c>
      <c r="D126" s="31" t="s">
        <v>304</v>
      </c>
      <c r="E126" s="9">
        <v>99</v>
      </c>
      <c r="F126" s="9">
        <v>132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37">
        <v>0</v>
      </c>
      <c r="P126">
        <v>1</v>
      </c>
      <c r="T126">
        <f t="shared" si="3"/>
        <v>99</v>
      </c>
      <c r="U126">
        <f t="shared" si="4"/>
        <v>-99</v>
      </c>
      <c r="V126" t="e">
        <f>SUMIF(SAP!#REF!,월마감!B:B,SAP!#REF!)</f>
        <v>#REF!</v>
      </c>
      <c r="W126" t="e">
        <f t="shared" si="5"/>
        <v>#REF!</v>
      </c>
    </row>
    <row r="127" spans="1:23" ht="16.5" hidden="1" customHeight="1" x14ac:dyDescent="0.3">
      <c r="A127" s="9">
        <v>8273</v>
      </c>
      <c r="B127" s="9" t="s">
        <v>1501</v>
      </c>
      <c r="C127" s="31" t="s">
        <v>1502</v>
      </c>
      <c r="D127" s="31" t="s">
        <v>304</v>
      </c>
      <c r="E127" s="9">
        <v>99</v>
      </c>
      <c r="F127" s="9">
        <v>132</v>
      </c>
      <c r="G127" s="2">
        <v>0</v>
      </c>
      <c r="H127" s="2">
        <v>528</v>
      </c>
      <c r="I127" s="2">
        <v>452</v>
      </c>
      <c r="J127" s="2">
        <v>0</v>
      </c>
      <c r="K127" s="2">
        <v>980</v>
      </c>
      <c r="L127" s="2">
        <v>982</v>
      </c>
      <c r="M127" s="2">
        <v>0</v>
      </c>
      <c r="N127" s="37">
        <v>-2</v>
      </c>
      <c r="P127">
        <v>1</v>
      </c>
      <c r="T127">
        <f t="shared" si="3"/>
        <v>99</v>
      </c>
      <c r="U127">
        <f t="shared" si="4"/>
        <v>881</v>
      </c>
      <c r="V127" t="e">
        <f>SUMIF(SAP!#REF!,월마감!B:B,SAP!#REF!)</f>
        <v>#REF!</v>
      </c>
      <c r="W127" t="e">
        <f t="shared" si="5"/>
        <v>#REF!</v>
      </c>
    </row>
    <row r="128" spans="1:23" s="70" customFormat="1" x14ac:dyDescent="0.3">
      <c r="A128" s="9">
        <v>4226</v>
      </c>
      <c r="B128" s="87" t="s">
        <v>1633</v>
      </c>
      <c r="C128" s="88" t="s">
        <v>1776</v>
      </c>
      <c r="D128" s="31" t="s">
        <v>1665</v>
      </c>
      <c r="E128" s="87"/>
      <c r="F128" s="87">
        <v>60</v>
      </c>
      <c r="G128" s="89">
        <v>0</v>
      </c>
      <c r="H128" s="89">
        <v>720</v>
      </c>
      <c r="I128" s="89">
        <v>39</v>
      </c>
      <c r="J128" s="89">
        <v>0</v>
      </c>
      <c r="K128" s="89">
        <v>759</v>
      </c>
      <c r="L128" s="89">
        <v>763</v>
      </c>
      <c r="M128" s="89">
        <v>0</v>
      </c>
      <c r="N128" s="90">
        <v>-4</v>
      </c>
      <c r="P128" s="83"/>
      <c r="Q128" s="83">
        <f>8+4</f>
        <v>12</v>
      </c>
      <c r="R128" s="83">
        <f>28+12</f>
        <v>40</v>
      </c>
      <c r="S128" s="83"/>
      <c r="T128" s="83">
        <f t="shared" si="3"/>
        <v>760</v>
      </c>
      <c r="U128" s="83">
        <f t="shared" si="4"/>
        <v>-1</v>
      </c>
      <c r="V128" s="91" t="e">
        <f>SUMIF(SAP!#REF!,월마감!B:B,SAP!#REF!)</f>
        <v>#REF!</v>
      </c>
      <c r="W128" s="91" t="e">
        <f t="shared" si="5"/>
        <v>#REF!</v>
      </c>
    </row>
    <row r="129" spans="1:23" ht="16.5" hidden="1" customHeight="1" x14ac:dyDescent="0.3">
      <c r="A129" s="9">
        <v>5717</v>
      </c>
      <c r="B129" s="9" t="s">
        <v>1087</v>
      </c>
      <c r="C129" s="31" t="s">
        <v>1088</v>
      </c>
      <c r="D129" s="31" t="s">
        <v>316</v>
      </c>
      <c r="E129" s="9">
        <v>40</v>
      </c>
      <c r="F129" s="9">
        <v>70</v>
      </c>
      <c r="G129" s="2">
        <v>0</v>
      </c>
      <c r="H129" s="2">
        <v>910</v>
      </c>
      <c r="I129" s="2">
        <v>21</v>
      </c>
      <c r="J129" s="2">
        <v>5</v>
      </c>
      <c r="K129" s="2">
        <v>936</v>
      </c>
      <c r="L129" s="2">
        <v>866</v>
      </c>
      <c r="M129" s="2">
        <v>70</v>
      </c>
      <c r="N129" s="37">
        <v>0</v>
      </c>
      <c r="P129">
        <v>1</v>
      </c>
      <c r="T129">
        <f t="shared" si="3"/>
        <v>40</v>
      </c>
      <c r="U129">
        <f t="shared" si="4"/>
        <v>896</v>
      </c>
      <c r="V129" t="e">
        <f>SUMIF(SAP!#REF!,월마감!B:B,SAP!#REF!)</f>
        <v>#REF!</v>
      </c>
      <c r="W129" t="e">
        <f t="shared" si="5"/>
        <v>#REF!</v>
      </c>
    </row>
    <row r="130" spans="1:23" ht="16.5" hidden="1" customHeight="1" x14ac:dyDescent="0.3">
      <c r="A130" s="9">
        <v>5710</v>
      </c>
      <c r="B130" s="9" t="s">
        <v>1078</v>
      </c>
      <c r="C130" s="31" t="s">
        <v>1079</v>
      </c>
      <c r="D130" s="31" t="s">
        <v>316</v>
      </c>
      <c r="E130" s="9">
        <v>72</v>
      </c>
      <c r="F130" s="9"/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37">
        <v>0</v>
      </c>
      <c r="P130">
        <v>1</v>
      </c>
      <c r="T130">
        <f t="shared" si="3"/>
        <v>72</v>
      </c>
      <c r="U130">
        <f t="shared" si="4"/>
        <v>-72</v>
      </c>
      <c r="V130" t="e">
        <f>SUMIF(SAP!#REF!,월마감!B:B,SAP!#REF!)</f>
        <v>#REF!</v>
      </c>
      <c r="W130" t="e">
        <f t="shared" si="5"/>
        <v>#REF!</v>
      </c>
    </row>
    <row r="131" spans="1:23" ht="15" hidden="1" customHeight="1" x14ac:dyDescent="0.3">
      <c r="A131" s="9">
        <v>5713</v>
      </c>
      <c r="B131" s="9" t="s">
        <v>1083</v>
      </c>
      <c r="C131" s="31" t="s">
        <v>1084</v>
      </c>
      <c r="D131" s="31" t="s">
        <v>1661</v>
      </c>
      <c r="E131" s="9">
        <v>72</v>
      </c>
      <c r="F131" s="9"/>
      <c r="G131" s="2">
        <v>72</v>
      </c>
      <c r="H131" s="2">
        <v>0</v>
      </c>
      <c r="I131" s="2">
        <v>4</v>
      </c>
      <c r="J131" s="2">
        <v>0</v>
      </c>
      <c r="K131" s="2">
        <v>76</v>
      </c>
      <c r="L131" s="2">
        <v>76</v>
      </c>
      <c r="M131" s="2">
        <v>0</v>
      </c>
      <c r="N131" s="37">
        <v>0</v>
      </c>
      <c r="P131">
        <v>1</v>
      </c>
      <c r="T131">
        <f t="shared" si="3"/>
        <v>72</v>
      </c>
      <c r="U131">
        <f t="shared" si="4"/>
        <v>4</v>
      </c>
      <c r="V131" t="e">
        <f>SUMIF(SAP!#REF!,월마감!B:B,SAP!#REF!)</f>
        <v>#REF!</v>
      </c>
      <c r="W131" t="e">
        <f t="shared" si="5"/>
        <v>#REF!</v>
      </c>
    </row>
    <row r="132" spans="1:23" ht="16.5" hidden="1" customHeight="1" x14ac:dyDescent="0.3">
      <c r="A132" s="9">
        <v>5111</v>
      </c>
      <c r="B132" s="9" t="s">
        <v>917</v>
      </c>
      <c r="C132" s="31" t="s">
        <v>918</v>
      </c>
      <c r="D132" s="31" t="s">
        <v>316</v>
      </c>
      <c r="E132" s="9">
        <v>96</v>
      </c>
      <c r="F132" s="9"/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37">
        <v>0</v>
      </c>
      <c r="P132">
        <v>1</v>
      </c>
      <c r="T132">
        <f t="shared" si="3"/>
        <v>96</v>
      </c>
      <c r="U132">
        <f t="shared" si="4"/>
        <v>-96</v>
      </c>
      <c r="V132" t="e">
        <f>SUMIF(SAP!#REF!,월마감!B:B,SAP!#REF!)</f>
        <v>#REF!</v>
      </c>
      <c r="W132" t="e">
        <f t="shared" si="5"/>
        <v>#REF!</v>
      </c>
    </row>
    <row r="133" spans="1:23" ht="16.5" hidden="1" customHeight="1" x14ac:dyDescent="0.3">
      <c r="A133" s="9">
        <v>2523</v>
      </c>
      <c r="B133" s="9" t="s">
        <v>613</v>
      </c>
      <c r="C133" s="31" t="s">
        <v>614</v>
      </c>
      <c r="D133" s="31" t="s">
        <v>303</v>
      </c>
      <c r="E133" s="9"/>
      <c r="F133" s="9">
        <v>100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37">
        <v>0</v>
      </c>
      <c r="P133">
        <v>1</v>
      </c>
      <c r="T133">
        <f t="shared" si="3"/>
        <v>0</v>
      </c>
      <c r="U133">
        <f t="shared" si="4"/>
        <v>0</v>
      </c>
      <c r="V133" t="e">
        <f>SUMIF(SAP!#REF!,월마감!B:B,SAP!#REF!)</f>
        <v>#REF!</v>
      </c>
      <c r="W133" t="e">
        <f t="shared" si="5"/>
        <v>#REF!</v>
      </c>
    </row>
    <row r="134" spans="1:23" ht="16.5" hidden="1" customHeight="1" x14ac:dyDescent="0.3">
      <c r="A134" s="9">
        <v>4945</v>
      </c>
      <c r="B134" s="9" t="s">
        <v>873</v>
      </c>
      <c r="C134" s="31" t="s">
        <v>874</v>
      </c>
      <c r="D134" s="31" t="s">
        <v>303</v>
      </c>
      <c r="E134" s="9">
        <v>88</v>
      </c>
      <c r="F134" s="9"/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37">
        <v>0</v>
      </c>
      <c r="P134">
        <v>1</v>
      </c>
      <c r="T134">
        <f t="shared" si="3"/>
        <v>88</v>
      </c>
      <c r="U134">
        <f t="shared" si="4"/>
        <v>-88</v>
      </c>
      <c r="V134" t="e">
        <f>SUMIF(SAP!#REF!,월마감!B:B,SAP!#REF!)</f>
        <v>#REF!</v>
      </c>
      <c r="W134" t="e">
        <f t="shared" si="5"/>
        <v>#REF!</v>
      </c>
    </row>
    <row r="135" spans="1:23" ht="16.5" hidden="1" customHeight="1" x14ac:dyDescent="0.3">
      <c r="A135" s="9">
        <v>4947</v>
      </c>
      <c r="B135" s="9" t="s">
        <v>876</v>
      </c>
      <c r="C135" s="31" t="s">
        <v>877</v>
      </c>
      <c r="D135" s="31" t="s">
        <v>303</v>
      </c>
      <c r="E135" s="9"/>
      <c r="F135" s="9">
        <v>100</v>
      </c>
      <c r="G135" s="2">
        <v>0</v>
      </c>
      <c r="H135" s="2">
        <v>800</v>
      </c>
      <c r="I135" s="2">
        <v>90</v>
      </c>
      <c r="J135" s="2">
        <v>0</v>
      </c>
      <c r="K135" s="2">
        <v>890</v>
      </c>
      <c r="L135" s="2">
        <v>689</v>
      </c>
      <c r="M135" s="2">
        <v>200</v>
      </c>
      <c r="N135" s="37">
        <v>1</v>
      </c>
      <c r="P135">
        <v>1</v>
      </c>
      <c r="T135">
        <f t="shared" si="3"/>
        <v>0</v>
      </c>
      <c r="U135">
        <f t="shared" si="4"/>
        <v>890</v>
      </c>
      <c r="V135" t="e">
        <f>SUMIF(SAP!#REF!,월마감!B:B,SAP!#REF!)</f>
        <v>#REF!</v>
      </c>
      <c r="W135" t="e">
        <f t="shared" si="5"/>
        <v>#REF!</v>
      </c>
    </row>
    <row r="136" spans="1:23" ht="16.5" hidden="1" customHeight="1" x14ac:dyDescent="0.3">
      <c r="A136" s="9">
        <v>2524</v>
      </c>
      <c r="B136" s="9" t="s">
        <v>1831</v>
      </c>
      <c r="C136" s="31" t="s">
        <v>1770</v>
      </c>
      <c r="D136" s="31" t="s">
        <v>303</v>
      </c>
      <c r="E136" s="9"/>
      <c r="F136" s="9">
        <v>100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37">
        <v>0</v>
      </c>
      <c r="P136">
        <v>1</v>
      </c>
      <c r="T136">
        <f t="shared" si="3"/>
        <v>0</v>
      </c>
      <c r="U136">
        <f t="shared" si="4"/>
        <v>0</v>
      </c>
      <c r="V136" t="e">
        <f>SUMIF(SAP!#REF!,월마감!B:B,SAP!#REF!)</f>
        <v>#REF!</v>
      </c>
      <c r="W136" t="e">
        <f t="shared" si="5"/>
        <v>#REF!</v>
      </c>
    </row>
    <row r="137" spans="1:23" ht="16.5" hidden="1" customHeight="1" x14ac:dyDescent="0.3">
      <c r="A137" s="9">
        <v>2522</v>
      </c>
      <c r="B137" s="9" t="s">
        <v>1784</v>
      </c>
      <c r="C137" s="31" t="s">
        <v>1783</v>
      </c>
      <c r="D137" s="31" t="s">
        <v>303</v>
      </c>
      <c r="E137" s="9"/>
      <c r="F137" s="9">
        <v>90</v>
      </c>
      <c r="G137" s="2">
        <v>0</v>
      </c>
      <c r="H137" s="2">
        <v>180</v>
      </c>
      <c r="I137" s="2">
        <v>126</v>
      </c>
      <c r="J137" s="2">
        <v>0</v>
      </c>
      <c r="K137" s="2">
        <v>306</v>
      </c>
      <c r="L137" s="2">
        <v>306</v>
      </c>
      <c r="M137" s="2">
        <v>0</v>
      </c>
      <c r="N137" s="37">
        <v>0</v>
      </c>
      <c r="P137">
        <v>1</v>
      </c>
      <c r="T137">
        <f t="shared" si="3"/>
        <v>0</v>
      </c>
      <c r="U137">
        <f t="shared" si="4"/>
        <v>306</v>
      </c>
      <c r="V137" t="e">
        <f>SUMIF(SAP!#REF!,월마감!B:B,SAP!#REF!)</f>
        <v>#REF!</v>
      </c>
      <c r="W137" t="e">
        <f t="shared" si="5"/>
        <v>#REF!</v>
      </c>
    </row>
    <row r="138" spans="1:23" s="70" customFormat="1" x14ac:dyDescent="0.3">
      <c r="A138" s="9">
        <v>5641</v>
      </c>
      <c r="B138" s="87" t="s">
        <v>1061</v>
      </c>
      <c r="C138" s="88" t="s">
        <v>1062</v>
      </c>
      <c r="D138" s="31" t="s">
        <v>303</v>
      </c>
      <c r="E138" s="87"/>
      <c r="F138" s="87">
        <v>108</v>
      </c>
      <c r="G138" s="89">
        <v>0</v>
      </c>
      <c r="H138" s="89">
        <v>5400</v>
      </c>
      <c r="I138" s="89">
        <v>174</v>
      </c>
      <c r="J138" s="89">
        <v>0</v>
      </c>
      <c r="K138" s="89">
        <v>5574</v>
      </c>
      <c r="L138" s="89">
        <v>5581</v>
      </c>
      <c r="M138" s="89">
        <v>0</v>
      </c>
      <c r="N138" s="90">
        <v>-5</v>
      </c>
      <c r="P138" s="83"/>
      <c r="Q138" s="83">
        <f>16+10+10+4+10</f>
        <v>50</v>
      </c>
      <c r="R138" s="83">
        <f>16+51+106+3</f>
        <v>176</v>
      </c>
      <c r="S138" s="83"/>
      <c r="T138" s="83">
        <f t="shared" si="3"/>
        <v>5576</v>
      </c>
      <c r="U138" s="83">
        <f t="shared" si="4"/>
        <v>-2</v>
      </c>
      <c r="V138" s="91" t="e">
        <f>SUMIF(SAP!#REF!,월마감!B:B,SAP!#REF!)</f>
        <v>#REF!</v>
      </c>
      <c r="W138" s="91" t="e">
        <f t="shared" si="5"/>
        <v>#REF!</v>
      </c>
    </row>
    <row r="139" spans="1:23" ht="16.5" hidden="1" customHeight="1" x14ac:dyDescent="0.3">
      <c r="A139" s="9">
        <v>5643</v>
      </c>
      <c r="B139" s="9" t="s">
        <v>1631</v>
      </c>
      <c r="C139" s="31" t="s">
        <v>1632</v>
      </c>
      <c r="D139" s="31" t="s">
        <v>303</v>
      </c>
      <c r="E139" s="9"/>
      <c r="F139" s="9">
        <v>108</v>
      </c>
      <c r="G139" s="2">
        <v>0</v>
      </c>
      <c r="H139" s="2">
        <v>4212</v>
      </c>
      <c r="I139" s="2">
        <v>196</v>
      </c>
      <c r="J139" s="2">
        <v>0</v>
      </c>
      <c r="K139" s="2">
        <v>4408</v>
      </c>
      <c r="L139" s="2">
        <v>4407</v>
      </c>
      <c r="M139" s="2">
        <v>0</v>
      </c>
      <c r="N139" s="37">
        <v>1</v>
      </c>
      <c r="P139">
        <v>1</v>
      </c>
      <c r="T139">
        <f t="shared" si="3"/>
        <v>0</v>
      </c>
      <c r="U139">
        <f t="shared" si="4"/>
        <v>4408</v>
      </c>
      <c r="V139" t="e">
        <f>SUMIF(SAP!#REF!,월마감!B:B,SAP!#REF!)</f>
        <v>#REF!</v>
      </c>
      <c r="W139" t="e">
        <f t="shared" si="5"/>
        <v>#REF!</v>
      </c>
    </row>
    <row r="140" spans="1:23" ht="16.5" hidden="1" customHeight="1" x14ac:dyDescent="0.3">
      <c r="A140" s="9">
        <v>4951</v>
      </c>
      <c r="B140" s="9" t="s">
        <v>882</v>
      </c>
      <c r="C140" s="31" t="s">
        <v>883</v>
      </c>
      <c r="D140" s="31" t="s">
        <v>303</v>
      </c>
      <c r="E140" s="9"/>
      <c r="F140" s="9">
        <v>100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37">
        <v>0</v>
      </c>
      <c r="P140">
        <v>1</v>
      </c>
      <c r="T140">
        <f t="shared" si="3"/>
        <v>0</v>
      </c>
      <c r="U140">
        <f t="shared" si="4"/>
        <v>0</v>
      </c>
      <c r="V140" t="e">
        <f>SUMIF(SAP!#REF!,월마감!B:B,SAP!#REF!)</f>
        <v>#REF!</v>
      </c>
      <c r="W140" t="e">
        <f t="shared" si="5"/>
        <v>#REF!</v>
      </c>
    </row>
    <row r="141" spans="1:23" ht="16.5" hidden="1" customHeight="1" x14ac:dyDescent="0.3">
      <c r="A141" s="9">
        <v>6113</v>
      </c>
      <c r="B141" s="9" t="s">
        <v>488</v>
      </c>
      <c r="C141" s="31" t="s">
        <v>487</v>
      </c>
      <c r="D141" s="31" t="s">
        <v>303</v>
      </c>
      <c r="E141" s="9">
        <v>88</v>
      </c>
      <c r="F141" s="9"/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37">
        <v>0</v>
      </c>
      <c r="P141">
        <v>1</v>
      </c>
      <c r="T141">
        <f t="shared" si="3"/>
        <v>88</v>
      </c>
      <c r="U141">
        <f t="shared" si="4"/>
        <v>-88</v>
      </c>
      <c r="V141" t="e">
        <f>SUMIF(SAP!#REF!,월마감!B:B,SAP!#REF!)</f>
        <v>#REF!</v>
      </c>
      <c r="W141" t="e">
        <f t="shared" si="5"/>
        <v>#REF!</v>
      </c>
    </row>
    <row r="142" spans="1:23" ht="16.5" hidden="1" customHeight="1" x14ac:dyDescent="0.3">
      <c r="A142" s="9">
        <v>7984</v>
      </c>
      <c r="B142" s="9" t="s">
        <v>1409</v>
      </c>
      <c r="C142" s="31" t="s">
        <v>1410</v>
      </c>
      <c r="D142" s="31" t="s">
        <v>303</v>
      </c>
      <c r="E142" s="9">
        <v>88</v>
      </c>
      <c r="F142" s="9"/>
      <c r="G142" s="2">
        <v>176</v>
      </c>
      <c r="H142" s="2">
        <v>0</v>
      </c>
      <c r="I142" s="2">
        <v>144</v>
      </c>
      <c r="J142" s="2">
        <v>0</v>
      </c>
      <c r="K142" s="2">
        <v>320</v>
      </c>
      <c r="L142" s="2">
        <v>321</v>
      </c>
      <c r="M142" s="2">
        <v>0</v>
      </c>
      <c r="N142" s="37">
        <v>-1</v>
      </c>
      <c r="P142">
        <v>1</v>
      </c>
      <c r="T142">
        <f t="shared" si="3"/>
        <v>88</v>
      </c>
      <c r="U142">
        <f t="shared" si="4"/>
        <v>232</v>
      </c>
      <c r="V142" t="e">
        <f>SUMIF(SAP!#REF!,월마감!B:B,SAP!#REF!)</f>
        <v>#REF!</v>
      </c>
      <c r="W142" t="e">
        <f t="shared" si="5"/>
        <v>#REF!</v>
      </c>
    </row>
    <row r="143" spans="1:23" ht="16.5" hidden="1" customHeight="1" x14ac:dyDescent="0.3">
      <c r="A143" s="9">
        <v>2565</v>
      </c>
      <c r="B143" s="9" t="s">
        <v>618</v>
      </c>
      <c r="C143" s="31" t="s">
        <v>617</v>
      </c>
      <c r="D143" s="31" t="s">
        <v>1662</v>
      </c>
      <c r="E143" s="9">
        <v>48</v>
      </c>
      <c r="F143" s="9"/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37">
        <v>0</v>
      </c>
      <c r="P143">
        <v>1</v>
      </c>
      <c r="T143">
        <f t="shared" si="3"/>
        <v>48</v>
      </c>
      <c r="U143">
        <f t="shared" si="4"/>
        <v>-48</v>
      </c>
      <c r="V143" t="e">
        <f>SUMIF(SAP!#REF!,월마감!B:B,SAP!#REF!)</f>
        <v>#REF!</v>
      </c>
      <c r="W143" t="e">
        <f t="shared" si="5"/>
        <v>#REF!</v>
      </c>
    </row>
    <row r="144" spans="1:23" ht="16.5" hidden="1" customHeight="1" x14ac:dyDescent="0.3">
      <c r="A144" s="9">
        <v>4224</v>
      </c>
      <c r="B144" s="9" t="s">
        <v>728</v>
      </c>
      <c r="C144" s="31" t="s">
        <v>729</v>
      </c>
      <c r="D144" s="31" t="s">
        <v>1662</v>
      </c>
      <c r="E144" s="9">
        <v>48</v>
      </c>
      <c r="F144" s="9"/>
      <c r="G144" s="2">
        <v>0</v>
      </c>
      <c r="H144" s="2">
        <v>0</v>
      </c>
      <c r="I144" s="2">
        <v>46</v>
      </c>
      <c r="J144" s="2">
        <v>0</v>
      </c>
      <c r="K144" s="2">
        <v>46</v>
      </c>
      <c r="L144" s="2">
        <v>46</v>
      </c>
      <c r="M144" s="2">
        <v>0</v>
      </c>
      <c r="N144" s="37">
        <v>0</v>
      </c>
      <c r="P144">
        <v>1</v>
      </c>
      <c r="T144">
        <f t="shared" si="3"/>
        <v>48</v>
      </c>
      <c r="U144">
        <f t="shared" si="4"/>
        <v>-2</v>
      </c>
      <c r="V144" t="e">
        <f>SUMIF(SAP!#REF!,월마감!B:B,SAP!#REF!)</f>
        <v>#REF!</v>
      </c>
      <c r="W144" t="e">
        <f t="shared" si="5"/>
        <v>#REF!</v>
      </c>
    </row>
    <row r="145" spans="1:23" ht="16.5" hidden="1" customHeight="1" x14ac:dyDescent="0.3">
      <c r="A145" s="9">
        <v>4430</v>
      </c>
      <c r="B145" s="9" t="s">
        <v>741</v>
      </c>
      <c r="C145" s="31" t="s">
        <v>742</v>
      </c>
      <c r="D145" s="31" t="s">
        <v>1662</v>
      </c>
      <c r="E145" s="9">
        <v>48</v>
      </c>
      <c r="F145" s="9"/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37">
        <v>0</v>
      </c>
      <c r="P145">
        <v>1</v>
      </c>
      <c r="T145">
        <f t="shared" si="3"/>
        <v>48</v>
      </c>
      <c r="U145">
        <f t="shared" si="4"/>
        <v>-48</v>
      </c>
      <c r="V145" t="e">
        <f>SUMIF(SAP!#REF!,월마감!B:B,SAP!#REF!)</f>
        <v>#REF!</v>
      </c>
      <c r="W145" t="e">
        <f t="shared" si="5"/>
        <v>#REF!</v>
      </c>
    </row>
    <row r="146" spans="1:23" x14ac:dyDescent="0.3">
      <c r="A146" s="9">
        <v>4432</v>
      </c>
      <c r="B146" s="76" t="s">
        <v>743</v>
      </c>
      <c r="C146" s="77" t="s">
        <v>744</v>
      </c>
      <c r="D146" s="31" t="s">
        <v>1662</v>
      </c>
      <c r="E146" s="76">
        <v>48</v>
      </c>
      <c r="F146" s="76">
        <v>50</v>
      </c>
      <c r="G146" s="2">
        <v>0</v>
      </c>
      <c r="H146" s="2">
        <v>1250</v>
      </c>
      <c r="I146" s="2">
        <v>71</v>
      </c>
      <c r="J146" s="2">
        <v>0</v>
      </c>
      <c r="K146" s="2">
        <v>1321</v>
      </c>
      <c r="L146" s="2">
        <v>1225</v>
      </c>
      <c r="M146" s="2">
        <v>100</v>
      </c>
      <c r="N146" s="37">
        <v>-4</v>
      </c>
      <c r="P146" s="81"/>
      <c r="Q146" s="81">
        <v>24</v>
      </c>
      <c r="R146" s="81">
        <f>22+49</f>
        <v>71</v>
      </c>
      <c r="S146" s="81"/>
      <c r="T146" s="81">
        <f t="shared" si="3"/>
        <v>1271</v>
      </c>
      <c r="U146" s="82">
        <f t="shared" si="4"/>
        <v>50</v>
      </c>
      <c r="V146" s="86" t="e">
        <f>SUMIF(SAP!#REF!,월마감!B:B,SAP!#REF!)</f>
        <v>#REF!</v>
      </c>
      <c r="W146" s="86" t="e">
        <f t="shared" si="5"/>
        <v>#REF!</v>
      </c>
    </row>
    <row r="147" spans="1:23" x14ac:dyDescent="0.3">
      <c r="A147" s="9">
        <v>6117</v>
      </c>
      <c r="B147" s="76" t="s">
        <v>1120</v>
      </c>
      <c r="C147" s="77" t="s">
        <v>1121</v>
      </c>
      <c r="D147" s="31" t="s">
        <v>1662</v>
      </c>
      <c r="E147" s="76">
        <v>40</v>
      </c>
      <c r="F147" s="76">
        <v>50</v>
      </c>
      <c r="G147" s="2">
        <v>0</v>
      </c>
      <c r="H147" s="2">
        <v>2400</v>
      </c>
      <c r="I147" s="2">
        <v>76</v>
      </c>
      <c r="J147" s="2">
        <v>0</v>
      </c>
      <c r="K147" s="2">
        <v>2476</v>
      </c>
      <c r="L147" s="2">
        <v>1880</v>
      </c>
      <c r="M147" s="2">
        <v>600</v>
      </c>
      <c r="N147" s="37">
        <v>-4</v>
      </c>
      <c r="P147" s="81"/>
      <c r="Q147" s="81">
        <f>24+14</f>
        <v>38</v>
      </c>
      <c r="R147" s="81">
        <f>30+30+20+2+6+10</f>
        <v>98</v>
      </c>
      <c r="S147" s="81"/>
      <c r="T147" s="81">
        <f t="shared" si="3"/>
        <v>1998</v>
      </c>
      <c r="U147" s="82">
        <f t="shared" si="4"/>
        <v>478</v>
      </c>
      <c r="V147" s="86" t="e">
        <f>SUMIF(SAP!#REF!,월마감!B:B,SAP!#REF!)</f>
        <v>#REF!</v>
      </c>
      <c r="W147" s="86" t="e">
        <f t="shared" si="5"/>
        <v>#REF!</v>
      </c>
    </row>
    <row r="148" spans="1:23" ht="16.5" hidden="1" customHeight="1" x14ac:dyDescent="0.3">
      <c r="A148" s="9">
        <v>6118</v>
      </c>
      <c r="B148" s="9" t="s">
        <v>1122</v>
      </c>
      <c r="C148" s="31" t="s">
        <v>1123</v>
      </c>
      <c r="D148" s="31" t="s">
        <v>1662</v>
      </c>
      <c r="E148" s="9">
        <v>48</v>
      </c>
      <c r="F148" s="9"/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37">
        <v>0</v>
      </c>
      <c r="P148">
        <v>1</v>
      </c>
      <c r="T148">
        <f t="shared" si="3"/>
        <v>48</v>
      </c>
      <c r="U148">
        <f t="shared" si="4"/>
        <v>-48</v>
      </c>
      <c r="V148" t="e">
        <f>SUMIF(SAP!#REF!,월마감!B:B,SAP!#REF!)</f>
        <v>#REF!</v>
      </c>
      <c r="W148" t="e">
        <f t="shared" si="5"/>
        <v>#REF!</v>
      </c>
    </row>
    <row r="149" spans="1:23" ht="16.5" hidden="1" customHeight="1" x14ac:dyDescent="0.3">
      <c r="A149" s="9">
        <v>6670</v>
      </c>
      <c r="B149" s="9" t="s">
        <v>1205</v>
      </c>
      <c r="C149" s="33" t="s">
        <v>1206</v>
      </c>
      <c r="D149" s="31" t="s">
        <v>1662</v>
      </c>
      <c r="E149" s="9">
        <v>48</v>
      </c>
      <c r="F149" s="9">
        <v>50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37">
        <v>0</v>
      </c>
      <c r="P149">
        <v>1</v>
      </c>
      <c r="T149">
        <f t="shared" si="3"/>
        <v>48</v>
      </c>
      <c r="U149">
        <f t="shared" si="4"/>
        <v>-48</v>
      </c>
      <c r="V149" t="e">
        <f>SUMIF(SAP!#REF!,월마감!B:B,SAP!#REF!)</f>
        <v>#REF!</v>
      </c>
      <c r="W149" t="e">
        <f t="shared" si="5"/>
        <v>#REF!</v>
      </c>
    </row>
    <row r="150" spans="1:23" x14ac:dyDescent="0.3">
      <c r="A150" s="9">
        <v>6676</v>
      </c>
      <c r="B150" s="76" t="s">
        <v>1207</v>
      </c>
      <c r="C150" s="77" t="s">
        <v>1208</v>
      </c>
      <c r="D150" s="31" t="s">
        <v>1662</v>
      </c>
      <c r="E150" s="76">
        <v>40</v>
      </c>
      <c r="F150" s="76">
        <v>50</v>
      </c>
      <c r="G150" s="2">
        <v>0</v>
      </c>
      <c r="H150" s="2">
        <v>6800</v>
      </c>
      <c r="I150" s="2">
        <v>53</v>
      </c>
      <c r="J150" s="2">
        <v>2</v>
      </c>
      <c r="K150" s="2">
        <v>6855</v>
      </c>
      <c r="L150" s="2">
        <v>5172</v>
      </c>
      <c r="M150" s="2">
        <v>1700</v>
      </c>
      <c r="N150" s="37">
        <v>-17</v>
      </c>
      <c r="P150" s="81"/>
      <c r="Q150" s="81">
        <f>53+1+30+20</f>
        <v>104</v>
      </c>
      <c r="R150" s="81">
        <f>20+20+20</f>
        <v>60</v>
      </c>
      <c r="S150" s="81"/>
      <c r="T150" s="81">
        <f t="shared" si="3"/>
        <v>5260</v>
      </c>
      <c r="U150" s="82">
        <f t="shared" si="4"/>
        <v>1595</v>
      </c>
      <c r="V150" s="86" t="e">
        <f>SUMIF(SAP!#REF!,월마감!B:B,SAP!#REF!)</f>
        <v>#REF!</v>
      </c>
      <c r="W150" s="86" t="e">
        <f t="shared" si="5"/>
        <v>#REF!</v>
      </c>
    </row>
    <row r="151" spans="1:23" ht="16.5" hidden="1" customHeight="1" x14ac:dyDescent="0.3">
      <c r="A151" s="9">
        <v>4822</v>
      </c>
      <c r="B151" s="9" t="s">
        <v>817</v>
      </c>
      <c r="C151" s="31" t="s">
        <v>818</v>
      </c>
      <c r="D151" s="31" t="s">
        <v>367</v>
      </c>
      <c r="E151" s="9">
        <v>48</v>
      </c>
      <c r="F151" s="9"/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37">
        <v>0</v>
      </c>
      <c r="P151">
        <v>1</v>
      </c>
      <c r="T151">
        <f t="shared" si="3"/>
        <v>48</v>
      </c>
      <c r="U151">
        <f t="shared" si="4"/>
        <v>-48</v>
      </c>
      <c r="V151" t="e">
        <f>SUMIF(SAP!#REF!,월마감!B:B,SAP!#REF!)</f>
        <v>#REF!</v>
      </c>
      <c r="W151" t="e">
        <f t="shared" si="5"/>
        <v>#REF!</v>
      </c>
    </row>
    <row r="152" spans="1:23" ht="16.5" hidden="1" customHeight="1" x14ac:dyDescent="0.3">
      <c r="A152" s="9">
        <v>6126</v>
      </c>
      <c r="B152" s="9" t="s">
        <v>1131</v>
      </c>
      <c r="C152" s="31" t="s">
        <v>1130</v>
      </c>
      <c r="D152" s="31" t="s">
        <v>367</v>
      </c>
      <c r="E152" s="9">
        <v>48</v>
      </c>
      <c r="F152" s="9"/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37">
        <v>0</v>
      </c>
      <c r="P152">
        <v>1</v>
      </c>
      <c r="T152">
        <f t="shared" si="3"/>
        <v>48</v>
      </c>
      <c r="U152">
        <f t="shared" si="4"/>
        <v>-48</v>
      </c>
      <c r="V152" t="e">
        <f>SUMIF(SAP!#REF!,월마감!B:B,SAP!#REF!)</f>
        <v>#REF!</v>
      </c>
      <c r="W152" t="e">
        <f t="shared" si="5"/>
        <v>#REF!</v>
      </c>
    </row>
    <row r="153" spans="1:23" ht="16.5" hidden="1" customHeight="1" x14ac:dyDescent="0.3">
      <c r="A153" s="9">
        <v>5732</v>
      </c>
      <c r="B153" s="9" t="s">
        <v>1093</v>
      </c>
      <c r="C153" s="31" t="s">
        <v>1094</v>
      </c>
      <c r="D153" s="31" t="s">
        <v>1661</v>
      </c>
      <c r="E153" s="9">
        <v>36</v>
      </c>
      <c r="F153" s="9"/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37">
        <v>0</v>
      </c>
      <c r="P153">
        <v>1</v>
      </c>
      <c r="T153">
        <f t="shared" si="3"/>
        <v>36</v>
      </c>
      <c r="U153">
        <f t="shared" si="4"/>
        <v>-36</v>
      </c>
      <c r="V153" t="e">
        <f>SUMIF(SAP!#REF!,월마감!B:B,SAP!#REF!)</f>
        <v>#REF!</v>
      </c>
      <c r="W153" t="e">
        <f t="shared" si="5"/>
        <v>#REF!</v>
      </c>
    </row>
    <row r="154" spans="1:23" ht="16.5" hidden="1" customHeight="1" x14ac:dyDescent="0.3">
      <c r="A154" s="9">
        <v>8207</v>
      </c>
      <c r="B154" s="9" t="s">
        <v>1486</v>
      </c>
      <c r="C154" s="31" t="s">
        <v>1487</v>
      </c>
      <c r="D154" s="31" t="s">
        <v>1661</v>
      </c>
      <c r="E154" s="9">
        <v>36</v>
      </c>
      <c r="F154" s="9"/>
      <c r="G154" s="2">
        <v>0</v>
      </c>
      <c r="H154" s="2">
        <v>0</v>
      </c>
      <c r="I154" s="2">
        <v>27</v>
      </c>
      <c r="J154" s="2">
        <v>0</v>
      </c>
      <c r="K154" s="2">
        <v>27</v>
      </c>
      <c r="L154" s="2">
        <v>27</v>
      </c>
      <c r="M154" s="2">
        <v>0</v>
      </c>
      <c r="N154" s="37">
        <v>0</v>
      </c>
      <c r="P154">
        <v>1</v>
      </c>
      <c r="T154">
        <f t="shared" si="3"/>
        <v>36</v>
      </c>
      <c r="U154">
        <f t="shared" si="4"/>
        <v>-9</v>
      </c>
      <c r="V154" t="e">
        <f>SUMIF(SAP!#REF!,월마감!B:B,SAP!#REF!)</f>
        <v>#REF!</v>
      </c>
      <c r="W154" t="e">
        <f t="shared" si="5"/>
        <v>#REF!</v>
      </c>
    </row>
    <row r="155" spans="1:23" ht="15" hidden="1" customHeight="1" x14ac:dyDescent="0.3">
      <c r="A155" s="9">
        <v>5748</v>
      </c>
      <c r="B155" s="9" t="s">
        <v>1100</v>
      </c>
      <c r="C155" s="31" t="s">
        <v>1101</v>
      </c>
      <c r="D155" s="31" t="s">
        <v>1661</v>
      </c>
      <c r="E155" s="9">
        <v>24</v>
      </c>
      <c r="F155" s="9">
        <v>32</v>
      </c>
      <c r="G155" s="2">
        <v>0</v>
      </c>
      <c r="H155" s="2">
        <v>1312</v>
      </c>
      <c r="I155" s="2">
        <v>33</v>
      </c>
      <c r="J155" s="2">
        <v>0</v>
      </c>
      <c r="K155" s="2">
        <v>1345</v>
      </c>
      <c r="L155" s="2">
        <v>1026</v>
      </c>
      <c r="M155" s="2">
        <v>320</v>
      </c>
      <c r="N155" s="37">
        <v>-1</v>
      </c>
      <c r="P155">
        <v>1</v>
      </c>
      <c r="T155">
        <f t="shared" si="3"/>
        <v>24</v>
      </c>
      <c r="U155">
        <f t="shared" si="4"/>
        <v>1321</v>
      </c>
      <c r="V155" t="e">
        <f>SUMIF(SAP!#REF!,월마감!B:B,SAP!#REF!)</f>
        <v>#REF!</v>
      </c>
      <c r="W155" t="e">
        <f t="shared" si="5"/>
        <v>#REF!</v>
      </c>
    </row>
    <row r="156" spans="1:23" ht="16.5" hidden="1" customHeight="1" x14ac:dyDescent="0.3">
      <c r="A156" s="9">
        <v>4126</v>
      </c>
      <c r="B156" s="9" t="s">
        <v>659</v>
      </c>
      <c r="C156" s="31" t="s">
        <v>660</v>
      </c>
      <c r="D156" s="31" t="s">
        <v>1663</v>
      </c>
      <c r="E156" s="9"/>
      <c r="F156" s="9">
        <v>56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37">
        <v>0</v>
      </c>
      <c r="P156">
        <v>1</v>
      </c>
      <c r="T156">
        <f t="shared" si="3"/>
        <v>0</v>
      </c>
      <c r="U156">
        <f t="shared" si="4"/>
        <v>0</v>
      </c>
      <c r="V156" t="e">
        <f>SUMIF(SAP!#REF!,월마감!B:B,SAP!#REF!)</f>
        <v>#REF!</v>
      </c>
      <c r="W156" t="e">
        <f t="shared" si="5"/>
        <v>#REF!</v>
      </c>
    </row>
    <row r="157" spans="1:23" ht="16.5" hidden="1" customHeight="1" x14ac:dyDescent="0.3">
      <c r="A157" s="9">
        <v>4127</v>
      </c>
      <c r="B157" s="9" t="s">
        <v>661</v>
      </c>
      <c r="C157" s="31" t="s">
        <v>662</v>
      </c>
      <c r="D157" s="31" t="s">
        <v>1663</v>
      </c>
      <c r="E157" s="9"/>
      <c r="F157" s="9">
        <v>56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37">
        <v>0</v>
      </c>
      <c r="P157">
        <v>1</v>
      </c>
      <c r="T157">
        <f t="shared" si="3"/>
        <v>0</v>
      </c>
      <c r="U157">
        <f t="shared" si="4"/>
        <v>0</v>
      </c>
      <c r="V157" t="e">
        <f>SUMIF(SAP!#REF!,월마감!B:B,SAP!#REF!)</f>
        <v>#REF!</v>
      </c>
      <c r="W157" t="e">
        <f t="shared" si="5"/>
        <v>#REF!</v>
      </c>
    </row>
    <row r="158" spans="1:23" ht="15" hidden="1" customHeight="1" x14ac:dyDescent="0.3">
      <c r="A158" s="9">
        <v>4128</v>
      </c>
      <c r="B158" s="9" t="s">
        <v>663</v>
      </c>
      <c r="C158" s="31" t="s">
        <v>664</v>
      </c>
      <c r="D158" s="31" t="s">
        <v>1663</v>
      </c>
      <c r="E158" s="9"/>
      <c r="F158" s="9">
        <v>56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37">
        <v>0</v>
      </c>
      <c r="P158">
        <v>1</v>
      </c>
      <c r="T158">
        <f t="shared" si="3"/>
        <v>0</v>
      </c>
      <c r="U158">
        <f t="shared" si="4"/>
        <v>0</v>
      </c>
      <c r="V158" t="e">
        <f>SUMIF(SAP!#REF!,월마감!B:B,SAP!#REF!)</f>
        <v>#REF!</v>
      </c>
      <c r="W158" t="e">
        <f t="shared" si="5"/>
        <v>#REF!</v>
      </c>
    </row>
    <row r="159" spans="1:23" ht="15" hidden="1" customHeight="1" x14ac:dyDescent="0.3">
      <c r="A159" s="9">
        <v>8231</v>
      </c>
      <c r="B159" s="9" t="s">
        <v>1448</v>
      </c>
      <c r="C159" s="31" t="s">
        <v>1449</v>
      </c>
      <c r="D159" s="31" t="s">
        <v>1663</v>
      </c>
      <c r="E159" s="9"/>
      <c r="F159" s="9">
        <v>56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37">
        <v>0</v>
      </c>
      <c r="P159">
        <v>1</v>
      </c>
      <c r="T159">
        <f t="shared" si="3"/>
        <v>0</v>
      </c>
      <c r="U159">
        <f t="shared" si="4"/>
        <v>0</v>
      </c>
      <c r="V159" t="e">
        <f>SUMIF(SAP!#REF!,월마감!B:B,SAP!#REF!)</f>
        <v>#REF!</v>
      </c>
      <c r="W159" t="e">
        <f t="shared" si="5"/>
        <v>#REF!</v>
      </c>
    </row>
    <row r="160" spans="1:23" ht="16.5" hidden="1" customHeight="1" x14ac:dyDescent="0.3">
      <c r="A160" s="9">
        <v>8232</v>
      </c>
      <c r="B160" s="9" t="s">
        <v>1450</v>
      </c>
      <c r="C160" s="31" t="s">
        <v>1451</v>
      </c>
      <c r="D160" s="31" t="s">
        <v>1663</v>
      </c>
      <c r="E160" s="9"/>
      <c r="F160" s="9">
        <v>56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37">
        <v>0</v>
      </c>
      <c r="P160">
        <v>1</v>
      </c>
      <c r="T160">
        <f t="shared" si="3"/>
        <v>0</v>
      </c>
      <c r="U160">
        <f t="shared" si="4"/>
        <v>0</v>
      </c>
      <c r="V160" t="e">
        <f>SUMIF(SAP!#REF!,월마감!B:B,SAP!#REF!)</f>
        <v>#REF!</v>
      </c>
      <c r="W160" t="e">
        <f t="shared" si="5"/>
        <v>#REF!</v>
      </c>
    </row>
    <row r="161" spans="1:23" ht="16.5" hidden="1" customHeight="1" x14ac:dyDescent="0.3">
      <c r="A161" s="32" t="s">
        <v>1624</v>
      </c>
      <c r="B161" s="9" t="s">
        <v>1620</v>
      </c>
      <c r="C161" s="31" t="s">
        <v>1621</v>
      </c>
      <c r="D161" s="31" t="s">
        <v>1663</v>
      </c>
      <c r="E161" s="9"/>
      <c r="F161" s="9">
        <v>56</v>
      </c>
      <c r="G161" s="2">
        <v>0</v>
      </c>
      <c r="H161" s="2">
        <v>112</v>
      </c>
      <c r="I161" s="2">
        <v>40</v>
      </c>
      <c r="J161" s="2">
        <v>0</v>
      </c>
      <c r="K161" s="2">
        <v>152</v>
      </c>
      <c r="L161" s="2">
        <v>152</v>
      </c>
      <c r="M161" s="2">
        <v>0</v>
      </c>
      <c r="N161" s="37">
        <v>0</v>
      </c>
      <c r="P161">
        <v>1</v>
      </c>
      <c r="T161">
        <f t="shared" si="3"/>
        <v>0</v>
      </c>
      <c r="U161">
        <f t="shared" si="4"/>
        <v>152</v>
      </c>
      <c r="V161" t="e">
        <f>SUMIF(SAP!#REF!,월마감!B:B,SAP!#REF!)</f>
        <v>#REF!</v>
      </c>
      <c r="W161" t="e">
        <f t="shared" si="5"/>
        <v>#REF!</v>
      </c>
    </row>
    <row r="162" spans="1:23" ht="16.5" hidden="1" customHeight="1" x14ac:dyDescent="0.3">
      <c r="A162" s="32" t="s">
        <v>1625</v>
      </c>
      <c r="B162" s="9" t="s">
        <v>1779</v>
      </c>
      <c r="C162" s="31" t="s">
        <v>1622</v>
      </c>
      <c r="D162" s="31" t="s">
        <v>1663</v>
      </c>
      <c r="E162" s="9"/>
      <c r="F162" s="9">
        <v>56</v>
      </c>
      <c r="G162" s="2">
        <v>0</v>
      </c>
      <c r="H162" s="2">
        <v>56</v>
      </c>
      <c r="I162" s="2">
        <v>50</v>
      </c>
      <c r="J162" s="2">
        <v>0</v>
      </c>
      <c r="K162" s="2">
        <v>106</v>
      </c>
      <c r="L162" s="2">
        <v>106</v>
      </c>
      <c r="M162" s="2">
        <v>0</v>
      </c>
      <c r="N162" s="37">
        <v>0</v>
      </c>
      <c r="P162">
        <v>1</v>
      </c>
      <c r="T162">
        <f t="shared" si="3"/>
        <v>0</v>
      </c>
      <c r="U162">
        <f t="shared" si="4"/>
        <v>106</v>
      </c>
      <c r="V162" t="e">
        <f>SUMIF(SAP!#REF!,월마감!B:B,SAP!#REF!)</f>
        <v>#REF!</v>
      </c>
      <c r="W162" t="e">
        <f t="shared" si="5"/>
        <v>#REF!</v>
      </c>
    </row>
    <row r="163" spans="1:23" ht="16.5" hidden="1" customHeight="1" x14ac:dyDescent="0.3">
      <c r="A163" s="32">
        <v>6745</v>
      </c>
      <c r="B163" s="9" t="s">
        <v>1236</v>
      </c>
      <c r="C163" s="31" t="s">
        <v>1237</v>
      </c>
      <c r="D163" s="31" t="s">
        <v>1663</v>
      </c>
      <c r="E163" s="9"/>
      <c r="F163" s="9">
        <v>84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37">
        <v>0</v>
      </c>
      <c r="P163">
        <v>1</v>
      </c>
      <c r="T163">
        <f t="shared" si="3"/>
        <v>0</v>
      </c>
      <c r="U163">
        <f t="shared" si="4"/>
        <v>0</v>
      </c>
      <c r="V163" t="e">
        <f>SUMIF(SAP!#REF!,월마감!B:B,SAP!#REF!)</f>
        <v>#REF!</v>
      </c>
      <c r="W163" t="e">
        <f t="shared" si="5"/>
        <v>#REF!</v>
      </c>
    </row>
    <row r="164" spans="1:23" ht="16.5" hidden="1" customHeight="1" x14ac:dyDescent="0.3">
      <c r="A164" s="32">
        <v>6746</v>
      </c>
      <c r="B164" s="9" t="s">
        <v>1238</v>
      </c>
      <c r="C164" s="31" t="s">
        <v>1239</v>
      </c>
      <c r="D164" s="31" t="s">
        <v>1663</v>
      </c>
      <c r="E164" s="9"/>
      <c r="F164" s="9">
        <v>84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37">
        <v>0</v>
      </c>
      <c r="P164">
        <v>1</v>
      </c>
      <c r="T164">
        <f t="shared" si="3"/>
        <v>0</v>
      </c>
      <c r="U164">
        <f t="shared" si="4"/>
        <v>0</v>
      </c>
      <c r="V164" t="e">
        <f>SUMIF(SAP!#REF!,월마감!B:B,SAP!#REF!)</f>
        <v>#REF!</v>
      </c>
      <c r="W164" t="e">
        <f t="shared" si="5"/>
        <v>#REF!</v>
      </c>
    </row>
    <row r="165" spans="1:23" ht="16.5" hidden="1" customHeight="1" x14ac:dyDescent="0.3">
      <c r="A165" s="9">
        <v>8233</v>
      </c>
      <c r="B165" s="9" t="s">
        <v>1488</v>
      </c>
      <c r="C165" s="31" t="s">
        <v>1489</v>
      </c>
      <c r="D165" s="31" t="s">
        <v>1663</v>
      </c>
      <c r="E165" s="9"/>
      <c r="F165" s="9">
        <v>56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37">
        <v>0</v>
      </c>
      <c r="P165">
        <v>1</v>
      </c>
      <c r="T165">
        <f t="shared" si="3"/>
        <v>0</v>
      </c>
      <c r="U165">
        <f t="shared" si="4"/>
        <v>0</v>
      </c>
      <c r="V165" t="e">
        <f>SUMIF(SAP!#REF!,월마감!B:B,SAP!#REF!)</f>
        <v>#REF!</v>
      </c>
      <c r="W165" t="e">
        <f t="shared" si="5"/>
        <v>#REF!</v>
      </c>
    </row>
    <row r="166" spans="1:23" ht="16.5" hidden="1" customHeight="1" x14ac:dyDescent="0.3">
      <c r="A166" s="9">
        <v>4563</v>
      </c>
      <c r="B166" s="9" t="s">
        <v>773</v>
      </c>
      <c r="C166" s="31" t="s">
        <v>774</v>
      </c>
      <c r="D166" s="31" t="s">
        <v>311</v>
      </c>
      <c r="E166" s="9">
        <v>32</v>
      </c>
      <c r="F166" s="9">
        <v>44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37">
        <v>0</v>
      </c>
      <c r="P166">
        <v>1</v>
      </c>
      <c r="T166">
        <f t="shared" si="3"/>
        <v>32</v>
      </c>
      <c r="U166">
        <f t="shared" si="4"/>
        <v>-32</v>
      </c>
      <c r="V166" t="e">
        <f>SUMIF(SAP!#REF!,월마감!B:B,SAP!#REF!)</f>
        <v>#REF!</v>
      </c>
      <c r="W166" t="e">
        <f t="shared" si="5"/>
        <v>#REF!</v>
      </c>
    </row>
    <row r="167" spans="1:23" ht="17.25" hidden="1" customHeight="1" x14ac:dyDescent="0.3">
      <c r="A167" s="9">
        <v>6273</v>
      </c>
      <c r="B167" s="9" t="s">
        <v>1142</v>
      </c>
      <c r="C167" s="31" t="s">
        <v>1143</v>
      </c>
      <c r="D167" s="31" t="s">
        <v>311</v>
      </c>
      <c r="E167" s="9">
        <v>48</v>
      </c>
      <c r="F167" s="9">
        <v>54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37">
        <v>0</v>
      </c>
      <c r="P167">
        <v>1</v>
      </c>
      <c r="T167">
        <f t="shared" si="3"/>
        <v>48</v>
      </c>
      <c r="U167">
        <f t="shared" si="4"/>
        <v>-48</v>
      </c>
      <c r="V167" t="e">
        <f>SUMIF(SAP!#REF!,월마감!B:B,SAP!#REF!)</f>
        <v>#REF!</v>
      </c>
      <c r="W167" t="e">
        <f t="shared" si="5"/>
        <v>#REF!</v>
      </c>
    </row>
    <row r="168" spans="1:23" ht="14.25" customHeight="1" x14ac:dyDescent="0.3">
      <c r="A168" s="9">
        <v>8561</v>
      </c>
      <c r="B168" s="76" t="s">
        <v>1623</v>
      </c>
      <c r="C168" s="77" t="s">
        <v>1619</v>
      </c>
      <c r="D168" s="31" t="s">
        <v>311</v>
      </c>
      <c r="E168" s="76">
        <v>48</v>
      </c>
      <c r="F168" s="76">
        <v>60</v>
      </c>
      <c r="G168" s="2">
        <v>0</v>
      </c>
      <c r="H168" s="2">
        <v>2460</v>
      </c>
      <c r="I168" s="2">
        <v>123</v>
      </c>
      <c r="J168" s="2">
        <v>0</v>
      </c>
      <c r="K168" s="2">
        <v>2583</v>
      </c>
      <c r="L168" s="2">
        <v>2458</v>
      </c>
      <c r="M168" s="2">
        <v>120</v>
      </c>
      <c r="N168" s="37">
        <v>5</v>
      </c>
      <c r="P168" s="81"/>
      <c r="Q168" s="81">
        <f>9+1+29</f>
        <v>39</v>
      </c>
      <c r="R168" s="81">
        <f>4+20+48+47</f>
        <v>119</v>
      </c>
      <c r="S168" s="81"/>
      <c r="T168" s="81">
        <f t="shared" ref="T168:T183" si="6">(P168*E168)+(Q168*F168)+R168+S168</f>
        <v>2459</v>
      </c>
      <c r="U168" s="82">
        <f t="shared" ref="U168:U182" si="7">K168-T168</f>
        <v>124</v>
      </c>
      <c r="V168" s="86" t="e">
        <f>SUMIF(SAP!#REF!,월마감!B:B,SAP!#REF!)</f>
        <v>#REF!</v>
      </c>
      <c r="W168" s="86" t="e">
        <f>T168-V168</f>
        <v>#REF!</v>
      </c>
    </row>
    <row r="169" spans="1:23" ht="17.25" hidden="1" customHeight="1" x14ac:dyDescent="0.3">
      <c r="A169" s="9">
        <v>6871</v>
      </c>
      <c r="B169" s="9" t="s">
        <v>1250</v>
      </c>
      <c r="C169" s="31" t="s">
        <v>1251</v>
      </c>
      <c r="D169" s="31" t="s">
        <v>311</v>
      </c>
      <c r="E169" s="9">
        <v>30</v>
      </c>
      <c r="F169" s="9">
        <v>48</v>
      </c>
      <c r="G169" s="2">
        <v>0</v>
      </c>
      <c r="H169" s="2">
        <v>7200</v>
      </c>
      <c r="I169" s="2">
        <v>62</v>
      </c>
      <c r="J169" s="2">
        <v>0</v>
      </c>
      <c r="K169" s="2">
        <v>7262</v>
      </c>
      <c r="L169" s="2">
        <v>6881</v>
      </c>
      <c r="M169" s="2">
        <v>384</v>
      </c>
      <c r="N169" s="37">
        <v>-3</v>
      </c>
      <c r="P169">
        <v>1</v>
      </c>
      <c r="T169">
        <f t="shared" si="6"/>
        <v>30</v>
      </c>
      <c r="U169">
        <f t="shared" si="7"/>
        <v>7232</v>
      </c>
      <c r="V169" t="e">
        <f>SUMIF(SAP!#REF!,월마감!B:B,SAP!#REF!)</f>
        <v>#REF!</v>
      </c>
      <c r="W169" t="e">
        <f>T169-V169</f>
        <v>#REF!</v>
      </c>
    </row>
    <row r="170" spans="1:23" ht="16.5" hidden="1" customHeight="1" x14ac:dyDescent="0.3">
      <c r="A170" s="32" t="s">
        <v>1628</v>
      </c>
      <c r="B170" s="9" t="s">
        <v>1629</v>
      </c>
      <c r="C170" s="31" t="s">
        <v>1630</v>
      </c>
      <c r="D170" s="31" t="s">
        <v>311</v>
      </c>
      <c r="E170" s="9">
        <v>30</v>
      </c>
      <c r="F170" s="9">
        <v>48</v>
      </c>
      <c r="G170" s="2">
        <v>0</v>
      </c>
      <c r="H170" s="2">
        <v>864</v>
      </c>
      <c r="I170" s="2">
        <v>63</v>
      </c>
      <c r="J170" s="2">
        <v>0</v>
      </c>
      <c r="K170" s="2">
        <v>927</v>
      </c>
      <c r="L170" s="2">
        <v>926</v>
      </c>
      <c r="M170" s="2">
        <v>0</v>
      </c>
      <c r="N170" s="37">
        <v>1</v>
      </c>
      <c r="P170">
        <v>1</v>
      </c>
      <c r="T170">
        <f t="shared" si="6"/>
        <v>30</v>
      </c>
      <c r="U170">
        <f t="shared" si="7"/>
        <v>897</v>
      </c>
      <c r="V170" t="e">
        <f>SUMIF(SAP!#REF!,월마감!B:B,SAP!#REF!)</f>
        <v>#REF!</v>
      </c>
      <c r="W170" t="e">
        <f>T170-V170</f>
        <v>#REF!</v>
      </c>
    </row>
    <row r="171" spans="1:23" ht="16.5" hidden="1" customHeight="1" x14ac:dyDescent="0.3">
      <c r="A171" s="9">
        <v>6994</v>
      </c>
      <c r="B171" s="9" t="s">
        <v>1269</v>
      </c>
      <c r="C171" s="31" t="s">
        <v>1270</v>
      </c>
      <c r="D171" s="31" t="s">
        <v>311</v>
      </c>
      <c r="E171" s="9"/>
      <c r="F171" s="9">
        <v>60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37">
        <v>0</v>
      </c>
      <c r="P171">
        <v>1</v>
      </c>
      <c r="T171">
        <f t="shared" si="6"/>
        <v>0</v>
      </c>
      <c r="U171">
        <f t="shared" si="7"/>
        <v>0</v>
      </c>
      <c r="V171" t="e">
        <f>SUMIF(SAP!#REF!,월마감!B:B,SAP!#REF!)</f>
        <v>#REF!</v>
      </c>
      <c r="W171" t="e">
        <f>T171-V171</f>
        <v>#REF!</v>
      </c>
    </row>
    <row r="172" spans="1:23" x14ac:dyDescent="0.3">
      <c r="A172" s="9">
        <v>8518</v>
      </c>
      <c r="B172" s="76" t="s">
        <v>1524</v>
      </c>
      <c r="C172" s="77" t="s">
        <v>1525</v>
      </c>
      <c r="D172" s="31" t="s">
        <v>311</v>
      </c>
      <c r="E172" s="76">
        <v>30</v>
      </c>
      <c r="F172" s="76">
        <v>48</v>
      </c>
      <c r="G172" s="2">
        <v>0</v>
      </c>
      <c r="H172" s="2">
        <v>0</v>
      </c>
      <c r="I172" s="2">
        <v>62</v>
      </c>
      <c r="J172" s="2">
        <v>42</v>
      </c>
      <c r="K172" s="2">
        <v>104</v>
      </c>
      <c r="L172" s="2">
        <v>99</v>
      </c>
      <c r="M172" s="2">
        <v>0</v>
      </c>
      <c r="N172" s="37">
        <v>5</v>
      </c>
      <c r="P172" s="81"/>
      <c r="Q172" s="81"/>
      <c r="R172" s="81">
        <f>2+38+22</f>
        <v>62</v>
      </c>
      <c r="S172" s="81">
        <v>42</v>
      </c>
      <c r="T172" s="81">
        <f t="shared" si="6"/>
        <v>104</v>
      </c>
      <c r="U172" s="82">
        <f t="shared" si="7"/>
        <v>0</v>
      </c>
      <c r="V172" s="86" t="e">
        <f>SUMIF(SAP!#REF!,월마감!B:B,SAP!#REF!)</f>
        <v>#REF!</v>
      </c>
      <c r="W172" s="86" t="e">
        <f>T172-V172</f>
        <v>#REF!</v>
      </c>
    </row>
    <row r="173" spans="1:23" ht="16.5" hidden="1" customHeight="1" x14ac:dyDescent="0.3">
      <c r="A173" s="9">
        <v>8521</v>
      </c>
      <c r="B173" s="9" t="s">
        <v>1528</v>
      </c>
      <c r="C173" s="31" t="s">
        <v>1529</v>
      </c>
      <c r="D173" s="31" t="s">
        <v>311</v>
      </c>
      <c r="E173" s="9">
        <v>99</v>
      </c>
      <c r="F173" s="9">
        <v>132</v>
      </c>
      <c r="G173" s="2">
        <v>2673</v>
      </c>
      <c r="H173" s="2">
        <v>264</v>
      </c>
      <c r="I173" s="2">
        <v>422</v>
      </c>
      <c r="J173" s="2">
        <v>93</v>
      </c>
      <c r="K173" s="2">
        <v>3452</v>
      </c>
      <c r="L173" s="2">
        <v>3455</v>
      </c>
      <c r="M173" s="2">
        <v>0</v>
      </c>
      <c r="N173" s="37">
        <v>-3</v>
      </c>
      <c r="P173">
        <v>1</v>
      </c>
      <c r="T173">
        <f t="shared" si="6"/>
        <v>99</v>
      </c>
      <c r="U173">
        <f t="shared" si="7"/>
        <v>3353</v>
      </c>
      <c r="V173" t="e">
        <f>SUMIF(SAP!#REF!,월마감!B:B,SAP!#REF!)</f>
        <v>#REF!</v>
      </c>
      <c r="W173"/>
    </row>
    <row r="174" spans="1:23" ht="16.5" hidden="1" customHeight="1" x14ac:dyDescent="0.3">
      <c r="A174" s="9">
        <v>8532</v>
      </c>
      <c r="B174" s="9" t="s">
        <v>1533</v>
      </c>
      <c r="C174" s="31" t="s">
        <v>1534</v>
      </c>
      <c r="D174" s="31" t="s">
        <v>311</v>
      </c>
      <c r="E174" s="9"/>
      <c r="F174" s="9">
        <v>44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37">
        <v>0</v>
      </c>
      <c r="P174">
        <v>1</v>
      </c>
      <c r="T174">
        <f t="shared" si="6"/>
        <v>0</v>
      </c>
      <c r="U174">
        <f t="shared" si="7"/>
        <v>0</v>
      </c>
      <c r="V174" t="e">
        <f>SUMIF(SAP!#REF!,월마감!B:B,SAP!#REF!)</f>
        <v>#REF!</v>
      </c>
      <c r="W174"/>
    </row>
    <row r="175" spans="1:23" ht="16.5" hidden="1" customHeight="1" x14ac:dyDescent="0.3">
      <c r="A175" s="9">
        <v>8541</v>
      </c>
      <c r="B175" s="9" t="s">
        <v>1536</v>
      </c>
      <c r="C175" s="31" t="s">
        <v>1537</v>
      </c>
      <c r="D175" s="31" t="s">
        <v>311</v>
      </c>
      <c r="E175" s="9">
        <v>32</v>
      </c>
      <c r="F175" s="9">
        <v>44</v>
      </c>
      <c r="G175" s="2">
        <v>0</v>
      </c>
      <c r="H175" s="2">
        <v>1716</v>
      </c>
      <c r="I175" s="2">
        <v>118</v>
      </c>
      <c r="J175" s="2">
        <v>0</v>
      </c>
      <c r="K175" s="2">
        <v>1834</v>
      </c>
      <c r="L175" s="2">
        <v>1793</v>
      </c>
      <c r="M175" s="2">
        <v>44</v>
      </c>
      <c r="N175" s="37">
        <v>-3</v>
      </c>
      <c r="P175">
        <v>1</v>
      </c>
      <c r="T175">
        <f t="shared" si="6"/>
        <v>32</v>
      </c>
      <c r="U175">
        <f t="shared" si="7"/>
        <v>1802</v>
      </c>
      <c r="V175" t="e">
        <f>SUMIF(SAP!#REF!,월마감!B:B,SAP!#REF!)</f>
        <v>#REF!</v>
      </c>
      <c r="W175"/>
    </row>
    <row r="176" spans="1:23" ht="16.5" hidden="1" customHeight="1" x14ac:dyDescent="0.3">
      <c r="A176" s="9">
        <v>7012</v>
      </c>
      <c r="B176" s="9" t="s">
        <v>1288</v>
      </c>
      <c r="C176" s="31" t="s">
        <v>428</v>
      </c>
      <c r="D176" s="31" t="s">
        <v>311</v>
      </c>
      <c r="E176" s="9"/>
      <c r="F176" s="9">
        <v>55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37">
        <v>0</v>
      </c>
      <c r="P176">
        <v>1</v>
      </c>
      <c r="T176">
        <f t="shared" si="6"/>
        <v>0</v>
      </c>
      <c r="U176">
        <f t="shared" si="7"/>
        <v>0</v>
      </c>
      <c r="V176" t="e">
        <f>SUMIF(SAP!#REF!,월마감!B:B,SAP!#REF!)</f>
        <v>#REF!</v>
      </c>
      <c r="W176"/>
    </row>
    <row r="177" spans="1:23" ht="16.5" hidden="1" customHeight="1" x14ac:dyDescent="0.3">
      <c r="A177" s="9">
        <v>8548</v>
      </c>
      <c r="B177" s="9" t="s">
        <v>1539</v>
      </c>
      <c r="C177" s="31" t="s">
        <v>1540</v>
      </c>
      <c r="D177" s="31" t="s">
        <v>311</v>
      </c>
      <c r="E177" s="9">
        <v>32</v>
      </c>
      <c r="F177" s="9">
        <v>44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37">
        <v>0</v>
      </c>
      <c r="P177">
        <v>1</v>
      </c>
      <c r="T177">
        <f t="shared" si="6"/>
        <v>32</v>
      </c>
      <c r="U177">
        <f t="shared" si="7"/>
        <v>-32</v>
      </c>
      <c r="V177" t="e">
        <f>SUMIF(SAP!#REF!,월마감!B:B,SAP!#REF!)</f>
        <v>#REF!</v>
      </c>
      <c r="W177"/>
    </row>
    <row r="178" spans="1:23" ht="16.5" hidden="1" customHeight="1" x14ac:dyDescent="0.3">
      <c r="A178" s="9">
        <v>8566</v>
      </c>
      <c r="B178" s="9" t="s">
        <v>1544</v>
      </c>
      <c r="C178" s="31" t="s">
        <v>1545</v>
      </c>
      <c r="D178" s="31" t="s">
        <v>311</v>
      </c>
      <c r="E178" s="9"/>
      <c r="F178" s="9">
        <v>48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37">
        <v>0</v>
      </c>
      <c r="P178">
        <v>1</v>
      </c>
      <c r="T178">
        <f t="shared" si="6"/>
        <v>0</v>
      </c>
      <c r="U178">
        <f t="shared" si="7"/>
        <v>0</v>
      </c>
      <c r="V178" t="e">
        <f>SUMIF(SAP!#REF!,월마감!B:B,SAP!#REF!)</f>
        <v>#REF!</v>
      </c>
      <c r="W178"/>
    </row>
    <row r="179" spans="1:23" ht="16.5" hidden="1" customHeight="1" x14ac:dyDescent="0.3">
      <c r="A179" s="9">
        <v>8625</v>
      </c>
      <c r="B179" s="9" t="s">
        <v>1557</v>
      </c>
      <c r="C179" s="31" t="s">
        <v>1558</v>
      </c>
      <c r="D179" s="31" t="s">
        <v>311</v>
      </c>
      <c r="E179" s="9"/>
      <c r="F179" s="9">
        <v>32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37">
        <v>0</v>
      </c>
      <c r="P179">
        <v>1</v>
      </c>
      <c r="T179">
        <f t="shared" si="6"/>
        <v>0</v>
      </c>
      <c r="U179">
        <f t="shared" si="7"/>
        <v>0</v>
      </c>
      <c r="V179" t="e">
        <f>SUMIF(SAP!#REF!,월마감!B:B,SAP!#REF!)</f>
        <v>#REF!</v>
      </c>
      <c r="W179"/>
    </row>
    <row r="180" spans="1:23" ht="16.5" hidden="1" customHeight="1" x14ac:dyDescent="0.3">
      <c r="A180" s="9">
        <v>8626</v>
      </c>
      <c r="B180" s="9" t="s">
        <v>1559</v>
      </c>
      <c r="C180" s="31" t="s">
        <v>1560</v>
      </c>
      <c r="D180" s="31" t="s">
        <v>311</v>
      </c>
      <c r="E180" s="9"/>
      <c r="F180" s="9">
        <v>32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37">
        <v>0</v>
      </c>
      <c r="P180">
        <v>1</v>
      </c>
      <c r="T180">
        <f t="shared" si="6"/>
        <v>0</v>
      </c>
      <c r="U180">
        <f t="shared" si="7"/>
        <v>0</v>
      </c>
      <c r="V180" t="e">
        <f>SUMIF(SAP!#REF!,월마감!B:B,SAP!#REF!)</f>
        <v>#REF!</v>
      </c>
      <c r="W180"/>
    </row>
    <row r="181" spans="1:23" ht="16.5" hidden="1" customHeight="1" x14ac:dyDescent="0.3">
      <c r="A181" s="9">
        <v>3752</v>
      </c>
      <c r="B181" s="9" t="s">
        <v>640</v>
      </c>
      <c r="C181" s="31" t="s">
        <v>641</v>
      </c>
      <c r="D181" s="31" t="s">
        <v>308</v>
      </c>
      <c r="E181" s="9">
        <v>63</v>
      </c>
      <c r="F181" s="9">
        <v>72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37">
        <v>0</v>
      </c>
      <c r="P181">
        <v>1</v>
      </c>
      <c r="T181">
        <f t="shared" si="6"/>
        <v>63</v>
      </c>
      <c r="U181">
        <f t="shared" si="7"/>
        <v>-63</v>
      </c>
      <c r="V181" t="e">
        <f>SUMIF(SAP!#REF!,월마감!B:B,SAP!#REF!)</f>
        <v>#REF!</v>
      </c>
      <c r="W181"/>
    </row>
    <row r="182" spans="1:23" ht="16.5" hidden="1" customHeight="1" x14ac:dyDescent="0.3">
      <c r="A182" s="9">
        <v>3750</v>
      </c>
      <c r="B182" s="9" t="s">
        <v>636</v>
      </c>
      <c r="C182" s="31" t="s">
        <v>637</v>
      </c>
      <c r="D182" s="31" t="s">
        <v>308</v>
      </c>
      <c r="E182" s="9">
        <v>63</v>
      </c>
      <c r="F182" s="9">
        <v>72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37">
        <v>0</v>
      </c>
      <c r="P182">
        <v>1</v>
      </c>
      <c r="T182">
        <f t="shared" si="6"/>
        <v>63</v>
      </c>
      <c r="U182">
        <f t="shared" si="7"/>
        <v>-63</v>
      </c>
      <c r="V182" t="e">
        <f>SUMIF(SAP!#REF!,월마감!B:B,SAP!#REF!)</f>
        <v>#REF!</v>
      </c>
      <c r="W182"/>
    </row>
    <row r="183" spans="1:23" x14ac:dyDescent="0.3">
      <c r="A183" s="34"/>
      <c r="B183" s="78"/>
      <c r="C183" s="79" t="s">
        <v>136</v>
      </c>
      <c r="D183" s="35"/>
      <c r="E183" s="78"/>
      <c r="F183" s="78"/>
      <c r="G183" s="2">
        <v>4334</v>
      </c>
      <c r="H183" s="2">
        <v>106316</v>
      </c>
      <c r="I183" s="2">
        <v>9942</v>
      </c>
      <c r="J183" s="2">
        <v>428</v>
      </c>
      <c r="K183" s="2">
        <v>121020</v>
      </c>
      <c r="L183" s="2">
        <v>109429</v>
      </c>
      <c r="M183" s="2">
        <v>11605</v>
      </c>
      <c r="N183" s="37">
        <v>-9</v>
      </c>
      <c r="P183" s="81"/>
      <c r="Q183" s="81"/>
      <c r="R183" s="81"/>
      <c r="S183" s="81"/>
      <c r="T183" s="81">
        <f t="shared" si="6"/>
        <v>0</v>
      </c>
      <c r="U183" s="82">
        <f>SUBTOTAL(9,U32:U172)</f>
        <v>2469</v>
      </c>
      <c r="V183" s="86" t="e">
        <f>SUBTOTAL(9,V32:V172)</f>
        <v>#REF!</v>
      </c>
      <c r="W183" s="86" t="e">
        <f>SUBTOTAL(9,W32:W172)</f>
        <v>#REF!</v>
      </c>
    </row>
    <row r="185" spans="1:23" x14ac:dyDescent="0.3">
      <c r="N185" s="68"/>
    </row>
  </sheetData>
  <autoFilter ref="A3:N183" xr:uid="{00000000-0009-0000-0000-000000000000}">
    <filterColumn colId="13">
      <filters>
        <filter val="(17)"/>
        <filter val="(4)"/>
        <filter val="(5)"/>
        <filter val="(9)"/>
        <filter val="11"/>
        <filter val="5"/>
        <filter val="6"/>
        <filter val="8"/>
        <filter val="9"/>
      </filters>
    </filterColumn>
  </autoFilter>
  <mergeCells count="1">
    <mergeCell ref="C1:C2"/>
  </mergeCells>
  <phoneticPr fontId="101" type="noConversion"/>
  <conditionalFormatting sqref="G16:N65578">
    <cfRule type="cellIs" dxfId="22" priority="5" operator="lessThan">
      <formula>0</formula>
    </cfRule>
  </conditionalFormatting>
  <conditionalFormatting sqref="H4:N15 G1:N2 G3:G15 P32 M177:M178">
    <cfRule type="cellIs" dxfId="21" priority="82" operator="lessThan">
      <formula>0</formula>
    </cfRule>
  </conditionalFormatting>
  <conditionalFormatting sqref="N4:N182">
    <cfRule type="cellIs" dxfId="20" priority="4" stopIfTrue="1" operator="notEqual">
      <formula>0</formula>
    </cfRule>
  </conditionalFormatting>
  <conditionalFormatting sqref="P3">
    <cfRule type="cellIs" dxfId="19" priority="1" operator="lessThan">
      <formula>0</formula>
    </cfRule>
  </conditionalFormatting>
  <pageMargins left="0.19685039370078741" right="0" top="0.78740157480314965" bottom="0" header="0.31496062992125984" footer="0.31496062992125984"/>
  <pageSetup paperSize="9" scale="56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/>
  <dimension ref="A1:L1143"/>
  <sheetViews>
    <sheetView zoomScale="80" zoomScaleNormal="80" workbookViewId="0">
      <pane ySplit="28" topLeftCell="A100" activePane="bottomLeft" state="frozen"/>
      <selection activeCell="F32" activeCellId="1" sqref="B32:C32 F32"/>
      <selection pane="bottomLeft" activeCell="F111" sqref="F111"/>
    </sheetView>
  </sheetViews>
  <sheetFormatPr defaultRowHeight="14.25" customHeight="1" x14ac:dyDescent="0.3"/>
  <cols>
    <col min="1" max="1" width="8.625" style="137" customWidth="1"/>
    <col min="2" max="2" width="10.625" style="138" customWidth="1"/>
    <col min="3" max="3" width="40.75" style="139" bestFit="1" customWidth="1"/>
    <col min="4" max="5" width="19.25" style="139" customWidth="1"/>
    <col min="6" max="6" width="19.25" style="173" customWidth="1"/>
    <col min="7" max="7" width="9" style="141" customWidth="1"/>
    <col min="8" max="8" width="9" style="16" customWidth="1"/>
    <col min="9" max="9" width="13.125" style="16" bestFit="1" customWidth="1"/>
    <col min="10" max="10" width="11.125" style="16" bestFit="1" customWidth="1"/>
    <col min="11" max="256" width="9" style="16"/>
    <col min="257" max="257" width="8.625" style="16" customWidth="1"/>
    <col min="258" max="258" width="10.625" style="16" customWidth="1"/>
    <col min="259" max="259" width="35.125" style="16" bestFit="1" customWidth="1"/>
    <col min="260" max="260" width="12.375" style="16" customWidth="1"/>
    <col min="261" max="261" width="11" style="16" customWidth="1"/>
    <col min="262" max="262" width="13.625" style="16" bestFit="1" customWidth="1"/>
    <col min="263" max="264" width="9" style="16" customWidth="1"/>
    <col min="265" max="265" width="13.125" style="16" bestFit="1" customWidth="1"/>
    <col min="266" max="266" width="11.125" style="16" bestFit="1" customWidth="1"/>
    <col min="267" max="512" width="9" style="16"/>
    <col min="513" max="513" width="8.625" style="16" customWidth="1"/>
    <col min="514" max="514" width="10.625" style="16" customWidth="1"/>
    <col min="515" max="515" width="35.125" style="16" bestFit="1" customWidth="1"/>
    <col min="516" max="516" width="12.375" style="16" customWidth="1"/>
    <col min="517" max="517" width="11" style="16" customWidth="1"/>
    <col min="518" max="518" width="13.625" style="16" bestFit="1" customWidth="1"/>
    <col min="519" max="520" width="9" style="16" customWidth="1"/>
    <col min="521" max="521" width="13.125" style="16" bestFit="1" customWidth="1"/>
    <col min="522" max="522" width="11.125" style="16" bestFit="1" customWidth="1"/>
    <col min="523" max="768" width="9" style="16"/>
    <col min="769" max="769" width="8.625" style="16" customWidth="1"/>
    <col min="770" max="770" width="10.625" style="16" customWidth="1"/>
    <col min="771" max="771" width="35.125" style="16" bestFit="1" customWidth="1"/>
    <col min="772" max="772" width="12.375" style="16" customWidth="1"/>
    <col min="773" max="773" width="11" style="16" customWidth="1"/>
    <col min="774" max="774" width="13.625" style="16" bestFit="1" customWidth="1"/>
    <col min="775" max="776" width="9" style="16" customWidth="1"/>
    <col min="777" max="777" width="13.125" style="16" bestFit="1" customWidth="1"/>
    <col min="778" max="778" width="11.125" style="16" bestFit="1" customWidth="1"/>
    <col min="779" max="1024" width="9" style="16"/>
    <col min="1025" max="1025" width="8.625" style="16" customWidth="1"/>
    <col min="1026" max="1026" width="10.625" style="16" customWidth="1"/>
    <col min="1027" max="1027" width="35.125" style="16" bestFit="1" customWidth="1"/>
    <col min="1028" max="1028" width="12.375" style="16" customWidth="1"/>
    <col min="1029" max="1029" width="11" style="16" customWidth="1"/>
    <col min="1030" max="1030" width="13.625" style="16" bestFit="1" customWidth="1"/>
    <col min="1031" max="1032" width="9" style="16" customWidth="1"/>
    <col min="1033" max="1033" width="13.125" style="16" bestFit="1" customWidth="1"/>
    <col min="1034" max="1034" width="11.125" style="16" bestFit="1" customWidth="1"/>
    <col min="1035" max="1280" width="9" style="16"/>
    <col min="1281" max="1281" width="8.625" style="16" customWidth="1"/>
    <col min="1282" max="1282" width="10.625" style="16" customWidth="1"/>
    <col min="1283" max="1283" width="35.125" style="16" bestFit="1" customWidth="1"/>
    <col min="1284" max="1284" width="12.375" style="16" customWidth="1"/>
    <col min="1285" max="1285" width="11" style="16" customWidth="1"/>
    <col min="1286" max="1286" width="13.625" style="16" bestFit="1" customWidth="1"/>
    <col min="1287" max="1288" width="9" style="16" customWidth="1"/>
    <col min="1289" max="1289" width="13.125" style="16" bestFit="1" customWidth="1"/>
    <col min="1290" max="1290" width="11.125" style="16" bestFit="1" customWidth="1"/>
    <col min="1291" max="1536" width="9" style="16"/>
    <col min="1537" max="1537" width="8.625" style="16" customWidth="1"/>
    <col min="1538" max="1538" width="10.625" style="16" customWidth="1"/>
    <col min="1539" max="1539" width="35.125" style="16" bestFit="1" customWidth="1"/>
    <col min="1540" max="1540" width="12.375" style="16" customWidth="1"/>
    <col min="1541" max="1541" width="11" style="16" customWidth="1"/>
    <col min="1542" max="1542" width="13.625" style="16" bestFit="1" customWidth="1"/>
    <col min="1543" max="1544" width="9" style="16" customWidth="1"/>
    <col min="1545" max="1545" width="13.125" style="16" bestFit="1" customWidth="1"/>
    <col min="1546" max="1546" width="11.125" style="16" bestFit="1" customWidth="1"/>
    <col min="1547" max="1792" width="9" style="16"/>
    <col min="1793" max="1793" width="8.625" style="16" customWidth="1"/>
    <col min="1794" max="1794" width="10.625" style="16" customWidth="1"/>
    <col min="1795" max="1795" width="35.125" style="16" bestFit="1" customWidth="1"/>
    <col min="1796" max="1796" width="12.375" style="16" customWidth="1"/>
    <col min="1797" max="1797" width="11" style="16" customWidth="1"/>
    <col min="1798" max="1798" width="13.625" style="16" bestFit="1" customWidth="1"/>
    <col min="1799" max="1800" width="9" style="16" customWidth="1"/>
    <col min="1801" max="1801" width="13.125" style="16" bestFit="1" customWidth="1"/>
    <col min="1802" max="1802" width="11.125" style="16" bestFit="1" customWidth="1"/>
    <col min="1803" max="2048" width="9" style="16"/>
    <col min="2049" max="2049" width="8.625" style="16" customWidth="1"/>
    <col min="2050" max="2050" width="10.625" style="16" customWidth="1"/>
    <col min="2051" max="2051" width="35.125" style="16" bestFit="1" customWidth="1"/>
    <col min="2052" max="2052" width="12.375" style="16" customWidth="1"/>
    <col min="2053" max="2053" width="11" style="16" customWidth="1"/>
    <col min="2054" max="2054" width="13.625" style="16" bestFit="1" customWidth="1"/>
    <col min="2055" max="2056" width="9" style="16" customWidth="1"/>
    <col min="2057" max="2057" width="13.125" style="16" bestFit="1" customWidth="1"/>
    <col min="2058" max="2058" width="11.125" style="16" bestFit="1" customWidth="1"/>
    <col min="2059" max="2304" width="9" style="16"/>
    <col min="2305" max="2305" width="8.625" style="16" customWidth="1"/>
    <col min="2306" max="2306" width="10.625" style="16" customWidth="1"/>
    <col min="2307" max="2307" width="35.125" style="16" bestFit="1" customWidth="1"/>
    <col min="2308" max="2308" width="12.375" style="16" customWidth="1"/>
    <col min="2309" max="2309" width="11" style="16" customWidth="1"/>
    <col min="2310" max="2310" width="13.625" style="16" bestFit="1" customWidth="1"/>
    <col min="2311" max="2312" width="9" style="16" customWidth="1"/>
    <col min="2313" max="2313" width="13.125" style="16" bestFit="1" customWidth="1"/>
    <col min="2314" max="2314" width="11.125" style="16" bestFit="1" customWidth="1"/>
    <col min="2315" max="2560" width="9" style="16"/>
    <col min="2561" max="2561" width="8.625" style="16" customWidth="1"/>
    <col min="2562" max="2562" width="10.625" style="16" customWidth="1"/>
    <col min="2563" max="2563" width="35.125" style="16" bestFit="1" customWidth="1"/>
    <col min="2564" max="2564" width="12.375" style="16" customWidth="1"/>
    <col min="2565" max="2565" width="11" style="16" customWidth="1"/>
    <col min="2566" max="2566" width="13.625" style="16" bestFit="1" customWidth="1"/>
    <col min="2567" max="2568" width="9" style="16" customWidth="1"/>
    <col min="2569" max="2569" width="13.125" style="16" bestFit="1" customWidth="1"/>
    <col min="2570" max="2570" width="11.125" style="16" bestFit="1" customWidth="1"/>
    <col min="2571" max="2816" width="9" style="16"/>
    <col min="2817" max="2817" width="8.625" style="16" customWidth="1"/>
    <col min="2818" max="2818" width="10.625" style="16" customWidth="1"/>
    <col min="2819" max="2819" width="35.125" style="16" bestFit="1" customWidth="1"/>
    <col min="2820" max="2820" width="12.375" style="16" customWidth="1"/>
    <col min="2821" max="2821" width="11" style="16" customWidth="1"/>
    <col min="2822" max="2822" width="13.625" style="16" bestFit="1" customWidth="1"/>
    <col min="2823" max="2824" width="9" style="16" customWidth="1"/>
    <col min="2825" max="2825" width="13.125" style="16" bestFit="1" customWidth="1"/>
    <col min="2826" max="2826" width="11.125" style="16" bestFit="1" customWidth="1"/>
    <col min="2827" max="3072" width="9" style="16"/>
    <col min="3073" max="3073" width="8.625" style="16" customWidth="1"/>
    <col min="3074" max="3074" width="10.625" style="16" customWidth="1"/>
    <col min="3075" max="3075" width="35.125" style="16" bestFit="1" customWidth="1"/>
    <col min="3076" max="3076" width="12.375" style="16" customWidth="1"/>
    <col min="3077" max="3077" width="11" style="16" customWidth="1"/>
    <col min="3078" max="3078" width="13.625" style="16" bestFit="1" customWidth="1"/>
    <col min="3079" max="3080" width="9" style="16" customWidth="1"/>
    <col min="3081" max="3081" width="13.125" style="16" bestFit="1" customWidth="1"/>
    <col min="3082" max="3082" width="11.125" style="16" bestFit="1" customWidth="1"/>
    <col min="3083" max="3328" width="9" style="16"/>
    <col min="3329" max="3329" width="8.625" style="16" customWidth="1"/>
    <col min="3330" max="3330" width="10.625" style="16" customWidth="1"/>
    <col min="3331" max="3331" width="35.125" style="16" bestFit="1" customWidth="1"/>
    <col min="3332" max="3332" width="12.375" style="16" customWidth="1"/>
    <col min="3333" max="3333" width="11" style="16" customWidth="1"/>
    <col min="3334" max="3334" width="13.625" style="16" bestFit="1" customWidth="1"/>
    <col min="3335" max="3336" width="9" style="16" customWidth="1"/>
    <col min="3337" max="3337" width="13.125" style="16" bestFit="1" customWidth="1"/>
    <col min="3338" max="3338" width="11.125" style="16" bestFit="1" customWidth="1"/>
    <col min="3339" max="3584" width="9" style="16"/>
    <col min="3585" max="3585" width="8.625" style="16" customWidth="1"/>
    <col min="3586" max="3586" width="10.625" style="16" customWidth="1"/>
    <col min="3587" max="3587" width="35.125" style="16" bestFit="1" customWidth="1"/>
    <col min="3588" max="3588" width="12.375" style="16" customWidth="1"/>
    <col min="3589" max="3589" width="11" style="16" customWidth="1"/>
    <col min="3590" max="3590" width="13.625" style="16" bestFit="1" customWidth="1"/>
    <col min="3591" max="3592" width="9" style="16" customWidth="1"/>
    <col min="3593" max="3593" width="13.125" style="16" bestFit="1" customWidth="1"/>
    <col min="3594" max="3594" width="11.125" style="16" bestFit="1" customWidth="1"/>
    <col min="3595" max="3840" width="9" style="16"/>
    <col min="3841" max="3841" width="8.625" style="16" customWidth="1"/>
    <col min="3842" max="3842" width="10.625" style="16" customWidth="1"/>
    <col min="3843" max="3843" width="35.125" style="16" bestFit="1" customWidth="1"/>
    <col min="3844" max="3844" width="12.375" style="16" customWidth="1"/>
    <col min="3845" max="3845" width="11" style="16" customWidth="1"/>
    <col min="3846" max="3846" width="13.625" style="16" bestFit="1" customWidth="1"/>
    <col min="3847" max="3848" width="9" style="16" customWidth="1"/>
    <col min="3849" max="3849" width="13.125" style="16" bestFit="1" customWidth="1"/>
    <col min="3850" max="3850" width="11.125" style="16" bestFit="1" customWidth="1"/>
    <col min="3851" max="4096" width="9" style="16"/>
    <col min="4097" max="4097" width="8.625" style="16" customWidth="1"/>
    <col min="4098" max="4098" width="10.625" style="16" customWidth="1"/>
    <col min="4099" max="4099" width="35.125" style="16" bestFit="1" customWidth="1"/>
    <col min="4100" max="4100" width="12.375" style="16" customWidth="1"/>
    <col min="4101" max="4101" width="11" style="16" customWidth="1"/>
    <col min="4102" max="4102" width="13.625" style="16" bestFit="1" customWidth="1"/>
    <col min="4103" max="4104" width="9" style="16" customWidth="1"/>
    <col min="4105" max="4105" width="13.125" style="16" bestFit="1" customWidth="1"/>
    <col min="4106" max="4106" width="11.125" style="16" bestFit="1" customWidth="1"/>
    <col min="4107" max="4352" width="9" style="16"/>
    <col min="4353" max="4353" width="8.625" style="16" customWidth="1"/>
    <col min="4354" max="4354" width="10.625" style="16" customWidth="1"/>
    <col min="4355" max="4355" width="35.125" style="16" bestFit="1" customWidth="1"/>
    <col min="4356" max="4356" width="12.375" style="16" customWidth="1"/>
    <col min="4357" max="4357" width="11" style="16" customWidth="1"/>
    <col min="4358" max="4358" width="13.625" style="16" bestFit="1" customWidth="1"/>
    <col min="4359" max="4360" width="9" style="16" customWidth="1"/>
    <col min="4361" max="4361" width="13.125" style="16" bestFit="1" customWidth="1"/>
    <col min="4362" max="4362" width="11.125" style="16" bestFit="1" customWidth="1"/>
    <col min="4363" max="4608" width="9" style="16"/>
    <col min="4609" max="4609" width="8.625" style="16" customWidth="1"/>
    <col min="4610" max="4610" width="10.625" style="16" customWidth="1"/>
    <col min="4611" max="4611" width="35.125" style="16" bestFit="1" customWidth="1"/>
    <col min="4612" max="4612" width="12.375" style="16" customWidth="1"/>
    <col min="4613" max="4613" width="11" style="16" customWidth="1"/>
    <col min="4614" max="4614" width="13.625" style="16" bestFit="1" customWidth="1"/>
    <col min="4615" max="4616" width="9" style="16" customWidth="1"/>
    <col min="4617" max="4617" width="13.125" style="16" bestFit="1" customWidth="1"/>
    <col min="4618" max="4618" width="11.125" style="16" bestFit="1" customWidth="1"/>
    <col min="4619" max="4864" width="9" style="16"/>
    <col min="4865" max="4865" width="8.625" style="16" customWidth="1"/>
    <col min="4866" max="4866" width="10.625" style="16" customWidth="1"/>
    <col min="4867" max="4867" width="35.125" style="16" bestFit="1" customWidth="1"/>
    <col min="4868" max="4868" width="12.375" style="16" customWidth="1"/>
    <col min="4869" max="4869" width="11" style="16" customWidth="1"/>
    <col min="4870" max="4870" width="13.625" style="16" bestFit="1" customWidth="1"/>
    <col min="4871" max="4872" width="9" style="16" customWidth="1"/>
    <col min="4873" max="4873" width="13.125" style="16" bestFit="1" customWidth="1"/>
    <col min="4874" max="4874" width="11.125" style="16" bestFit="1" customWidth="1"/>
    <col min="4875" max="5120" width="9" style="16"/>
    <col min="5121" max="5121" width="8.625" style="16" customWidth="1"/>
    <col min="5122" max="5122" width="10.625" style="16" customWidth="1"/>
    <col min="5123" max="5123" width="35.125" style="16" bestFit="1" customWidth="1"/>
    <col min="5124" max="5124" width="12.375" style="16" customWidth="1"/>
    <col min="5125" max="5125" width="11" style="16" customWidth="1"/>
    <col min="5126" max="5126" width="13.625" style="16" bestFit="1" customWidth="1"/>
    <col min="5127" max="5128" width="9" style="16" customWidth="1"/>
    <col min="5129" max="5129" width="13.125" style="16" bestFit="1" customWidth="1"/>
    <col min="5130" max="5130" width="11.125" style="16" bestFit="1" customWidth="1"/>
    <col min="5131" max="5376" width="9" style="16"/>
    <col min="5377" max="5377" width="8.625" style="16" customWidth="1"/>
    <col min="5378" max="5378" width="10.625" style="16" customWidth="1"/>
    <col min="5379" max="5379" width="35.125" style="16" bestFit="1" customWidth="1"/>
    <col min="5380" max="5380" width="12.375" style="16" customWidth="1"/>
    <col min="5381" max="5381" width="11" style="16" customWidth="1"/>
    <col min="5382" max="5382" width="13.625" style="16" bestFit="1" customWidth="1"/>
    <col min="5383" max="5384" width="9" style="16" customWidth="1"/>
    <col min="5385" max="5385" width="13.125" style="16" bestFit="1" customWidth="1"/>
    <col min="5386" max="5386" width="11.125" style="16" bestFit="1" customWidth="1"/>
    <col min="5387" max="5632" width="9" style="16"/>
    <col min="5633" max="5633" width="8.625" style="16" customWidth="1"/>
    <col min="5634" max="5634" width="10.625" style="16" customWidth="1"/>
    <col min="5635" max="5635" width="35.125" style="16" bestFit="1" customWidth="1"/>
    <col min="5636" max="5636" width="12.375" style="16" customWidth="1"/>
    <col min="5637" max="5637" width="11" style="16" customWidth="1"/>
    <col min="5638" max="5638" width="13.625" style="16" bestFit="1" customWidth="1"/>
    <col min="5639" max="5640" width="9" style="16" customWidth="1"/>
    <col min="5641" max="5641" width="13.125" style="16" bestFit="1" customWidth="1"/>
    <col min="5642" max="5642" width="11.125" style="16" bestFit="1" customWidth="1"/>
    <col min="5643" max="5888" width="9" style="16"/>
    <col min="5889" max="5889" width="8.625" style="16" customWidth="1"/>
    <col min="5890" max="5890" width="10.625" style="16" customWidth="1"/>
    <col min="5891" max="5891" width="35.125" style="16" bestFit="1" customWidth="1"/>
    <col min="5892" max="5892" width="12.375" style="16" customWidth="1"/>
    <col min="5893" max="5893" width="11" style="16" customWidth="1"/>
    <col min="5894" max="5894" width="13.625" style="16" bestFit="1" customWidth="1"/>
    <col min="5895" max="5896" width="9" style="16" customWidth="1"/>
    <col min="5897" max="5897" width="13.125" style="16" bestFit="1" customWidth="1"/>
    <col min="5898" max="5898" width="11.125" style="16" bestFit="1" customWidth="1"/>
    <col min="5899" max="6144" width="9" style="16"/>
    <col min="6145" max="6145" width="8.625" style="16" customWidth="1"/>
    <col min="6146" max="6146" width="10.625" style="16" customWidth="1"/>
    <col min="6147" max="6147" width="35.125" style="16" bestFit="1" customWidth="1"/>
    <col min="6148" max="6148" width="12.375" style="16" customWidth="1"/>
    <col min="6149" max="6149" width="11" style="16" customWidth="1"/>
    <col min="6150" max="6150" width="13.625" style="16" bestFit="1" customWidth="1"/>
    <col min="6151" max="6152" width="9" style="16" customWidth="1"/>
    <col min="6153" max="6153" width="13.125" style="16" bestFit="1" customWidth="1"/>
    <col min="6154" max="6154" width="11.125" style="16" bestFit="1" customWidth="1"/>
    <col min="6155" max="6400" width="9" style="16"/>
    <col min="6401" max="6401" width="8.625" style="16" customWidth="1"/>
    <col min="6402" max="6402" width="10.625" style="16" customWidth="1"/>
    <col min="6403" max="6403" width="35.125" style="16" bestFit="1" customWidth="1"/>
    <col min="6404" max="6404" width="12.375" style="16" customWidth="1"/>
    <col min="6405" max="6405" width="11" style="16" customWidth="1"/>
    <col min="6406" max="6406" width="13.625" style="16" bestFit="1" customWidth="1"/>
    <col min="6407" max="6408" width="9" style="16" customWidth="1"/>
    <col min="6409" max="6409" width="13.125" style="16" bestFit="1" customWidth="1"/>
    <col min="6410" max="6410" width="11.125" style="16" bestFit="1" customWidth="1"/>
    <col min="6411" max="6656" width="9" style="16"/>
    <col min="6657" max="6657" width="8.625" style="16" customWidth="1"/>
    <col min="6658" max="6658" width="10.625" style="16" customWidth="1"/>
    <col min="6659" max="6659" width="35.125" style="16" bestFit="1" customWidth="1"/>
    <col min="6660" max="6660" width="12.375" style="16" customWidth="1"/>
    <col min="6661" max="6661" width="11" style="16" customWidth="1"/>
    <col min="6662" max="6662" width="13.625" style="16" bestFit="1" customWidth="1"/>
    <col min="6663" max="6664" width="9" style="16" customWidth="1"/>
    <col min="6665" max="6665" width="13.125" style="16" bestFit="1" customWidth="1"/>
    <col min="6666" max="6666" width="11.125" style="16" bestFit="1" customWidth="1"/>
    <col min="6667" max="6912" width="9" style="16"/>
    <col min="6913" max="6913" width="8.625" style="16" customWidth="1"/>
    <col min="6914" max="6914" width="10.625" style="16" customWidth="1"/>
    <col min="6915" max="6915" width="35.125" style="16" bestFit="1" customWidth="1"/>
    <col min="6916" max="6916" width="12.375" style="16" customWidth="1"/>
    <col min="6917" max="6917" width="11" style="16" customWidth="1"/>
    <col min="6918" max="6918" width="13.625" style="16" bestFit="1" customWidth="1"/>
    <col min="6919" max="6920" width="9" style="16" customWidth="1"/>
    <col min="6921" max="6921" width="13.125" style="16" bestFit="1" customWidth="1"/>
    <col min="6922" max="6922" width="11.125" style="16" bestFit="1" customWidth="1"/>
    <col min="6923" max="7168" width="9" style="16"/>
    <col min="7169" max="7169" width="8.625" style="16" customWidth="1"/>
    <col min="7170" max="7170" width="10.625" style="16" customWidth="1"/>
    <col min="7171" max="7171" width="35.125" style="16" bestFit="1" customWidth="1"/>
    <col min="7172" max="7172" width="12.375" style="16" customWidth="1"/>
    <col min="7173" max="7173" width="11" style="16" customWidth="1"/>
    <col min="7174" max="7174" width="13.625" style="16" bestFit="1" customWidth="1"/>
    <col min="7175" max="7176" width="9" style="16" customWidth="1"/>
    <col min="7177" max="7177" width="13.125" style="16" bestFit="1" customWidth="1"/>
    <col min="7178" max="7178" width="11.125" style="16" bestFit="1" customWidth="1"/>
    <col min="7179" max="7424" width="9" style="16"/>
    <col min="7425" max="7425" width="8.625" style="16" customWidth="1"/>
    <col min="7426" max="7426" width="10.625" style="16" customWidth="1"/>
    <col min="7427" max="7427" width="35.125" style="16" bestFit="1" customWidth="1"/>
    <col min="7428" max="7428" width="12.375" style="16" customWidth="1"/>
    <col min="7429" max="7429" width="11" style="16" customWidth="1"/>
    <col min="7430" max="7430" width="13.625" style="16" bestFit="1" customWidth="1"/>
    <col min="7431" max="7432" width="9" style="16" customWidth="1"/>
    <col min="7433" max="7433" width="13.125" style="16" bestFit="1" customWidth="1"/>
    <col min="7434" max="7434" width="11.125" style="16" bestFit="1" customWidth="1"/>
    <col min="7435" max="7680" width="9" style="16"/>
    <col min="7681" max="7681" width="8.625" style="16" customWidth="1"/>
    <col min="7682" max="7682" width="10.625" style="16" customWidth="1"/>
    <col min="7683" max="7683" width="35.125" style="16" bestFit="1" customWidth="1"/>
    <col min="7684" max="7684" width="12.375" style="16" customWidth="1"/>
    <col min="7685" max="7685" width="11" style="16" customWidth="1"/>
    <col min="7686" max="7686" width="13.625" style="16" bestFit="1" customWidth="1"/>
    <col min="7687" max="7688" width="9" style="16" customWidth="1"/>
    <col min="7689" max="7689" width="13.125" style="16" bestFit="1" customWidth="1"/>
    <col min="7690" max="7690" width="11.125" style="16" bestFit="1" customWidth="1"/>
    <col min="7691" max="7936" width="9" style="16"/>
    <col min="7937" max="7937" width="8.625" style="16" customWidth="1"/>
    <col min="7938" max="7938" width="10.625" style="16" customWidth="1"/>
    <col min="7939" max="7939" width="35.125" style="16" bestFit="1" customWidth="1"/>
    <col min="7940" max="7940" width="12.375" style="16" customWidth="1"/>
    <col min="7941" max="7941" width="11" style="16" customWidth="1"/>
    <col min="7942" max="7942" width="13.625" style="16" bestFit="1" customWidth="1"/>
    <col min="7943" max="7944" width="9" style="16" customWidth="1"/>
    <col min="7945" max="7945" width="13.125" style="16" bestFit="1" customWidth="1"/>
    <col min="7946" max="7946" width="11.125" style="16" bestFit="1" customWidth="1"/>
    <col min="7947" max="8192" width="9" style="16"/>
    <col min="8193" max="8193" width="8.625" style="16" customWidth="1"/>
    <col min="8194" max="8194" width="10.625" style="16" customWidth="1"/>
    <col min="8195" max="8195" width="35.125" style="16" bestFit="1" customWidth="1"/>
    <col min="8196" max="8196" width="12.375" style="16" customWidth="1"/>
    <col min="8197" max="8197" width="11" style="16" customWidth="1"/>
    <col min="8198" max="8198" width="13.625" style="16" bestFit="1" customWidth="1"/>
    <col min="8199" max="8200" width="9" style="16" customWidth="1"/>
    <col min="8201" max="8201" width="13.125" style="16" bestFit="1" customWidth="1"/>
    <col min="8202" max="8202" width="11.125" style="16" bestFit="1" customWidth="1"/>
    <col min="8203" max="8448" width="9" style="16"/>
    <col min="8449" max="8449" width="8.625" style="16" customWidth="1"/>
    <col min="8450" max="8450" width="10.625" style="16" customWidth="1"/>
    <col min="8451" max="8451" width="35.125" style="16" bestFit="1" customWidth="1"/>
    <col min="8452" max="8452" width="12.375" style="16" customWidth="1"/>
    <col min="8453" max="8453" width="11" style="16" customWidth="1"/>
    <col min="8454" max="8454" width="13.625" style="16" bestFit="1" customWidth="1"/>
    <col min="8455" max="8456" width="9" style="16" customWidth="1"/>
    <col min="8457" max="8457" width="13.125" style="16" bestFit="1" customWidth="1"/>
    <col min="8458" max="8458" width="11.125" style="16" bestFit="1" customWidth="1"/>
    <col min="8459" max="8704" width="9" style="16"/>
    <col min="8705" max="8705" width="8.625" style="16" customWidth="1"/>
    <col min="8706" max="8706" width="10.625" style="16" customWidth="1"/>
    <col min="8707" max="8707" width="35.125" style="16" bestFit="1" customWidth="1"/>
    <col min="8708" max="8708" width="12.375" style="16" customWidth="1"/>
    <col min="8709" max="8709" width="11" style="16" customWidth="1"/>
    <col min="8710" max="8710" width="13.625" style="16" bestFit="1" customWidth="1"/>
    <col min="8711" max="8712" width="9" style="16" customWidth="1"/>
    <col min="8713" max="8713" width="13.125" style="16" bestFit="1" customWidth="1"/>
    <col min="8714" max="8714" width="11.125" style="16" bestFit="1" customWidth="1"/>
    <col min="8715" max="8960" width="9" style="16"/>
    <col min="8961" max="8961" width="8.625" style="16" customWidth="1"/>
    <col min="8962" max="8962" width="10.625" style="16" customWidth="1"/>
    <col min="8963" max="8963" width="35.125" style="16" bestFit="1" customWidth="1"/>
    <col min="8964" max="8964" width="12.375" style="16" customWidth="1"/>
    <col min="8965" max="8965" width="11" style="16" customWidth="1"/>
    <col min="8966" max="8966" width="13.625" style="16" bestFit="1" customWidth="1"/>
    <col min="8967" max="8968" width="9" style="16" customWidth="1"/>
    <col min="8969" max="8969" width="13.125" style="16" bestFit="1" customWidth="1"/>
    <col min="8970" max="8970" width="11.125" style="16" bestFit="1" customWidth="1"/>
    <col min="8971" max="9216" width="9" style="16"/>
    <col min="9217" max="9217" width="8.625" style="16" customWidth="1"/>
    <col min="9218" max="9218" width="10.625" style="16" customWidth="1"/>
    <col min="9219" max="9219" width="35.125" style="16" bestFit="1" customWidth="1"/>
    <col min="9220" max="9220" width="12.375" style="16" customWidth="1"/>
    <col min="9221" max="9221" width="11" style="16" customWidth="1"/>
    <col min="9222" max="9222" width="13.625" style="16" bestFit="1" customWidth="1"/>
    <col min="9223" max="9224" width="9" style="16" customWidth="1"/>
    <col min="9225" max="9225" width="13.125" style="16" bestFit="1" customWidth="1"/>
    <col min="9226" max="9226" width="11.125" style="16" bestFit="1" customWidth="1"/>
    <col min="9227" max="9472" width="9" style="16"/>
    <col min="9473" max="9473" width="8.625" style="16" customWidth="1"/>
    <col min="9474" max="9474" width="10.625" style="16" customWidth="1"/>
    <col min="9475" max="9475" width="35.125" style="16" bestFit="1" customWidth="1"/>
    <col min="9476" max="9476" width="12.375" style="16" customWidth="1"/>
    <col min="9477" max="9477" width="11" style="16" customWidth="1"/>
    <col min="9478" max="9478" width="13.625" style="16" bestFit="1" customWidth="1"/>
    <col min="9479" max="9480" width="9" style="16" customWidth="1"/>
    <col min="9481" max="9481" width="13.125" style="16" bestFit="1" customWidth="1"/>
    <col min="9482" max="9482" width="11.125" style="16" bestFit="1" customWidth="1"/>
    <col min="9483" max="9728" width="9" style="16"/>
    <col min="9729" max="9729" width="8.625" style="16" customWidth="1"/>
    <col min="9730" max="9730" width="10.625" style="16" customWidth="1"/>
    <col min="9731" max="9731" width="35.125" style="16" bestFit="1" customWidth="1"/>
    <col min="9732" max="9732" width="12.375" style="16" customWidth="1"/>
    <col min="9733" max="9733" width="11" style="16" customWidth="1"/>
    <col min="9734" max="9734" width="13.625" style="16" bestFit="1" customWidth="1"/>
    <col min="9735" max="9736" width="9" style="16" customWidth="1"/>
    <col min="9737" max="9737" width="13.125" style="16" bestFit="1" customWidth="1"/>
    <col min="9738" max="9738" width="11.125" style="16" bestFit="1" customWidth="1"/>
    <col min="9739" max="9984" width="9" style="16"/>
    <col min="9985" max="9985" width="8.625" style="16" customWidth="1"/>
    <col min="9986" max="9986" width="10.625" style="16" customWidth="1"/>
    <col min="9987" max="9987" width="35.125" style="16" bestFit="1" customWidth="1"/>
    <col min="9988" max="9988" width="12.375" style="16" customWidth="1"/>
    <col min="9989" max="9989" width="11" style="16" customWidth="1"/>
    <col min="9990" max="9990" width="13.625" style="16" bestFit="1" customWidth="1"/>
    <col min="9991" max="9992" width="9" style="16" customWidth="1"/>
    <col min="9993" max="9993" width="13.125" style="16" bestFit="1" customWidth="1"/>
    <col min="9994" max="9994" width="11.125" style="16" bestFit="1" customWidth="1"/>
    <col min="9995" max="10240" width="9" style="16"/>
    <col min="10241" max="10241" width="8.625" style="16" customWidth="1"/>
    <col min="10242" max="10242" width="10.625" style="16" customWidth="1"/>
    <col min="10243" max="10243" width="35.125" style="16" bestFit="1" customWidth="1"/>
    <col min="10244" max="10244" width="12.375" style="16" customWidth="1"/>
    <col min="10245" max="10245" width="11" style="16" customWidth="1"/>
    <col min="10246" max="10246" width="13.625" style="16" bestFit="1" customWidth="1"/>
    <col min="10247" max="10248" width="9" style="16" customWidth="1"/>
    <col min="10249" max="10249" width="13.125" style="16" bestFit="1" customWidth="1"/>
    <col min="10250" max="10250" width="11.125" style="16" bestFit="1" customWidth="1"/>
    <col min="10251" max="10496" width="9" style="16"/>
    <col min="10497" max="10497" width="8.625" style="16" customWidth="1"/>
    <col min="10498" max="10498" width="10.625" style="16" customWidth="1"/>
    <col min="10499" max="10499" width="35.125" style="16" bestFit="1" customWidth="1"/>
    <col min="10500" max="10500" width="12.375" style="16" customWidth="1"/>
    <col min="10501" max="10501" width="11" style="16" customWidth="1"/>
    <col min="10502" max="10502" width="13.625" style="16" bestFit="1" customWidth="1"/>
    <col min="10503" max="10504" width="9" style="16" customWidth="1"/>
    <col min="10505" max="10505" width="13.125" style="16" bestFit="1" customWidth="1"/>
    <col min="10506" max="10506" width="11.125" style="16" bestFit="1" customWidth="1"/>
    <col min="10507" max="10752" width="9" style="16"/>
    <col min="10753" max="10753" width="8.625" style="16" customWidth="1"/>
    <col min="10754" max="10754" width="10.625" style="16" customWidth="1"/>
    <col min="10755" max="10755" width="35.125" style="16" bestFit="1" customWidth="1"/>
    <col min="10756" max="10756" width="12.375" style="16" customWidth="1"/>
    <col min="10757" max="10757" width="11" style="16" customWidth="1"/>
    <col min="10758" max="10758" width="13.625" style="16" bestFit="1" customWidth="1"/>
    <col min="10759" max="10760" width="9" style="16" customWidth="1"/>
    <col min="10761" max="10761" width="13.125" style="16" bestFit="1" customWidth="1"/>
    <col min="10762" max="10762" width="11.125" style="16" bestFit="1" customWidth="1"/>
    <col min="10763" max="11008" width="9" style="16"/>
    <col min="11009" max="11009" width="8.625" style="16" customWidth="1"/>
    <col min="11010" max="11010" width="10.625" style="16" customWidth="1"/>
    <col min="11011" max="11011" width="35.125" style="16" bestFit="1" customWidth="1"/>
    <col min="11012" max="11012" width="12.375" style="16" customWidth="1"/>
    <col min="11013" max="11013" width="11" style="16" customWidth="1"/>
    <col min="11014" max="11014" width="13.625" style="16" bestFit="1" customWidth="1"/>
    <col min="11015" max="11016" width="9" style="16" customWidth="1"/>
    <col min="11017" max="11017" width="13.125" style="16" bestFit="1" customWidth="1"/>
    <col min="11018" max="11018" width="11.125" style="16" bestFit="1" customWidth="1"/>
    <col min="11019" max="11264" width="9" style="16"/>
    <col min="11265" max="11265" width="8.625" style="16" customWidth="1"/>
    <col min="11266" max="11266" width="10.625" style="16" customWidth="1"/>
    <col min="11267" max="11267" width="35.125" style="16" bestFit="1" customWidth="1"/>
    <col min="11268" max="11268" width="12.375" style="16" customWidth="1"/>
    <col min="11269" max="11269" width="11" style="16" customWidth="1"/>
    <col min="11270" max="11270" width="13.625" style="16" bestFit="1" customWidth="1"/>
    <col min="11271" max="11272" width="9" style="16" customWidth="1"/>
    <col min="11273" max="11273" width="13.125" style="16" bestFit="1" customWidth="1"/>
    <col min="11274" max="11274" width="11.125" style="16" bestFit="1" customWidth="1"/>
    <col min="11275" max="11520" width="9" style="16"/>
    <col min="11521" max="11521" width="8.625" style="16" customWidth="1"/>
    <col min="11522" max="11522" width="10.625" style="16" customWidth="1"/>
    <col min="11523" max="11523" width="35.125" style="16" bestFit="1" customWidth="1"/>
    <col min="11524" max="11524" width="12.375" style="16" customWidth="1"/>
    <col min="11525" max="11525" width="11" style="16" customWidth="1"/>
    <col min="11526" max="11526" width="13.625" style="16" bestFit="1" customWidth="1"/>
    <col min="11527" max="11528" width="9" style="16" customWidth="1"/>
    <col min="11529" max="11529" width="13.125" style="16" bestFit="1" customWidth="1"/>
    <col min="11530" max="11530" width="11.125" style="16" bestFit="1" customWidth="1"/>
    <col min="11531" max="11776" width="9" style="16"/>
    <col min="11777" max="11777" width="8.625" style="16" customWidth="1"/>
    <col min="11778" max="11778" width="10.625" style="16" customWidth="1"/>
    <col min="11779" max="11779" width="35.125" style="16" bestFit="1" customWidth="1"/>
    <col min="11780" max="11780" width="12.375" style="16" customWidth="1"/>
    <col min="11781" max="11781" width="11" style="16" customWidth="1"/>
    <col min="11782" max="11782" width="13.625" style="16" bestFit="1" customWidth="1"/>
    <col min="11783" max="11784" width="9" style="16" customWidth="1"/>
    <col min="11785" max="11785" width="13.125" style="16" bestFit="1" customWidth="1"/>
    <col min="11786" max="11786" width="11.125" style="16" bestFit="1" customWidth="1"/>
    <col min="11787" max="12032" width="9" style="16"/>
    <col min="12033" max="12033" width="8.625" style="16" customWidth="1"/>
    <col min="12034" max="12034" width="10.625" style="16" customWidth="1"/>
    <col min="12035" max="12035" width="35.125" style="16" bestFit="1" customWidth="1"/>
    <col min="12036" max="12036" width="12.375" style="16" customWidth="1"/>
    <col min="12037" max="12037" width="11" style="16" customWidth="1"/>
    <col min="12038" max="12038" width="13.625" style="16" bestFit="1" customWidth="1"/>
    <col min="12039" max="12040" width="9" style="16" customWidth="1"/>
    <col min="12041" max="12041" width="13.125" style="16" bestFit="1" customWidth="1"/>
    <col min="12042" max="12042" width="11.125" style="16" bestFit="1" customWidth="1"/>
    <col min="12043" max="12288" width="9" style="16"/>
    <col min="12289" max="12289" width="8.625" style="16" customWidth="1"/>
    <col min="12290" max="12290" width="10.625" style="16" customWidth="1"/>
    <col min="12291" max="12291" width="35.125" style="16" bestFit="1" customWidth="1"/>
    <col min="12292" max="12292" width="12.375" style="16" customWidth="1"/>
    <col min="12293" max="12293" width="11" style="16" customWidth="1"/>
    <col min="12294" max="12294" width="13.625" style="16" bestFit="1" customWidth="1"/>
    <col min="12295" max="12296" width="9" style="16" customWidth="1"/>
    <col min="12297" max="12297" width="13.125" style="16" bestFit="1" customWidth="1"/>
    <col min="12298" max="12298" width="11.125" style="16" bestFit="1" customWidth="1"/>
    <col min="12299" max="12544" width="9" style="16"/>
    <col min="12545" max="12545" width="8.625" style="16" customWidth="1"/>
    <col min="12546" max="12546" width="10.625" style="16" customWidth="1"/>
    <col min="12547" max="12547" width="35.125" style="16" bestFit="1" customWidth="1"/>
    <col min="12548" max="12548" width="12.375" style="16" customWidth="1"/>
    <col min="12549" max="12549" width="11" style="16" customWidth="1"/>
    <col min="12550" max="12550" width="13.625" style="16" bestFit="1" customWidth="1"/>
    <col min="12551" max="12552" width="9" style="16" customWidth="1"/>
    <col min="12553" max="12553" width="13.125" style="16" bestFit="1" customWidth="1"/>
    <col min="12554" max="12554" width="11.125" style="16" bestFit="1" customWidth="1"/>
    <col min="12555" max="12800" width="9" style="16"/>
    <col min="12801" max="12801" width="8.625" style="16" customWidth="1"/>
    <col min="12802" max="12802" width="10.625" style="16" customWidth="1"/>
    <col min="12803" max="12803" width="35.125" style="16" bestFit="1" customWidth="1"/>
    <col min="12804" max="12804" width="12.375" style="16" customWidth="1"/>
    <col min="12805" max="12805" width="11" style="16" customWidth="1"/>
    <col min="12806" max="12806" width="13.625" style="16" bestFit="1" customWidth="1"/>
    <col min="12807" max="12808" width="9" style="16" customWidth="1"/>
    <col min="12809" max="12809" width="13.125" style="16" bestFit="1" customWidth="1"/>
    <col min="12810" max="12810" width="11.125" style="16" bestFit="1" customWidth="1"/>
    <col min="12811" max="13056" width="9" style="16"/>
    <col min="13057" max="13057" width="8.625" style="16" customWidth="1"/>
    <col min="13058" max="13058" width="10.625" style="16" customWidth="1"/>
    <col min="13059" max="13059" width="35.125" style="16" bestFit="1" customWidth="1"/>
    <col min="13060" max="13060" width="12.375" style="16" customWidth="1"/>
    <col min="13061" max="13061" width="11" style="16" customWidth="1"/>
    <col min="13062" max="13062" width="13.625" style="16" bestFit="1" customWidth="1"/>
    <col min="13063" max="13064" width="9" style="16" customWidth="1"/>
    <col min="13065" max="13065" width="13.125" style="16" bestFit="1" customWidth="1"/>
    <col min="13066" max="13066" width="11.125" style="16" bestFit="1" customWidth="1"/>
    <col min="13067" max="13312" width="9" style="16"/>
    <col min="13313" max="13313" width="8.625" style="16" customWidth="1"/>
    <col min="13314" max="13314" width="10.625" style="16" customWidth="1"/>
    <col min="13315" max="13315" width="35.125" style="16" bestFit="1" customWidth="1"/>
    <col min="13316" max="13316" width="12.375" style="16" customWidth="1"/>
    <col min="13317" max="13317" width="11" style="16" customWidth="1"/>
    <col min="13318" max="13318" width="13.625" style="16" bestFit="1" customWidth="1"/>
    <col min="13319" max="13320" width="9" style="16" customWidth="1"/>
    <col min="13321" max="13321" width="13.125" style="16" bestFit="1" customWidth="1"/>
    <col min="13322" max="13322" width="11.125" style="16" bestFit="1" customWidth="1"/>
    <col min="13323" max="13568" width="9" style="16"/>
    <col min="13569" max="13569" width="8.625" style="16" customWidth="1"/>
    <col min="13570" max="13570" width="10.625" style="16" customWidth="1"/>
    <col min="13571" max="13571" width="35.125" style="16" bestFit="1" customWidth="1"/>
    <col min="13572" max="13572" width="12.375" style="16" customWidth="1"/>
    <col min="13573" max="13573" width="11" style="16" customWidth="1"/>
    <col min="13574" max="13574" width="13.625" style="16" bestFit="1" customWidth="1"/>
    <col min="13575" max="13576" width="9" style="16" customWidth="1"/>
    <col min="13577" max="13577" width="13.125" style="16" bestFit="1" customWidth="1"/>
    <col min="13578" max="13578" width="11.125" style="16" bestFit="1" customWidth="1"/>
    <col min="13579" max="13824" width="9" style="16"/>
    <col min="13825" max="13825" width="8.625" style="16" customWidth="1"/>
    <col min="13826" max="13826" width="10.625" style="16" customWidth="1"/>
    <col min="13827" max="13827" width="35.125" style="16" bestFit="1" customWidth="1"/>
    <col min="13828" max="13828" width="12.375" style="16" customWidth="1"/>
    <col min="13829" max="13829" width="11" style="16" customWidth="1"/>
    <col min="13830" max="13830" width="13.625" style="16" bestFit="1" customWidth="1"/>
    <col min="13831" max="13832" width="9" style="16" customWidth="1"/>
    <col min="13833" max="13833" width="13.125" style="16" bestFit="1" customWidth="1"/>
    <col min="13834" max="13834" width="11.125" style="16" bestFit="1" customWidth="1"/>
    <col min="13835" max="14080" width="9" style="16"/>
    <col min="14081" max="14081" width="8.625" style="16" customWidth="1"/>
    <col min="14082" max="14082" width="10.625" style="16" customWidth="1"/>
    <col min="14083" max="14083" width="35.125" style="16" bestFit="1" customWidth="1"/>
    <col min="14084" max="14084" width="12.375" style="16" customWidth="1"/>
    <col min="14085" max="14085" width="11" style="16" customWidth="1"/>
    <col min="14086" max="14086" width="13.625" style="16" bestFit="1" customWidth="1"/>
    <col min="14087" max="14088" width="9" style="16" customWidth="1"/>
    <col min="14089" max="14089" width="13.125" style="16" bestFit="1" customWidth="1"/>
    <col min="14090" max="14090" width="11.125" style="16" bestFit="1" customWidth="1"/>
    <col min="14091" max="14336" width="9" style="16"/>
    <col min="14337" max="14337" width="8.625" style="16" customWidth="1"/>
    <col min="14338" max="14338" width="10.625" style="16" customWidth="1"/>
    <col min="14339" max="14339" width="35.125" style="16" bestFit="1" customWidth="1"/>
    <col min="14340" max="14340" width="12.375" style="16" customWidth="1"/>
    <col min="14341" max="14341" width="11" style="16" customWidth="1"/>
    <col min="14342" max="14342" width="13.625" style="16" bestFit="1" customWidth="1"/>
    <col min="14343" max="14344" width="9" style="16" customWidth="1"/>
    <col min="14345" max="14345" width="13.125" style="16" bestFit="1" customWidth="1"/>
    <col min="14346" max="14346" width="11.125" style="16" bestFit="1" customWidth="1"/>
    <col min="14347" max="14592" width="9" style="16"/>
    <col min="14593" max="14593" width="8.625" style="16" customWidth="1"/>
    <col min="14594" max="14594" width="10.625" style="16" customWidth="1"/>
    <col min="14595" max="14595" width="35.125" style="16" bestFit="1" customWidth="1"/>
    <col min="14596" max="14596" width="12.375" style="16" customWidth="1"/>
    <col min="14597" max="14597" width="11" style="16" customWidth="1"/>
    <col min="14598" max="14598" width="13.625" style="16" bestFit="1" customWidth="1"/>
    <col min="14599" max="14600" width="9" style="16" customWidth="1"/>
    <col min="14601" max="14601" width="13.125" style="16" bestFit="1" customWidth="1"/>
    <col min="14602" max="14602" width="11.125" style="16" bestFit="1" customWidth="1"/>
    <col min="14603" max="14848" width="9" style="16"/>
    <col min="14849" max="14849" width="8.625" style="16" customWidth="1"/>
    <col min="14850" max="14850" width="10.625" style="16" customWidth="1"/>
    <col min="14851" max="14851" width="35.125" style="16" bestFit="1" customWidth="1"/>
    <col min="14852" max="14852" width="12.375" style="16" customWidth="1"/>
    <col min="14853" max="14853" width="11" style="16" customWidth="1"/>
    <col min="14854" max="14854" width="13.625" style="16" bestFit="1" customWidth="1"/>
    <col min="14855" max="14856" width="9" style="16" customWidth="1"/>
    <col min="14857" max="14857" width="13.125" style="16" bestFit="1" customWidth="1"/>
    <col min="14858" max="14858" width="11.125" style="16" bestFit="1" customWidth="1"/>
    <col min="14859" max="15104" width="9" style="16"/>
    <col min="15105" max="15105" width="8.625" style="16" customWidth="1"/>
    <col min="15106" max="15106" width="10.625" style="16" customWidth="1"/>
    <col min="15107" max="15107" width="35.125" style="16" bestFit="1" customWidth="1"/>
    <col min="15108" max="15108" width="12.375" style="16" customWidth="1"/>
    <col min="15109" max="15109" width="11" style="16" customWidth="1"/>
    <col min="15110" max="15110" width="13.625" style="16" bestFit="1" customWidth="1"/>
    <col min="15111" max="15112" width="9" style="16" customWidth="1"/>
    <col min="15113" max="15113" width="13.125" style="16" bestFit="1" customWidth="1"/>
    <col min="15114" max="15114" width="11.125" style="16" bestFit="1" customWidth="1"/>
    <col min="15115" max="15360" width="9" style="16"/>
    <col min="15361" max="15361" width="8.625" style="16" customWidth="1"/>
    <col min="15362" max="15362" width="10.625" style="16" customWidth="1"/>
    <col min="15363" max="15363" width="35.125" style="16" bestFit="1" customWidth="1"/>
    <col min="15364" max="15364" width="12.375" style="16" customWidth="1"/>
    <col min="15365" max="15365" width="11" style="16" customWidth="1"/>
    <col min="15366" max="15366" width="13.625" style="16" bestFit="1" customWidth="1"/>
    <col min="15367" max="15368" width="9" style="16" customWidth="1"/>
    <col min="15369" max="15369" width="13.125" style="16" bestFit="1" customWidth="1"/>
    <col min="15370" max="15370" width="11.125" style="16" bestFit="1" customWidth="1"/>
    <col min="15371" max="15616" width="9" style="16"/>
    <col min="15617" max="15617" width="8.625" style="16" customWidth="1"/>
    <col min="15618" max="15618" width="10.625" style="16" customWidth="1"/>
    <col min="15619" max="15619" width="35.125" style="16" bestFit="1" customWidth="1"/>
    <col min="15620" max="15620" width="12.375" style="16" customWidth="1"/>
    <col min="15621" max="15621" width="11" style="16" customWidth="1"/>
    <col min="15622" max="15622" width="13.625" style="16" bestFit="1" customWidth="1"/>
    <col min="15623" max="15624" width="9" style="16" customWidth="1"/>
    <col min="15625" max="15625" width="13.125" style="16" bestFit="1" customWidth="1"/>
    <col min="15626" max="15626" width="11.125" style="16" bestFit="1" customWidth="1"/>
    <col min="15627" max="15872" width="9" style="16"/>
    <col min="15873" max="15873" width="8.625" style="16" customWidth="1"/>
    <col min="15874" max="15874" width="10.625" style="16" customWidth="1"/>
    <col min="15875" max="15875" width="35.125" style="16" bestFit="1" customWidth="1"/>
    <col min="15876" max="15876" width="12.375" style="16" customWidth="1"/>
    <col min="15877" max="15877" width="11" style="16" customWidth="1"/>
    <col min="15878" max="15878" width="13.625" style="16" bestFit="1" customWidth="1"/>
    <col min="15879" max="15880" width="9" style="16" customWidth="1"/>
    <col min="15881" max="15881" width="13.125" style="16" bestFit="1" customWidth="1"/>
    <col min="15882" max="15882" width="11.125" style="16" bestFit="1" customWidth="1"/>
    <col min="15883" max="16128" width="9" style="16"/>
    <col min="16129" max="16129" width="8.625" style="16" customWidth="1"/>
    <col min="16130" max="16130" width="10.625" style="16" customWidth="1"/>
    <col min="16131" max="16131" width="35.125" style="16" bestFit="1" customWidth="1"/>
    <col min="16132" max="16132" width="12.375" style="16" customWidth="1"/>
    <col min="16133" max="16133" width="11" style="16" customWidth="1"/>
    <col min="16134" max="16134" width="13.625" style="16" bestFit="1" customWidth="1"/>
    <col min="16135" max="16136" width="9" style="16" customWidth="1"/>
    <col min="16137" max="16137" width="13.125" style="16" bestFit="1" customWidth="1"/>
    <col min="16138" max="16138" width="11.125" style="16" bestFit="1" customWidth="1"/>
    <col min="16139" max="16384" width="9" style="16"/>
  </cols>
  <sheetData>
    <row r="1" spans="1:7" ht="14.25" customHeight="1" x14ac:dyDescent="0.3">
      <c r="A1" s="131" t="s">
        <v>2271</v>
      </c>
      <c r="B1" s="132" t="s">
        <v>2401</v>
      </c>
      <c r="C1" s="131" t="s">
        <v>337</v>
      </c>
      <c r="D1" s="133" t="s">
        <v>2545</v>
      </c>
      <c r="E1" s="133" t="s">
        <v>2546</v>
      </c>
      <c r="F1" s="169" t="s">
        <v>2272</v>
      </c>
      <c r="G1" s="134" t="s">
        <v>2273</v>
      </c>
    </row>
    <row r="2" spans="1:7" ht="14.25" customHeight="1" x14ac:dyDescent="0.3">
      <c r="A2" s="137">
        <v>4218</v>
      </c>
      <c r="B2" s="138" t="s">
        <v>2004</v>
      </c>
      <c r="C2" s="139" t="s">
        <v>2005</v>
      </c>
      <c r="D2" s="69">
        <v>183</v>
      </c>
      <c r="E2" s="69">
        <v>182.5</v>
      </c>
      <c r="F2" s="170">
        <v>365</v>
      </c>
      <c r="G2" s="136">
        <v>182</v>
      </c>
    </row>
    <row r="3" spans="1:7" ht="14.25" customHeight="1" x14ac:dyDescent="0.3">
      <c r="A3" s="137">
        <v>4219</v>
      </c>
      <c r="B3" s="138" t="s">
        <v>1891</v>
      </c>
      <c r="C3" s="139" t="s">
        <v>1892</v>
      </c>
      <c r="D3" s="69">
        <v>183</v>
      </c>
      <c r="E3" s="69">
        <v>182.5</v>
      </c>
      <c r="F3" s="170">
        <v>365</v>
      </c>
      <c r="G3" s="136">
        <v>182</v>
      </c>
    </row>
    <row r="4" spans="1:7" ht="14.25" customHeight="1" x14ac:dyDescent="0.3">
      <c r="A4" s="131">
        <v>4224</v>
      </c>
      <c r="B4" s="131" t="s">
        <v>728</v>
      </c>
      <c r="C4" s="135" t="s">
        <v>729</v>
      </c>
      <c r="D4" s="69">
        <v>84</v>
      </c>
      <c r="E4" s="69">
        <v>182.5</v>
      </c>
      <c r="F4" s="170">
        <v>365</v>
      </c>
      <c r="G4" s="136">
        <v>281</v>
      </c>
    </row>
    <row r="5" spans="1:7" ht="14.25" customHeight="1" x14ac:dyDescent="0.3">
      <c r="A5" s="137">
        <v>4225</v>
      </c>
      <c r="B5" s="138" t="s">
        <v>1634</v>
      </c>
      <c r="C5" s="139" t="s">
        <v>1635</v>
      </c>
      <c r="D5" s="69">
        <v>84</v>
      </c>
      <c r="E5" s="69">
        <v>182.5</v>
      </c>
      <c r="F5" s="170">
        <v>365</v>
      </c>
      <c r="G5" s="136">
        <v>281</v>
      </c>
    </row>
    <row r="6" spans="1:7" ht="14.25" customHeight="1" x14ac:dyDescent="0.3">
      <c r="A6" s="137">
        <v>4226</v>
      </c>
      <c r="B6" s="138" t="s">
        <v>1633</v>
      </c>
      <c r="C6" s="139" t="s">
        <v>1669</v>
      </c>
      <c r="D6" s="69">
        <v>84</v>
      </c>
      <c r="E6" s="69">
        <v>182.5</v>
      </c>
      <c r="F6" s="170">
        <v>365</v>
      </c>
      <c r="G6" s="136">
        <v>281</v>
      </c>
    </row>
    <row r="7" spans="1:7" ht="14.25" customHeight="1" x14ac:dyDescent="0.3">
      <c r="A7" s="131">
        <v>4549</v>
      </c>
      <c r="B7" s="131" t="s">
        <v>762</v>
      </c>
      <c r="C7" s="135" t="s">
        <v>47</v>
      </c>
      <c r="D7" s="69">
        <v>98</v>
      </c>
      <c r="E7" s="69">
        <v>182.5</v>
      </c>
      <c r="F7" s="170">
        <v>365</v>
      </c>
      <c r="G7" s="136">
        <v>267</v>
      </c>
    </row>
    <row r="8" spans="1:7" ht="14.25" customHeight="1" x14ac:dyDescent="0.3">
      <c r="A8" s="131">
        <v>4833</v>
      </c>
      <c r="B8" s="131" t="s">
        <v>824</v>
      </c>
      <c r="C8" s="135" t="s">
        <v>54</v>
      </c>
      <c r="D8" s="69">
        <v>183</v>
      </c>
      <c r="E8" s="69">
        <v>182.5</v>
      </c>
      <c r="F8" s="170">
        <v>365</v>
      </c>
      <c r="G8" s="136">
        <v>182</v>
      </c>
    </row>
    <row r="9" spans="1:7" ht="14.25" customHeight="1" x14ac:dyDescent="0.3">
      <c r="A9" s="131">
        <v>4834</v>
      </c>
      <c r="B9" s="131" t="s">
        <v>826</v>
      </c>
      <c r="C9" s="135" t="s">
        <v>55</v>
      </c>
      <c r="D9" s="69">
        <v>183</v>
      </c>
      <c r="E9" s="69">
        <v>182.5</v>
      </c>
      <c r="F9" s="170">
        <v>365</v>
      </c>
      <c r="G9" s="136">
        <v>182</v>
      </c>
    </row>
    <row r="10" spans="1:7" ht="14.25" customHeight="1" x14ac:dyDescent="0.3">
      <c r="A10" s="131">
        <v>4845</v>
      </c>
      <c r="B10" s="131" t="s">
        <v>833</v>
      </c>
      <c r="C10" s="135" t="s">
        <v>832</v>
      </c>
      <c r="D10" s="69">
        <v>183</v>
      </c>
      <c r="E10" s="69">
        <v>182.5</v>
      </c>
      <c r="F10" s="170">
        <v>365</v>
      </c>
      <c r="G10" s="136">
        <v>182</v>
      </c>
    </row>
    <row r="11" spans="1:7" ht="14.25" customHeight="1" x14ac:dyDescent="0.3">
      <c r="A11" s="131">
        <v>4859</v>
      </c>
      <c r="B11" s="131" t="s">
        <v>839</v>
      </c>
      <c r="C11" s="135" t="s">
        <v>838</v>
      </c>
      <c r="D11" s="69">
        <v>183</v>
      </c>
      <c r="E11" s="69">
        <v>182.5</v>
      </c>
      <c r="F11" s="170">
        <v>365</v>
      </c>
      <c r="G11" s="136">
        <v>182</v>
      </c>
    </row>
    <row r="12" spans="1:7" ht="14.25" customHeight="1" x14ac:dyDescent="0.3">
      <c r="A12" s="131">
        <v>5752</v>
      </c>
      <c r="B12" s="131" t="s">
        <v>1104</v>
      </c>
      <c r="C12" s="135" t="s">
        <v>1103</v>
      </c>
      <c r="D12" s="69">
        <v>70</v>
      </c>
      <c r="E12" s="69">
        <v>182.5</v>
      </c>
      <c r="F12" s="170">
        <v>365</v>
      </c>
      <c r="G12" s="136">
        <v>295</v>
      </c>
    </row>
    <row r="13" spans="1:7" ht="14.25" customHeight="1" x14ac:dyDescent="0.3">
      <c r="A13" s="171">
        <v>4340</v>
      </c>
      <c r="B13" s="172" t="s">
        <v>2011</v>
      </c>
      <c r="C13" s="173" t="s">
        <v>2012</v>
      </c>
      <c r="D13" s="174">
        <v>152</v>
      </c>
      <c r="E13" s="174">
        <v>152</v>
      </c>
      <c r="F13" s="170">
        <v>304</v>
      </c>
      <c r="G13" s="175">
        <v>152</v>
      </c>
    </row>
    <row r="14" spans="1:7" ht="14.25" customHeight="1" x14ac:dyDescent="0.3">
      <c r="A14" s="171">
        <v>4341</v>
      </c>
      <c r="B14" s="172" t="s">
        <v>2013</v>
      </c>
      <c r="C14" s="173" t="s">
        <v>1875</v>
      </c>
      <c r="D14" s="174">
        <v>152</v>
      </c>
      <c r="E14" s="174">
        <v>152</v>
      </c>
      <c r="F14" s="170">
        <v>304</v>
      </c>
      <c r="G14" s="175">
        <v>152</v>
      </c>
    </row>
    <row r="15" spans="1:7" ht="14.25" customHeight="1" x14ac:dyDescent="0.3">
      <c r="A15" s="171">
        <v>4342</v>
      </c>
      <c r="B15" s="172" t="s">
        <v>1878</v>
      </c>
      <c r="C15" s="173" t="s">
        <v>1879</v>
      </c>
      <c r="D15" s="174">
        <v>152</v>
      </c>
      <c r="E15" s="174">
        <v>152</v>
      </c>
      <c r="F15" s="170">
        <v>304</v>
      </c>
      <c r="G15" s="175">
        <v>152</v>
      </c>
    </row>
    <row r="16" spans="1:7" ht="14.25" customHeight="1" x14ac:dyDescent="0.3">
      <c r="A16" s="171">
        <v>4343</v>
      </c>
      <c r="B16" s="172" t="s">
        <v>1880</v>
      </c>
      <c r="C16" s="173" t="s">
        <v>1881</v>
      </c>
      <c r="D16" s="174">
        <v>152</v>
      </c>
      <c r="E16" s="174">
        <v>152</v>
      </c>
      <c r="F16" s="170">
        <v>304</v>
      </c>
      <c r="G16" s="175">
        <v>152</v>
      </c>
    </row>
    <row r="17" spans="1:7" ht="14.25" customHeight="1" x14ac:dyDescent="0.3">
      <c r="A17" s="137">
        <v>4346</v>
      </c>
      <c r="B17" s="138" t="s">
        <v>2292</v>
      </c>
      <c r="C17" s="139" t="s">
        <v>2293</v>
      </c>
      <c r="D17" s="69">
        <v>152</v>
      </c>
      <c r="E17" s="69">
        <v>152</v>
      </c>
      <c r="F17" s="170">
        <v>304</v>
      </c>
      <c r="G17" s="136">
        <v>152</v>
      </c>
    </row>
    <row r="18" spans="1:7" ht="14.25" customHeight="1" x14ac:dyDescent="0.3">
      <c r="A18" s="137">
        <v>4347</v>
      </c>
      <c r="B18" s="138" t="s">
        <v>2294</v>
      </c>
      <c r="C18" s="139" t="s">
        <v>2295</v>
      </c>
      <c r="D18" s="69">
        <v>152</v>
      </c>
      <c r="E18" s="69">
        <v>152</v>
      </c>
      <c r="F18" s="170">
        <v>304</v>
      </c>
      <c r="G18" s="136">
        <v>152</v>
      </c>
    </row>
    <row r="19" spans="1:7" ht="14.25" customHeight="1" x14ac:dyDescent="0.3">
      <c r="A19" s="131">
        <v>8550</v>
      </c>
      <c r="B19" s="131" t="s">
        <v>1541</v>
      </c>
      <c r="C19" s="135" t="s">
        <v>123</v>
      </c>
      <c r="D19" s="69">
        <v>365</v>
      </c>
      <c r="E19" s="69">
        <v>365</v>
      </c>
      <c r="F19" s="170">
        <v>730</v>
      </c>
      <c r="G19" s="136">
        <v>365</v>
      </c>
    </row>
    <row r="20" spans="1:7" ht="14.25" customHeight="1" x14ac:dyDescent="0.3">
      <c r="A20" s="131">
        <v>8552</v>
      </c>
      <c r="B20" s="131" t="s">
        <v>1542</v>
      </c>
      <c r="C20" s="135" t="s">
        <v>124</v>
      </c>
      <c r="D20" s="69">
        <v>183</v>
      </c>
      <c r="E20" s="69">
        <v>182.5</v>
      </c>
      <c r="F20" s="170">
        <v>365</v>
      </c>
      <c r="G20" s="136">
        <v>182</v>
      </c>
    </row>
    <row r="21" spans="1:7" ht="14.25" customHeight="1" x14ac:dyDescent="0.3">
      <c r="A21" s="131">
        <v>8554</v>
      </c>
      <c r="B21" s="131" t="s">
        <v>1543</v>
      </c>
      <c r="C21" s="135" t="s">
        <v>125</v>
      </c>
      <c r="D21" s="69">
        <v>183</v>
      </c>
      <c r="E21" s="69">
        <v>182.5</v>
      </c>
      <c r="F21" s="170">
        <v>365</v>
      </c>
      <c r="G21" s="136">
        <v>182</v>
      </c>
    </row>
    <row r="22" spans="1:7" ht="14.25" customHeight="1" x14ac:dyDescent="0.3">
      <c r="A22" s="131">
        <v>4276</v>
      </c>
      <c r="B22" s="131" t="s">
        <v>469</v>
      </c>
      <c r="C22" s="135" t="s">
        <v>468</v>
      </c>
      <c r="D22" s="69">
        <v>365</v>
      </c>
      <c r="E22" s="69">
        <v>365</v>
      </c>
      <c r="F22" s="170">
        <v>730</v>
      </c>
      <c r="G22" s="136">
        <v>365</v>
      </c>
    </row>
    <row r="23" spans="1:7" ht="14.25" customHeight="1" x14ac:dyDescent="0.3">
      <c r="A23" s="131">
        <v>4277</v>
      </c>
      <c r="B23" s="131" t="s">
        <v>467</v>
      </c>
      <c r="C23" s="135" t="s">
        <v>466</v>
      </c>
      <c r="D23" s="69">
        <v>365</v>
      </c>
      <c r="E23" s="69">
        <v>365</v>
      </c>
      <c r="F23" s="170">
        <v>730</v>
      </c>
      <c r="G23" s="136">
        <v>365</v>
      </c>
    </row>
    <row r="24" spans="1:7" ht="14.25" customHeight="1" x14ac:dyDescent="0.3">
      <c r="A24" s="131">
        <v>5600</v>
      </c>
      <c r="B24" s="131" t="s">
        <v>1043</v>
      </c>
      <c r="C24" s="135" t="s">
        <v>1042</v>
      </c>
      <c r="D24" s="69">
        <v>183</v>
      </c>
      <c r="E24" s="69">
        <v>182.5</v>
      </c>
      <c r="F24" s="170">
        <v>365</v>
      </c>
      <c r="G24" s="136">
        <v>182</v>
      </c>
    </row>
    <row r="25" spans="1:7" ht="14.25" customHeight="1" x14ac:dyDescent="0.3">
      <c r="A25" s="131">
        <v>5601</v>
      </c>
      <c r="B25" s="131" t="s">
        <v>1045</v>
      </c>
      <c r="C25" s="135" t="s">
        <v>1044</v>
      </c>
      <c r="D25" s="69">
        <v>183</v>
      </c>
      <c r="E25" s="69">
        <v>182.5</v>
      </c>
      <c r="F25" s="170">
        <v>365</v>
      </c>
      <c r="G25" s="136">
        <v>182</v>
      </c>
    </row>
    <row r="26" spans="1:7" ht="14.25" customHeight="1" x14ac:dyDescent="0.3">
      <c r="A26" s="131">
        <v>5604</v>
      </c>
      <c r="B26" s="131" t="s">
        <v>1047</v>
      </c>
      <c r="C26" s="135" t="s">
        <v>1046</v>
      </c>
      <c r="D26" s="69">
        <v>183</v>
      </c>
      <c r="E26" s="69">
        <v>182.5</v>
      </c>
      <c r="F26" s="170">
        <v>365</v>
      </c>
      <c r="G26" s="136">
        <v>182</v>
      </c>
    </row>
    <row r="27" spans="1:7" ht="14.25" customHeight="1" x14ac:dyDescent="0.3">
      <c r="A27" s="131">
        <v>5605</v>
      </c>
      <c r="B27" s="131" t="s">
        <v>1049</v>
      </c>
      <c r="C27" s="135" t="s">
        <v>1048</v>
      </c>
      <c r="D27" s="69">
        <v>183</v>
      </c>
      <c r="E27" s="69">
        <v>182.5</v>
      </c>
      <c r="F27" s="170">
        <v>365</v>
      </c>
      <c r="G27" s="136">
        <v>182</v>
      </c>
    </row>
    <row r="28" spans="1:7" ht="14.25" customHeight="1" x14ac:dyDescent="0.3">
      <c r="A28" s="137">
        <v>1524</v>
      </c>
      <c r="B28" s="138" t="s">
        <v>1945</v>
      </c>
      <c r="C28" s="139" t="s">
        <v>1946</v>
      </c>
      <c r="D28" s="69">
        <v>365</v>
      </c>
      <c r="E28" s="69">
        <v>365</v>
      </c>
      <c r="F28" s="170">
        <v>730</v>
      </c>
      <c r="G28" s="136">
        <v>365</v>
      </c>
    </row>
    <row r="29" spans="1:7" ht="14.25" customHeight="1" x14ac:dyDescent="0.3">
      <c r="A29" s="137">
        <v>1526</v>
      </c>
      <c r="B29" s="138" t="s">
        <v>1947</v>
      </c>
      <c r="C29" s="139" t="s">
        <v>1948</v>
      </c>
      <c r="D29" s="69">
        <v>365</v>
      </c>
      <c r="E29" s="69">
        <v>365</v>
      </c>
      <c r="F29" s="170">
        <v>730</v>
      </c>
      <c r="G29" s="136">
        <v>365</v>
      </c>
    </row>
    <row r="30" spans="1:7" ht="14.25" customHeight="1" x14ac:dyDescent="0.3">
      <c r="A30" s="137">
        <v>5614</v>
      </c>
      <c r="B30" s="138" t="s">
        <v>2060</v>
      </c>
      <c r="C30" s="139" t="s">
        <v>2061</v>
      </c>
      <c r="D30" s="69">
        <v>183</v>
      </c>
      <c r="E30" s="69">
        <v>182.5</v>
      </c>
      <c r="F30" s="170">
        <v>365</v>
      </c>
      <c r="G30" s="136">
        <v>182</v>
      </c>
    </row>
    <row r="31" spans="1:7" ht="14.25" customHeight="1" x14ac:dyDescent="0.3">
      <c r="A31" s="131">
        <v>1192</v>
      </c>
      <c r="B31" s="131" t="s">
        <v>560</v>
      </c>
      <c r="C31" s="135" t="s">
        <v>559</v>
      </c>
      <c r="D31" s="69">
        <v>365</v>
      </c>
      <c r="E31" s="69">
        <v>365</v>
      </c>
      <c r="F31" s="170">
        <v>730</v>
      </c>
      <c r="G31" s="136">
        <v>365</v>
      </c>
    </row>
    <row r="32" spans="1:7" ht="14.25" customHeight="1" x14ac:dyDescent="0.3">
      <c r="A32" s="131">
        <v>1193</v>
      </c>
      <c r="B32" s="131" t="s">
        <v>562</v>
      </c>
      <c r="C32" s="135" t="s">
        <v>561</v>
      </c>
      <c r="D32" s="69">
        <v>365</v>
      </c>
      <c r="E32" s="69">
        <v>365</v>
      </c>
      <c r="F32" s="170">
        <v>730</v>
      </c>
      <c r="G32" s="136">
        <v>365</v>
      </c>
    </row>
    <row r="33" spans="1:7" ht="14.25" customHeight="1" x14ac:dyDescent="0.3">
      <c r="A33" s="137">
        <v>1195</v>
      </c>
      <c r="B33" s="138" t="s">
        <v>1941</v>
      </c>
      <c r="C33" s="139" t="s">
        <v>1942</v>
      </c>
      <c r="D33" s="69">
        <v>365</v>
      </c>
      <c r="E33" s="69">
        <v>365</v>
      </c>
      <c r="F33" s="170">
        <v>730</v>
      </c>
      <c r="G33" s="136">
        <v>365</v>
      </c>
    </row>
    <row r="34" spans="1:7" ht="14.25" customHeight="1" x14ac:dyDescent="0.3">
      <c r="A34" s="131">
        <v>1200</v>
      </c>
      <c r="B34" s="131" t="s">
        <v>564</v>
      </c>
      <c r="C34" s="135" t="s">
        <v>563</v>
      </c>
      <c r="D34" s="69">
        <v>365</v>
      </c>
      <c r="E34" s="69">
        <v>365</v>
      </c>
      <c r="F34" s="170">
        <v>730</v>
      </c>
      <c r="G34" s="136">
        <v>365</v>
      </c>
    </row>
    <row r="35" spans="1:7" ht="14.25" customHeight="1" x14ac:dyDescent="0.3">
      <c r="A35" s="131">
        <v>1201</v>
      </c>
      <c r="B35" s="131" t="s">
        <v>566</v>
      </c>
      <c r="C35" s="135" t="s">
        <v>565</v>
      </c>
      <c r="D35" s="69">
        <v>365</v>
      </c>
      <c r="E35" s="69">
        <v>365</v>
      </c>
      <c r="F35" s="170">
        <v>730</v>
      </c>
      <c r="G35" s="136">
        <v>365</v>
      </c>
    </row>
    <row r="36" spans="1:7" ht="14.25" customHeight="1" x14ac:dyDescent="0.3">
      <c r="A36" s="131">
        <v>1203</v>
      </c>
      <c r="B36" s="131" t="s">
        <v>568</v>
      </c>
      <c r="C36" s="135" t="s">
        <v>567</v>
      </c>
      <c r="D36" s="69">
        <v>70</v>
      </c>
      <c r="E36" s="69">
        <v>182.5</v>
      </c>
      <c r="F36" s="170">
        <v>365</v>
      </c>
      <c r="G36" s="136">
        <v>295</v>
      </c>
    </row>
    <row r="37" spans="1:7" ht="14.25" customHeight="1" x14ac:dyDescent="0.3">
      <c r="A37" s="131">
        <v>1204</v>
      </c>
      <c r="B37" s="131" t="s">
        <v>570</v>
      </c>
      <c r="C37" s="135" t="s">
        <v>569</v>
      </c>
      <c r="D37" s="69">
        <v>70</v>
      </c>
      <c r="E37" s="69">
        <v>182.5</v>
      </c>
      <c r="F37" s="170">
        <v>365</v>
      </c>
      <c r="G37" s="136">
        <v>295</v>
      </c>
    </row>
    <row r="38" spans="1:7" ht="14.25" customHeight="1" x14ac:dyDescent="0.3">
      <c r="A38" s="137">
        <v>1205</v>
      </c>
      <c r="B38" s="138" t="s">
        <v>2287</v>
      </c>
      <c r="C38" s="139" t="s">
        <v>2288</v>
      </c>
      <c r="D38" s="69">
        <v>183</v>
      </c>
      <c r="E38" s="69">
        <v>182.5</v>
      </c>
      <c r="F38" s="170">
        <v>365</v>
      </c>
      <c r="G38" s="136">
        <v>182</v>
      </c>
    </row>
    <row r="39" spans="1:7" ht="14.25" customHeight="1" x14ac:dyDescent="0.3">
      <c r="A39" s="137">
        <v>1206</v>
      </c>
      <c r="B39" s="138" t="s">
        <v>2353</v>
      </c>
      <c r="C39" s="139" t="s">
        <v>2354</v>
      </c>
      <c r="D39" s="69">
        <v>365</v>
      </c>
      <c r="E39" s="69">
        <v>365</v>
      </c>
      <c r="F39" s="170">
        <v>730</v>
      </c>
      <c r="G39" s="136">
        <v>365</v>
      </c>
    </row>
    <row r="40" spans="1:7" ht="14.25" customHeight="1" x14ac:dyDescent="0.3">
      <c r="A40" s="131">
        <v>1210</v>
      </c>
      <c r="B40" s="131" t="s">
        <v>572</v>
      </c>
      <c r="C40" s="135" t="s">
        <v>571</v>
      </c>
      <c r="D40" s="69">
        <v>365</v>
      </c>
      <c r="E40" s="69">
        <v>365</v>
      </c>
      <c r="F40" s="170">
        <v>730</v>
      </c>
      <c r="G40" s="136">
        <v>365</v>
      </c>
    </row>
    <row r="41" spans="1:7" ht="14.25" customHeight="1" x14ac:dyDescent="0.3">
      <c r="A41" s="137" t="s">
        <v>2402</v>
      </c>
      <c r="B41" s="138" t="s">
        <v>2402</v>
      </c>
      <c r="C41" s="139" t="s">
        <v>1785</v>
      </c>
      <c r="D41" s="69">
        <v>70</v>
      </c>
      <c r="E41" s="69">
        <v>182.5</v>
      </c>
      <c r="F41" s="170">
        <v>365</v>
      </c>
      <c r="G41" s="136">
        <v>295</v>
      </c>
    </row>
    <row r="42" spans="1:7" ht="14.25" customHeight="1" x14ac:dyDescent="0.3">
      <c r="A42" s="131">
        <v>62</v>
      </c>
      <c r="B42" s="131" t="s">
        <v>434</v>
      </c>
      <c r="C42" s="135" t="s">
        <v>433</v>
      </c>
      <c r="D42" s="69">
        <v>98</v>
      </c>
      <c r="E42" s="69">
        <v>182.5</v>
      </c>
      <c r="F42" s="170">
        <v>365</v>
      </c>
      <c r="G42" s="136">
        <v>267</v>
      </c>
    </row>
    <row r="43" spans="1:7" ht="14.25" customHeight="1" x14ac:dyDescent="0.3">
      <c r="A43" s="131">
        <v>360</v>
      </c>
      <c r="B43" s="131" t="s">
        <v>458</v>
      </c>
      <c r="C43" s="135" t="s">
        <v>457</v>
      </c>
      <c r="D43" s="69">
        <v>75</v>
      </c>
      <c r="E43" s="69">
        <v>91.5</v>
      </c>
      <c r="F43" s="170">
        <v>183</v>
      </c>
      <c r="G43" s="136">
        <v>108</v>
      </c>
    </row>
    <row r="44" spans="1:7" ht="14.25" customHeight="1" x14ac:dyDescent="0.3">
      <c r="A44" s="131">
        <v>446</v>
      </c>
      <c r="B44" s="131" t="s">
        <v>2403</v>
      </c>
      <c r="C44" s="135" t="s">
        <v>616</v>
      </c>
      <c r="D44" s="69">
        <v>365</v>
      </c>
      <c r="E44" s="69">
        <v>365</v>
      </c>
      <c r="F44" s="170">
        <v>730</v>
      </c>
      <c r="G44" s="136">
        <v>365</v>
      </c>
    </row>
    <row r="45" spans="1:7" ht="14.25" customHeight="1" x14ac:dyDescent="0.3">
      <c r="A45" s="131">
        <v>447</v>
      </c>
      <c r="B45" s="131" t="s">
        <v>484</v>
      </c>
      <c r="C45" s="135" t="s">
        <v>483</v>
      </c>
      <c r="D45" s="69">
        <v>365</v>
      </c>
      <c r="E45" s="69">
        <v>365</v>
      </c>
      <c r="F45" s="170">
        <v>730</v>
      </c>
      <c r="G45" s="136">
        <v>365</v>
      </c>
    </row>
    <row r="46" spans="1:7" ht="14.25" customHeight="1" x14ac:dyDescent="0.3">
      <c r="A46" s="131">
        <v>448</v>
      </c>
      <c r="B46" s="131" t="s">
        <v>486</v>
      </c>
      <c r="C46" s="135" t="s">
        <v>485</v>
      </c>
      <c r="D46" s="69">
        <v>365</v>
      </c>
      <c r="E46" s="69">
        <v>365</v>
      </c>
      <c r="F46" s="170">
        <v>730</v>
      </c>
      <c r="G46" s="136">
        <v>365</v>
      </c>
    </row>
    <row r="47" spans="1:7" ht="14.25" customHeight="1" x14ac:dyDescent="0.3">
      <c r="A47" s="137" t="s">
        <v>1933</v>
      </c>
      <c r="B47" s="138" t="s">
        <v>1934</v>
      </c>
      <c r="C47" s="139" t="s">
        <v>1935</v>
      </c>
      <c r="D47" s="69">
        <v>365</v>
      </c>
      <c r="E47" s="69">
        <v>365</v>
      </c>
      <c r="F47" s="170">
        <v>730</v>
      </c>
      <c r="G47" s="136">
        <v>365</v>
      </c>
    </row>
    <row r="48" spans="1:7" ht="14.25" customHeight="1" x14ac:dyDescent="0.3">
      <c r="A48" s="137" t="s">
        <v>1936</v>
      </c>
      <c r="B48" s="138" t="s">
        <v>1937</v>
      </c>
      <c r="C48" s="139" t="s">
        <v>1938</v>
      </c>
      <c r="D48" s="69">
        <v>365</v>
      </c>
      <c r="E48" s="69">
        <v>365</v>
      </c>
      <c r="F48" s="170">
        <v>730</v>
      </c>
      <c r="G48" s="136">
        <v>365</v>
      </c>
    </row>
    <row r="49" spans="1:7" ht="14.25" customHeight="1" x14ac:dyDescent="0.3">
      <c r="A49" s="137">
        <v>453</v>
      </c>
      <c r="B49" s="138" t="s">
        <v>1939</v>
      </c>
      <c r="C49" s="139" t="s">
        <v>1940</v>
      </c>
      <c r="D49" s="69">
        <v>365</v>
      </c>
      <c r="E49" s="69">
        <v>365</v>
      </c>
      <c r="F49" s="170">
        <v>730</v>
      </c>
      <c r="G49" s="136">
        <v>365</v>
      </c>
    </row>
    <row r="50" spans="1:7" ht="14.25" customHeight="1" x14ac:dyDescent="0.3">
      <c r="A50" s="131">
        <v>1300</v>
      </c>
      <c r="B50" s="131" t="s">
        <v>574</v>
      </c>
      <c r="C50" s="135" t="s">
        <v>573</v>
      </c>
      <c r="D50" s="69">
        <v>365</v>
      </c>
      <c r="E50" s="69">
        <v>365</v>
      </c>
      <c r="F50" s="170">
        <v>730</v>
      </c>
      <c r="G50" s="136">
        <v>365</v>
      </c>
    </row>
    <row r="51" spans="1:7" ht="14.25" customHeight="1" x14ac:dyDescent="0.3">
      <c r="A51" s="131">
        <v>1305</v>
      </c>
      <c r="B51" s="131" t="s">
        <v>577</v>
      </c>
      <c r="C51" s="135" t="s">
        <v>576</v>
      </c>
      <c r="D51" s="69">
        <v>365</v>
      </c>
      <c r="E51" s="69">
        <v>365</v>
      </c>
      <c r="F51" s="170">
        <v>730</v>
      </c>
      <c r="G51" s="136">
        <v>365</v>
      </c>
    </row>
    <row r="52" spans="1:7" ht="14.25" customHeight="1" x14ac:dyDescent="0.3">
      <c r="A52" s="131">
        <v>63</v>
      </c>
      <c r="B52" s="131" t="s">
        <v>437</v>
      </c>
      <c r="C52" s="135" t="s">
        <v>436</v>
      </c>
      <c r="D52" s="69">
        <v>98</v>
      </c>
      <c r="E52" s="69">
        <v>182.5</v>
      </c>
      <c r="F52" s="170">
        <v>365</v>
      </c>
      <c r="G52" s="136">
        <v>267</v>
      </c>
    </row>
    <row r="53" spans="1:7" ht="14.25" customHeight="1" x14ac:dyDescent="0.3">
      <c r="A53" s="131">
        <v>1333</v>
      </c>
      <c r="B53" s="131" t="s">
        <v>437</v>
      </c>
      <c r="C53" s="135" t="s">
        <v>578</v>
      </c>
      <c r="D53" s="69">
        <v>98</v>
      </c>
      <c r="E53" s="69">
        <v>182.5</v>
      </c>
      <c r="F53" s="170">
        <v>365</v>
      </c>
      <c r="G53" s="136">
        <v>267</v>
      </c>
    </row>
    <row r="54" spans="1:7" ht="14.25" customHeight="1" x14ac:dyDescent="0.3">
      <c r="A54" s="137">
        <v>1511</v>
      </c>
      <c r="B54" s="138" t="s">
        <v>1943</v>
      </c>
      <c r="C54" s="139" t="s">
        <v>1944</v>
      </c>
      <c r="D54" s="69">
        <v>365</v>
      </c>
      <c r="E54" s="69">
        <v>365</v>
      </c>
      <c r="F54" s="170">
        <v>730</v>
      </c>
      <c r="G54" s="136">
        <v>365</v>
      </c>
    </row>
    <row r="55" spans="1:7" ht="14.25" customHeight="1" x14ac:dyDescent="0.3">
      <c r="A55" s="137">
        <v>1512</v>
      </c>
      <c r="B55" s="138" t="s">
        <v>1903</v>
      </c>
      <c r="C55" s="139" t="s">
        <v>1904</v>
      </c>
      <c r="D55" s="69">
        <v>365</v>
      </c>
      <c r="E55" s="69">
        <v>365</v>
      </c>
      <c r="F55" s="170">
        <v>730</v>
      </c>
      <c r="G55" s="136">
        <v>365</v>
      </c>
    </row>
    <row r="56" spans="1:7" ht="14.25" customHeight="1" x14ac:dyDescent="0.3">
      <c r="A56" s="137">
        <v>1518</v>
      </c>
      <c r="B56" s="131" t="s">
        <v>579</v>
      </c>
      <c r="C56" s="139" t="s">
        <v>33</v>
      </c>
      <c r="D56" s="69">
        <v>365</v>
      </c>
      <c r="E56" s="69">
        <v>365</v>
      </c>
      <c r="F56" s="170">
        <v>730</v>
      </c>
      <c r="G56" s="136">
        <v>365</v>
      </c>
    </row>
    <row r="57" spans="1:7" ht="14.25" customHeight="1" x14ac:dyDescent="0.3">
      <c r="A57" s="137">
        <v>1521</v>
      </c>
      <c r="B57" s="131" t="s">
        <v>580</v>
      </c>
      <c r="C57" s="139" t="s">
        <v>34</v>
      </c>
      <c r="D57" s="69">
        <v>365</v>
      </c>
      <c r="E57" s="69">
        <v>365</v>
      </c>
      <c r="F57" s="170">
        <v>730</v>
      </c>
      <c r="G57" s="136">
        <v>365</v>
      </c>
    </row>
    <row r="58" spans="1:7" ht="14.25" customHeight="1" x14ac:dyDescent="0.3">
      <c r="A58" s="131">
        <v>2430</v>
      </c>
      <c r="B58" s="131" t="s">
        <v>586</v>
      </c>
      <c r="C58" s="135" t="s">
        <v>585</v>
      </c>
      <c r="D58" s="69">
        <v>365</v>
      </c>
      <c r="E58" s="69">
        <v>365</v>
      </c>
      <c r="F58" s="170">
        <v>730</v>
      </c>
      <c r="G58" s="136">
        <v>365</v>
      </c>
    </row>
    <row r="59" spans="1:7" ht="14.25" customHeight="1" x14ac:dyDescent="0.3">
      <c r="A59" s="131">
        <v>2440</v>
      </c>
      <c r="B59" s="131" t="s">
        <v>593</v>
      </c>
      <c r="C59" s="135" t="s">
        <v>592</v>
      </c>
      <c r="D59" s="69">
        <v>365</v>
      </c>
      <c r="E59" s="69">
        <v>365</v>
      </c>
      <c r="F59" s="170">
        <v>730</v>
      </c>
      <c r="G59" s="136">
        <v>365</v>
      </c>
    </row>
    <row r="60" spans="1:7" ht="14.25" customHeight="1" x14ac:dyDescent="0.3">
      <c r="A60" s="131">
        <v>2444</v>
      </c>
      <c r="B60" s="131" t="s">
        <v>602</v>
      </c>
      <c r="C60" s="135" t="s">
        <v>601</v>
      </c>
      <c r="D60" s="69">
        <v>365</v>
      </c>
      <c r="E60" s="69">
        <v>365</v>
      </c>
      <c r="F60" s="170">
        <v>730</v>
      </c>
      <c r="G60" s="136">
        <v>365</v>
      </c>
    </row>
    <row r="61" spans="1:7" ht="14.25" customHeight="1" x14ac:dyDescent="0.3">
      <c r="A61" s="131">
        <v>2447</v>
      </c>
      <c r="B61" s="131" t="s">
        <v>606</v>
      </c>
      <c r="C61" s="135" t="s">
        <v>605</v>
      </c>
      <c r="D61" s="69">
        <v>365</v>
      </c>
      <c r="E61" s="69">
        <v>365</v>
      </c>
      <c r="F61" s="170">
        <v>730</v>
      </c>
      <c r="G61" s="136">
        <v>365</v>
      </c>
    </row>
    <row r="62" spans="1:7" ht="14.25" customHeight="1" x14ac:dyDescent="0.3">
      <c r="A62" s="137">
        <v>2450</v>
      </c>
      <c r="B62" s="138" t="s">
        <v>1949</v>
      </c>
      <c r="C62" s="139" t="s">
        <v>1950</v>
      </c>
      <c r="D62" s="69">
        <v>365</v>
      </c>
      <c r="E62" s="69">
        <v>365</v>
      </c>
      <c r="F62" s="170">
        <v>730</v>
      </c>
      <c r="G62" s="136">
        <v>365</v>
      </c>
    </row>
    <row r="63" spans="1:7" ht="14.25" customHeight="1" x14ac:dyDescent="0.3">
      <c r="A63" s="137">
        <v>2451</v>
      </c>
      <c r="B63" s="138" t="s">
        <v>1951</v>
      </c>
      <c r="C63" s="139" t="s">
        <v>1952</v>
      </c>
      <c r="D63" s="69">
        <v>365</v>
      </c>
      <c r="E63" s="69">
        <v>365</v>
      </c>
      <c r="F63" s="170">
        <v>730</v>
      </c>
      <c r="G63" s="136">
        <v>365</v>
      </c>
    </row>
    <row r="64" spans="1:7" ht="14.25" customHeight="1" x14ac:dyDescent="0.3">
      <c r="A64" s="137">
        <v>2452</v>
      </c>
      <c r="B64" s="138" t="s">
        <v>1953</v>
      </c>
      <c r="C64" s="139" t="s">
        <v>1954</v>
      </c>
      <c r="D64" s="69">
        <v>365</v>
      </c>
      <c r="E64" s="69">
        <v>365</v>
      </c>
      <c r="F64" s="170">
        <v>730</v>
      </c>
      <c r="G64" s="136">
        <v>365</v>
      </c>
    </row>
    <row r="65" spans="1:7" ht="14.25" customHeight="1" x14ac:dyDescent="0.3">
      <c r="A65" s="137">
        <v>2453</v>
      </c>
      <c r="B65" s="138" t="s">
        <v>1955</v>
      </c>
      <c r="C65" s="139" t="s">
        <v>1956</v>
      </c>
      <c r="D65" s="69">
        <v>365</v>
      </c>
      <c r="E65" s="69">
        <v>365</v>
      </c>
      <c r="F65" s="170">
        <v>730</v>
      </c>
      <c r="G65" s="136">
        <v>365</v>
      </c>
    </row>
    <row r="66" spans="1:7" ht="14.25" customHeight="1" x14ac:dyDescent="0.3">
      <c r="A66" s="137">
        <v>2515</v>
      </c>
      <c r="B66" s="138" t="s">
        <v>1957</v>
      </c>
      <c r="C66" s="139" t="s">
        <v>1958</v>
      </c>
      <c r="D66" s="69">
        <v>365</v>
      </c>
      <c r="E66" s="69">
        <v>365</v>
      </c>
      <c r="F66" s="170">
        <v>730</v>
      </c>
      <c r="G66" s="136">
        <v>365</v>
      </c>
    </row>
    <row r="67" spans="1:7" ht="14.25" customHeight="1" x14ac:dyDescent="0.3">
      <c r="A67" s="137">
        <v>2516</v>
      </c>
      <c r="B67" s="138" t="s">
        <v>1959</v>
      </c>
      <c r="C67" s="139" t="s">
        <v>1960</v>
      </c>
      <c r="D67" s="69">
        <v>365</v>
      </c>
      <c r="E67" s="69">
        <v>365</v>
      </c>
      <c r="F67" s="170">
        <v>730</v>
      </c>
      <c r="G67" s="136">
        <v>365</v>
      </c>
    </row>
    <row r="68" spans="1:7" ht="14.25" customHeight="1" x14ac:dyDescent="0.3">
      <c r="A68" s="131">
        <v>2519</v>
      </c>
      <c r="B68" s="131" t="s">
        <v>2404</v>
      </c>
      <c r="C68" s="135" t="s">
        <v>1786</v>
      </c>
      <c r="D68" s="69">
        <v>365</v>
      </c>
      <c r="E68" s="69">
        <v>365</v>
      </c>
      <c r="F68" s="170">
        <v>730</v>
      </c>
      <c r="G68" s="136">
        <v>365</v>
      </c>
    </row>
    <row r="69" spans="1:7" ht="14.25" customHeight="1" x14ac:dyDescent="0.3">
      <c r="A69" s="131">
        <v>1301</v>
      </c>
      <c r="B69" s="131" t="s">
        <v>2536</v>
      </c>
      <c r="C69" s="135" t="s">
        <v>2535</v>
      </c>
      <c r="D69" s="69">
        <v>365</v>
      </c>
      <c r="E69" s="69">
        <v>365</v>
      </c>
      <c r="F69" s="170">
        <v>730</v>
      </c>
      <c r="G69" s="136">
        <v>365</v>
      </c>
    </row>
    <row r="70" spans="1:7" ht="14.25" customHeight="1" x14ac:dyDescent="0.3">
      <c r="A70" s="131">
        <v>2520</v>
      </c>
      <c r="B70" s="131" t="s">
        <v>612</v>
      </c>
      <c r="C70" s="135" t="s">
        <v>611</v>
      </c>
      <c r="D70" s="69">
        <v>365</v>
      </c>
      <c r="E70" s="69">
        <v>365</v>
      </c>
      <c r="F70" s="170">
        <v>730</v>
      </c>
      <c r="G70" s="136">
        <v>365</v>
      </c>
    </row>
    <row r="71" spans="1:7" ht="14.25" customHeight="1" x14ac:dyDescent="0.3">
      <c r="A71" s="137">
        <v>2521</v>
      </c>
      <c r="B71" s="138" t="s">
        <v>2405</v>
      </c>
      <c r="C71" s="139" t="s">
        <v>1787</v>
      </c>
      <c r="D71" s="69">
        <v>365</v>
      </c>
      <c r="E71" s="69">
        <v>365</v>
      </c>
      <c r="F71" s="170">
        <v>730</v>
      </c>
      <c r="G71" s="136">
        <v>365</v>
      </c>
    </row>
    <row r="72" spans="1:7" ht="14.25" customHeight="1" x14ac:dyDescent="0.3">
      <c r="A72" s="137">
        <v>2522</v>
      </c>
      <c r="B72" s="138" t="s">
        <v>2406</v>
      </c>
      <c r="C72" s="139" t="s">
        <v>1788</v>
      </c>
      <c r="D72" s="69">
        <v>365</v>
      </c>
      <c r="E72" s="69">
        <v>365</v>
      </c>
      <c r="F72" s="170">
        <v>730</v>
      </c>
      <c r="G72" s="136">
        <v>365</v>
      </c>
    </row>
    <row r="73" spans="1:7" ht="14.25" customHeight="1" x14ac:dyDescent="0.3">
      <c r="A73" s="137">
        <v>5770</v>
      </c>
      <c r="B73" s="138" t="s">
        <v>2508</v>
      </c>
      <c r="C73" s="139" t="s">
        <v>2507</v>
      </c>
      <c r="D73" s="69">
        <v>183</v>
      </c>
      <c r="E73" s="69">
        <v>183</v>
      </c>
      <c r="F73" s="170">
        <v>365</v>
      </c>
      <c r="G73" s="136">
        <v>182</v>
      </c>
    </row>
    <row r="74" spans="1:7" ht="14.25" customHeight="1" x14ac:dyDescent="0.3">
      <c r="A74" s="131">
        <v>2523</v>
      </c>
      <c r="B74" s="131" t="s">
        <v>613</v>
      </c>
      <c r="C74" s="135" t="s">
        <v>35</v>
      </c>
      <c r="D74" s="69">
        <v>365</v>
      </c>
      <c r="E74" s="69">
        <v>365</v>
      </c>
      <c r="F74" s="170">
        <v>730</v>
      </c>
      <c r="G74" s="136">
        <v>365</v>
      </c>
    </row>
    <row r="75" spans="1:7" ht="14.25" customHeight="1" x14ac:dyDescent="0.3">
      <c r="A75" s="137">
        <v>2524</v>
      </c>
      <c r="B75" s="138" t="s">
        <v>2407</v>
      </c>
      <c r="C75" s="139" t="s">
        <v>1789</v>
      </c>
      <c r="D75" s="69">
        <v>365</v>
      </c>
      <c r="E75" s="69">
        <v>365</v>
      </c>
      <c r="F75" s="170">
        <v>730</v>
      </c>
      <c r="G75" s="136">
        <v>365</v>
      </c>
    </row>
    <row r="76" spans="1:7" ht="14.25" customHeight="1" x14ac:dyDescent="0.3">
      <c r="A76" s="137">
        <v>2525</v>
      </c>
      <c r="B76" s="138" t="s">
        <v>1961</v>
      </c>
      <c r="C76" s="139" t="s">
        <v>1962</v>
      </c>
      <c r="D76" s="69">
        <v>365</v>
      </c>
      <c r="E76" s="69">
        <v>365</v>
      </c>
      <c r="F76" s="170">
        <v>730</v>
      </c>
      <c r="G76" s="136">
        <v>365</v>
      </c>
    </row>
    <row r="77" spans="1:7" ht="14.25" customHeight="1" x14ac:dyDescent="0.3">
      <c r="A77" s="131">
        <v>2526</v>
      </c>
      <c r="B77" s="131" t="s">
        <v>615</v>
      </c>
      <c r="C77" s="135" t="s">
        <v>36</v>
      </c>
      <c r="D77" s="69">
        <v>365</v>
      </c>
      <c r="E77" s="69">
        <v>365</v>
      </c>
      <c r="F77" s="170">
        <v>730</v>
      </c>
      <c r="G77" s="136">
        <v>365</v>
      </c>
    </row>
    <row r="78" spans="1:7" ht="14.25" customHeight="1" x14ac:dyDescent="0.3">
      <c r="A78" s="137">
        <v>2527</v>
      </c>
      <c r="B78" s="138" t="s">
        <v>2408</v>
      </c>
      <c r="C78" s="139" t="s">
        <v>1790</v>
      </c>
      <c r="D78" s="69">
        <v>365</v>
      </c>
      <c r="E78" s="69">
        <v>365</v>
      </c>
      <c r="F78" s="170">
        <v>730</v>
      </c>
      <c r="G78" s="136">
        <v>365</v>
      </c>
    </row>
    <row r="79" spans="1:7" ht="14.25" customHeight="1" x14ac:dyDescent="0.3">
      <c r="A79" s="137">
        <v>2529</v>
      </c>
      <c r="B79" s="138" t="s">
        <v>2409</v>
      </c>
      <c r="C79" s="139" t="s">
        <v>1791</v>
      </c>
      <c r="D79" s="69">
        <v>365</v>
      </c>
      <c r="E79" s="69">
        <v>365</v>
      </c>
      <c r="F79" s="170">
        <v>730</v>
      </c>
      <c r="G79" s="136">
        <v>365</v>
      </c>
    </row>
    <row r="80" spans="1:7" ht="14.25" customHeight="1" x14ac:dyDescent="0.3">
      <c r="A80" s="137">
        <v>454</v>
      </c>
      <c r="B80" s="138" t="s">
        <v>2499</v>
      </c>
      <c r="C80" s="139" t="s">
        <v>2500</v>
      </c>
      <c r="D80" s="69">
        <v>273</v>
      </c>
      <c r="E80" s="69">
        <v>270</v>
      </c>
      <c r="F80" s="170">
        <v>548</v>
      </c>
      <c r="G80" s="136">
        <v>267</v>
      </c>
    </row>
    <row r="81" spans="1:7" ht="14.25" customHeight="1" x14ac:dyDescent="0.3">
      <c r="A81" s="137">
        <v>5194</v>
      </c>
      <c r="B81" s="138" t="s">
        <v>2603</v>
      </c>
      <c r="C81" s="139" t="s">
        <v>2604</v>
      </c>
      <c r="D81" s="69">
        <v>273</v>
      </c>
      <c r="E81" s="69">
        <v>270</v>
      </c>
      <c r="F81" s="170">
        <v>548</v>
      </c>
      <c r="G81" s="136">
        <v>267</v>
      </c>
    </row>
    <row r="82" spans="1:7" ht="14.25" customHeight="1" x14ac:dyDescent="0.3">
      <c r="A82" s="137">
        <v>5774</v>
      </c>
      <c r="B82" s="138" t="s">
        <v>2515</v>
      </c>
      <c r="C82" s="139" t="s">
        <v>2516</v>
      </c>
      <c r="D82" s="69">
        <v>365</v>
      </c>
      <c r="E82" s="69">
        <v>365</v>
      </c>
      <c r="F82" s="170">
        <v>730</v>
      </c>
      <c r="G82" s="136">
        <v>365</v>
      </c>
    </row>
    <row r="83" spans="1:7" ht="14.25" customHeight="1" x14ac:dyDescent="0.3">
      <c r="A83" s="137">
        <v>2531</v>
      </c>
      <c r="B83" s="138" t="s">
        <v>1873</v>
      </c>
      <c r="C83" s="139" t="s">
        <v>1874</v>
      </c>
      <c r="D83" s="69">
        <v>365</v>
      </c>
      <c r="E83" s="69">
        <v>365</v>
      </c>
      <c r="F83" s="170">
        <v>730</v>
      </c>
      <c r="G83" s="136">
        <v>365</v>
      </c>
    </row>
    <row r="84" spans="1:7" ht="14.25" customHeight="1" x14ac:dyDescent="0.3">
      <c r="A84" s="137">
        <v>5186</v>
      </c>
      <c r="B84" s="138" t="s">
        <v>2573</v>
      </c>
      <c r="C84" s="139" t="s">
        <v>2572</v>
      </c>
      <c r="D84" s="69">
        <v>365</v>
      </c>
      <c r="E84" s="69">
        <v>365</v>
      </c>
      <c r="F84" s="170">
        <v>730</v>
      </c>
      <c r="G84" s="136">
        <v>365</v>
      </c>
    </row>
    <row r="85" spans="1:7" ht="14.25" customHeight="1" x14ac:dyDescent="0.3">
      <c r="A85" s="137">
        <v>5189</v>
      </c>
      <c r="B85" s="138" t="s">
        <v>2574</v>
      </c>
      <c r="C85" s="139" t="s">
        <v>2575</v>
      </c>
      <c r="D85" s="69">
        <v>365</v>
      </c>
      <c r="E85" s="69">
        <v>365</v>
      </c>
      <c r="F85" s="170">
        <v>730</v>
      </c>
      <c r="G85" s="136">
        <v>365</v>
      </c>
    </row>
    <row r="86" spans="1:7" ht="14.25" customHeight="1" x14ac:dyDescent="0.3">
      <c r="A86" s="137">
        <v>5191</v>
      </c>
      <c r="B86" s="138" t="s">
        <v>2576</v>
      </c>
      <c r="C86" s="139" t="s">
        <v>2572</v>
      </c>
      <c r="D86" s="69">
        <v>365</v>
      </c>
      <c r="E86" s="69">
        <v>365</v>
      </c>
      <c r="F86" s="170">
        <v>730</v>
      </c>
      <c r="G86" s="136">
        <v>365</v>
      </c>
    </row>
    <row r="87" spans="1:7" ht="14.25" customHeight="1" x14ac:dyDescent="0.3">
      <c r="A87" s="137">
        <v>5192</v>
      </c>
      <c r="B87" s="138" t="s">
        <v>2577</v>
      </c>
      <c r="C87" s="139" t="s">
        <v>2575</v>
      </c>
      <c r="D87" s="69">
        <v>365</v>
      </c>
      <c r="E87" s="69">
        <v>365</v>
      </c>
      <c r="F87" s="170">
        <v>730</v>
      </c>
      <c r="G87" s="136">
        <v>365</v>
      </c>
    </row>
    <row r="88" spans="1:7" ht="14.25" customHeight="1" x14ac:dyDescent="0.3">
      <c r="A88" s="137">
        <v>2532</v>
      </c>
      <c r="B88" s="138" t="s">
        <v>1963</v>
      </c>
      <c r="C88" s="139" t="s">
        <v>1964</v>
      </c>
      <c r="D88" s="69">
        <v>365</v>
      </c>
      <c r="E88" s="69">
        <v>365</v>
      </c>
      <c r="F88" s="170">
        <v>730</v>
      </c>
      <c r="G88" s="136">
        <v>365</v>
      </c>
    </row>
    <row r="89" spans="1:7" ht="14.25" customHeight="1" x14ac:dyDescent="0.3">
      <c r="A89" s="131">
        <v>7928</v>
      </c>
      <c r="B89" s="131" t="s">
        <v>2579</v>
      </c>
      <c r="C89" s="135" t="s">
        <v>2580</v>
      </c>
      <c r="D89" s="69">
        <v>84</v>
      </c>
      <c r="E89" s="69">
        <v>182.5</v>
      </c>
      <c r="F89" s="170">
        <v>365</v>
      </c>
      <c r="G89" s="136">
        <v>281</v>
      </c>
    </row>
    <row r="90" spans="1:7" ht="14.25" customHeight="1" x14ac:dyDescent="0.3">
      <c r="A90" s="131">
        <v>2565</v>
      </c>
      <c r="B90" s="131" t="s">
        <v>618</v>
      </c>
      <c r="C90" s="135" t="s">
        <v>37</v>
      </c>
      <c r="D90" s="69">
        <v>84</v>
      </c>
      <c r="E90" s="69">
        <v>182.5</v>
      </c>
      <c r="F90" s="170">
        <v>365</v>
      </c>
      <c r="G90" s="136">
        <v>281</v>
      </c>
    </row>
    <row r="91" spans="1:7" ht="14.25" customHeight="1" x14ac:dyDescent="0.3">
      <c r="A91" s="131">
        <v>2691</v>
      </c>
      <c r="B91" s="131" t="s">
        <v>619</v>
      </c>
      <c r="C91" s="135" t="s">
        <v>342</v>
      </c>
      <c r="D91" s="69">
        <v>84</v>
      </c>
      <c r="E91" s="69">
        <v>182.5</v>
      </c>
      <c r="F91" s="170">
        <v>365</v>
      </c>
      <c r="G91" s="136">
        <v>281</v>
      </c>
    </row>
    <row r="92" spans="1:7" ht="14.25" customHeight="1" x14ac:dyDescent="0.3">
      <c r="A92" s="131">
        <v>2692</v>
      </c>
      <c r="B92" s="131" t="s">
        <v>620</v>
      </c>
      <c r="C92" s="135" t="s">
        <v>343</v>
      </c>
      <c r="D92" s="69">
        <v>84</v>
      </c>
      <c r="E92" s="69">
        <v>182.5</v>
      </c>
      <c r="F92" s="170">
        <v>365</v>
      </c>
      <c r="G92" s="136">
        <v>281</v>
      </c>
    </row>
    <row r="93" spans="1:7" ht="14.25" customHeight="1" x14ac:dyDescent="0.3">
      <c r="A93" s="131">
        <v>2693</v>
      </c>
      <c r="B93" s="131" t="s">
        <v>621</v>
      </c>
      <c r="C93" s="135" t="s">
        <v>344</v>
      </c>
      <c r="D93" s="69">
        <v>84</v>
      </c>
      <c r="E93" s="69">
        <v>182.5</v>
      </c>
      <c r="F93" s="170">
        <v>365</v>
      </c>
      <c r="G93" s="136">
        <v>281</v>
      </c>
    </row>
    <row r="94" spans="1:7" ht="14.25" customHeight="1" x14ac:dyDescent="0.3">
      <c r="A94" s="131">
        <v>5181</v>
      </c>
      <c r="B94" s="131" t="s">
        <v>2517</v>
      </c>
      <c r="C94" s="135" t="s">
        <v>2518</v>
      </c>
      <c r="D94" s="69">
        <v>182.5</v>
      </c>
      <c r="E94" s="69">
        <v>182.5</v>
      </c>
      <c r="F94" s="170">
        <v>365</v>
      </c>
      <c r="G94" s="136">
        <v>281</v>
      </c>
    </row>
    <row r="95" spans="1:7" ht="14.25" customHeight="1" x14ac:dyDescent="0.3">
      <c r="A95" s="131">
        <v>5182</v>
      </c>
      <c r="B95" s="131" t="s">
        <v>2519</v>
      </c>
      <c r="C95" s="135" t="s">
        <v>2520</v>
      </c>
      <c r="D95" s="69">
        <v>182.5</v>
      </c>
      <c r="E95" s="69">
        <v>182.5</v>
      </c>
      <c r="F95" s="170">
        <v>365</v>
      </c>
      <c r="G95" s="136">
        <v>281</v>
      </c>
    </row>
    <row r="96" spans="1:7" ht="14.25" customHeight="1" x14ac:dyDescent="0.3">
      <c r="A96" s="131">
        <v>2694</v>
      </c>
      <c r="B96" s="131" t="s">
        <v>623</v>
      </c>
      <c r="C96" s="135" t="s">
        <v>622</v>
      </c>
      <c r="D96" s="69">
        <v>98</v>
      </c>
      <c r="E96" s="69">
        <v>182.5</v>
      </c>
      <c r="F96" s="170">
        <v>365</v>
      </c>
      <c r="G96" s="136">
        <v>267</v>
      </c>
    </row>
    <row r="97" spans="1:7" ht="14.25" customHeight="1" x14ac:dyDescent="0.3">
      <c r="A97" s="131">
        <v>2696</v>
      </c>
      <c r="B97" s="131" t="s">
        <v>625</v>
      </c>
      <c r="C97" s="135" t="s">
        <v>624</v>
      </c>
      <c r="D97" s="69">
        <v>98</v>
      </c>
      <c r="E97" s="69">
        <v>182.5</v>
      </c>
      <c r="F97" s="170">
        <v>365</v>
      </c>
      <c r="G97" s="136">
        <v>267</v>
      </c>
    </row>
    <row r="98" spans="1:7" ht="14.25" customHeight="1" x14ac:dyDescent="0.3">
      <c r="A98" s="131">
        <v>2941</v>
      </c>
      <c r="B98" s="131" t="s">
        <v>626</v>
      </c>
      <c r="C98" s="135" t="s">
        <v>38</v>
      </c>
      <c r="D98" s="69">
        <v>84</v>
      </c>
      <c r="E98" s="69">
        <v>182.5</v>
      </c>
      <c r="F98" s="170">
        <v>365</v>
      </c>
      <c r="G98" s="136">
        <v>281</v>
      </c>
    </row>
    <row r="99" spans="1:7" ht="14.25" customHeight="1" x14ac:dyDescent="0.3">
      <c r="A99" s="131">
        <v>3392</v>
      </c>
      <c r="B99" s="131" t="s">
        <v>630</v>
      </c>
      <c r="C99" s="135" t="s">
        <v>629</v>
      </c>
      <c r="D99" s="69">
        <v>365</v>
      </c>
      <c r="E99" s="69">
        <v>365</v>
      </c>
      <c r="F99" s="170">
        <v>730</v>
      </c>
      <c r="G99" s="136">
        <v>365</v>
      </c>
    </row>
    <row r="100" spans="1:7" ht="14.25" customHeight="1" x14ac:dyDescent="0.3">
      <c r="A100" s="131">
        <v>3393</v>
      </c>
      <c r="B100" s="131" t="s">
        <v>633</v>
      </c>
      <c r="C100" s="135" t="s">
        <v>632</v>
      </c>
      <c r="D100" s="69">
        <v>365</v>
      </c>
      <c r="E100" s="69">
        <v>365</v>
      </c>
      <c r="F100" s="170">
        <v>730</v>
      </c>
      <c r="G100" s="136">
        <v>365</v>
      </c>
    </row>
    <row r="101" spans="1:7" ht="14.25" customHeight="1" x14ac:dyDescent="0.3">
      <c r="A101" s="131">
        <v>3394</v>
      </c>
      <c r="B101" s="131" t="s">
        <v>2410</v>
      </c>
      <c r="C101" s="135" t="s">
        <v>1792</v>
      </c>
      <c r="D101" s="69">
        <v>365</v>
      </c>
      <c r="E101" s="69">
        <v>365</v>
      </c>
      <c r="F101" s="170">
        <v>730</v>
      </c>
      <c r="G101" s="136">
        <v>365</v>
      </c>
    </row>
    <row r="102" spans="1:7" ht="14.25" customHeight="1" x14ac:dyDescent="0.3">
      <c r="A102" s="131">
        <v>3395</v>
      </c>
      <c r="B102" s="131" t="s">
        <v>2411</v>
      </c>
      <c r="C102" s="135" t="s">
        <v>1793</v>
      </c>
      <c r="D102" s="69">
        <v>84</v>
      </c>
      <c r="E102" s="69">
        <v>182.5</v>
      </c>
      <c r="F102" s="170">
        <v>365</v>
      </c>
      <c r="G102" s="136">
        <v>281</v>
      </c>
    </row>
    <row r="103" spans="1:7" ht="14.25" customHeight="1" x14ac:dyDescent="0.3">
      <c r="A103" s="131">
        <v>3396</v>
      </c>
      <c r="B103" s="131" t="s">
        <v>2412</v>
      </c>
      <c r="C103" s="135" t="s">
        <v>1794</v>
      </c>
      <c r="D103" s="69">
        <v>365</v>
      </c>
      <c r="E103" s="69">
        <v>365</v>
      </c>
      <c r="F103" s="170">
        <v>730</v>
      </c>
      <c r="G103" s="136">
        <v>365</v>
      </c>
    </row>
    <row r="104" spans="1:7" ht="14.25" customHeight="1" x14ac:dyDescent="0.3">
      <c r="A104" s="137">
        <v>3397</v>
      </c>
      <c r="B104" s="138" t="s">
        <v>2413</v>
      </c>
      <c r="C104" s="139" t="s">
        <v>1973</v>
      </c>
      <c r="D104" s="69">
        <v>98</v>
      </c>
      <c r="E104" s="69">
        <v>182.5</v>
      </c>
      <c r="F104" s="170">
        <v>365</v>
      </c>
      <c r="G104" s="136">
        <v>267</v>
      </c>
    </row>
    <row r="105" spans="1:7" ht="14.25" customHeight="1" x14ac:dyDescent="0.3">
      <c r="A105" s="137">
        <v>3621</v>
      </c>
      <c r="B105" s="138" t="s">
        <v>634</v>
      </c>
      <c r="C105" s="139" t="s">
        <v>1670</v>
      </c>
      <c r="D105" s="69">
        <v>365</v>
      </c>
      <c r="E105" s="69">
        <v>365</v>
      </c>
      <c r="F105" s="170">
        <v>730</v>
      </c>
      <c r="G105" s="136">
        <v>365</v>
      </c>
    </row>
    <row r="106" spans="1:7" ht="14.25" customHeight="1" x14ac:dyDescent="0.3">
      <c r="A106" s="131">
        <v>3622</v>
      </c>
      <c r="B106" s="131" t="s">
        <v>635</v>
      </c>
      <c r="C106" s="135" t="s">
        <v>418</v>
      </c>
      <c r="D106" s="69">
        <v>365</v>
      </c>
      <c r="E106" s="69">
        <v>365</v>
      </c>
      <c r="F106" s="170">
        <v>730</v>
      </c>
      <c r="G106" s="136">
        <v>365</v>
      </c>
    </row>
    <row r="107" spans="1:7" ht="14.25" customHeight="1" x14ac:dyDescent="0.3">
      <c r="A107" s="131">
        <v>4040</v>
      </c>
      <c r="B107" s="131" t="s">
        <v>651</v>
      </c>
      <c r="C107" s="135" t="s">
        <v>650</v>
      </c>
      <c r="D107" s="69">
        <v>98</v>
      </c>
      <c r="E107" s="69">
        <v>182.5</v>
      </c>
      <c r="F107" s="170">
        <v>365</v>
      </c>
      <c r="G107" s="136">
        <v>267</v>
      </c>
    </row>
    <row r="108" spans="1:7" ht="14.25" customHeight="1" x14ac:dyDescent="0.3">
      <c r="A108" s="131">
        <v>4178</v>
      </c>
      <c r="B108" s="131" t="s">
        <v>699</v>
      </c>
      <c r="C108" s="135" t="s">
        <v>698</v>
      </c>
      <c r="D108" s="69">
        <v>365</v>
      </c>
      <c r="E108" s="69">
        <v>365</v>
      </c>
      <c r="F108" s="170">
        <v>730</v>
      </c>
      <c r="G108" s="136">
        <v>365</v>
      </c>
    </row>
    <row r="109" spans="1:7" ht="14.25" customHeight="1" x14ac:dyDescent="0.3">
      <c r="A109" s="131">
        <v>4430</v>
      </c>
      <c r="B109" s="131" t="s">
        <v>741</v>
      </c>
      <c r="C109" s="135" t="s">
        <v>740</v>
      </c>
      <c r="D109" s="69">
        <v>84</v>
      </c>
      <c r="E109" s="69">
        <v>182.5</v>
      </c>
      <c r="F109" s="170">
        <v>365</v>
      </c>
      <c r="G109" s="136">
        <v>281</v>
      </c>
    </row>
    <row r="110" spans="1:7" ht="14.25" customHeight="1" x14ac:dyDescent="0.3">
      <c r="A110" s="131">
        <v>5201</v>
      </c>
      <c r="B110" s="131" t="s">
        <v>2700</v>
      </c>
      <c r="C110" s="135" t="s">
        <v>2699</v>
      </c>
      <c r="D110" s="69">
        <v>84</v>
      </c>
      <c r="E110" s="69">
        <v>182.5</v>
      </c>
      <c r="F110" s="170">
        <v>365</v>
      </c>
      <c r="G110" s="136">
        <v>281</v>
      </c>
    </row>
    <row r="111" spans="1:7" ht="14.25" customHeight="1" x14ac:dyDescent="0.3">
      <c r="A111" s="131">
        <v>4432</v>
      </c>
      <c r="B111" s="131" t="s">
        <v>2702</v>
      </c>
      <c r="C111" s="135" t="s">
        <v>2525</v>
      </c>
      <c r="D111" s="69">
        <v>122</v>
      </c>
      <c r="E111" s="69">
        <v>136.5</v>
      </c>
      <c r="F111" s="170">
        <v>273</v>
      </c>
      <c r="G111" s="136">
        <v>151</v>
      </c>
    </row>
    <row r="112" spans="1:7" ht="14.25" customHeight="1" x14ac:dyDescent="0.3">
      <c r="A112" s="131">
        <v>455</v>
      </c>
      <c r="B112" s="131" t="s">
        <v>2512</v>
      </c>
      <c r="C112" s="135" t="s">
        <v>2513</v>
      </c>
      <c r="D112" s="69">
        <v>84</v>
      </c>
      <c r="E112" s="69">
        <v>182.5</v>
      </c>
      <c r="F112" s="170">
        <v>365</v>
      </c>
      <c r="G112" s="136">
        <v>281</v>
      </c>
    </row>
    <row r="113" spans="1:7" ht="14.25" customHeight="1" x14ac:dyDescent="0.3">
      <c r="A113" s="131">
        <v>5782</v>
      </c>
      <c r="B113" s="131" t="s">
        <v>2566</v>
      </c>
      <c r="C113" s="135" t="s">
        <v>2567</v>
      </c>
      <c r="D113" s="69">
        <v>84</v>
      </c>
      <c r="E113" s="69">
        <v>182.5</v>
      </c>
      <c r="F113" s="170">
        <v>365</v>
      </c>
      <c r="G113" s="136">
        <v>281</v>
      </c>
    </row>
    <row r="114" spans="1:7" ht="14.25" customHeight="1" x14ac:dyDescent="0.3">
      <c r="A114" s="131">
        <v>4434</v>
      </c>
      <c r="B114" s="131" t="s">
        <v>745</v>
      </c>
      <c r="C114" s="135" t="s">
        <v>251</v>
      </c>
      <c r="D114" s="69">
        <v>84</v>
      </c>
      <c r="E114" s="69">
        <v>182.5</v>
      </c>
      <c r="F114" s="170">
        <v>365</v>
      </c>
      <c r="G114" s="136">
        <v>281</v>
      </c>
    </row>
    <row r="115" spans="1:7" ht="14.25" customHeight="1" x14ac:dyDescent="0.3">
      <c r="A115" s="131">
        <v>4550</v>
      </c>
      <c r="B115" s="131" t="s">
        <v>765</v>
      </c>
      <c r="C115" s="135" t="s">
        <v>764</v>
      </c>
      <c r="D115" s="69">
        <v>98</v>
      </c>
      <c r="E115" s="69">
        <v>182.5</v>
      </c>
      <c r="F115" s="170">
        <v>365</v>
      </c>
      <c r="G115" s="136">
        <v>267</v>
      </c>
    </row>
    <row r="116" spans="1:7" ht="14.25" customHeight="1" x14ac:dyDescent="0.3">
      <c r="A116" s="137">
        <v>4605</v>
      </c>
      <c r="B116" s="138" t="s">
        <v>2024</v>
      </c>
      <c r="C116" s="139" t="s">
        <v>2025</v>
      </c>
      <c r="D116" s="69">
        <v>365</v>
      </c>
      <c r="E116" s="69">
        <v>365</v>
      </c>
      <c r="F116" s="170">
        <v>730</v>
      </c>
      <c r="G116" s="136">
        <v>365</v>
      </c>
    </row>
    <row r="117" spans="1:7" ht="14.25" customHeight="1" x14ac:dyDescent="0.3">
      <c r="A117" s="131">
        <v>4622</v>
      </c>
      <c r="B117" s="131" t="s">
        <v>780</v>
      </c>
      <c r="C117" s="135" t="s">
        <v>779</v>
      </c>
      <c r="D117" s="69">
        <v>365</v>
      </c>
      <c r="E117" s="69">
        <v>365</v>
      </c>
      <c r="F117" s="170">
        <v>730</v>
      </c>
      <c r="G117" s="136">
        <v>365</v>
      </c>
    </row>
    <row r="118" spans="1:7" ht="14.25" customHeight="1" x14ac:dyDescent="0.3">
      <c r="A118" s="137">
        <v>4623</v>
      </c>
      <c r="B118" s="138" t="s">
        <v>2028</v>
      </c>
      <c r="C118" s="139" t="s">
        <v>2029</v>
      </c>
      <c r="D118" s="69">
        <v>365</v>
      </c>
      <c r="E118" s="69">
        <v>365</v>
      </c>
      <c r="F118" s="170">
        <v>730</v>
      </c>
      <c r="G118" s="136">
        <v>365</v>
      </c>
    </row>
    <row r="119" spans="1:7" ht="14.25" customHeight="1" x14ac:dyDescent="0.3">
      <c r="A119" s="137" t="s">
        <v>2414</v>
      </c>
      <c r="B119" s="137" t="s">
        <v>2414</v>
      </c>
      <c r="C119" s="139" t="s">
        <v>1795</v>
      </c>
      <c r="D119" s="69">
        <v>365</v>
      </c>
      <c r="E119" s="69">
        <v>365</v>
      </c>
      <c r="F119" s="170">
        <v>730</v>
      </c>
      <c r="G119" s="136">
        <v>365</v>
      </c>
    </row>
    <row r="120" spans="1:7" ht="14.25" customHeight="1" x14ac:dyDescent="0.3">
      <c r="A120" s="137" t="s">
        <v>2415</v>
      </c>
      <c r="B120" s="137" t="s">
        <v>2415</v>
      </c>
      <c r="C120" s="139" t="s">
        <v>1796</v>
      </c>
      <c r="D120" s="69">
        <v>365</v>
      </c>
      <c r="E120" s="69">
        <v>365</v>
      </c>
      <c r="F120" s="170">
        <v>730</v>
      </c>
      <c r="G120" s="136">
        <v>365</v>
      </c>
    </row>
    <row r="121" spans="1:7" ht="14.25" customHeight="1" x14ac:dyDescent="0.3">
      <c r="A121" s="137">
        <v>4636</v>
      </c>
      <c r="B121" s="138" t="s">
        <v>783</v>
      </c>
      <c r="C121" s="139" t="s">
        <v>2032</v>
      </c>
      <c r="D121" s="69">
        <v>365</v>
      </c>
      <c r="E121" s="69">
        <v>365</v>
      </c>
      <c r="F121" s="170">
        <v>730</v>
      </c>
      <c r="G121" s="136">
        <v>365</v>
      </c>
    </row>
    <row r="122" spans="1:7" ht="14.25" customHeight="1" x14ac:dyDescent="0.3">
      <c r="A122" s="137">
        <v>4643</v>
      </c>
      <c r="B122" s="138" t="s">
        <v>784</v>
      </c>
      <c r="C122" s="139" t="s">
        <v>1671</v>
      </c>
      <c r="D122" s="69">
        <v>365</v>
      </c>
      <c r="E122" s="69">
        <v>365</v>
      </c>
      <c r="F122" s="170">
        <v>730</v>
      </c>
      <c r="G122" s="136">
        <v>365</v>
      </c>
    </row>
    <row r="123" spans="1:7" ht="14.25" customHeight="1" x14ac:dyDescent="0.3">
      <c r="A123" s="131">
        <v>4660</v>
      </c>
      <c r="B123" s="131" t="s">
        <v>785</v>
      </c>
      <c r="C123" s="135" t="s">
        <v>269</v>
      </c>
      <c r="D123" s="69">
        <v>365</v>
      </c>
      <c r="E123" s="69">
        <v>365</v>
      </c>
      <c r="F123" s="170">
        <v>730</v>
      </c>
      <c r="G123" s="136">
        <v>365</v>
      </c>
    </row>
    <row r="124" spans="1:7" ht="14.25" customHeight="1" x14ac:dyDescent="0.3">
      <c r="A124" s="131">
        <v>4663</v>
      </c>
      <c r="B124" s="131" t="s">
        <v>787</v>
      </c>
      <c r="C124" s="135" t="s">
        <v>268</v>
      </c>
      <c r="D124" s="69">
        <v>365</v>
      </c>
      <c r="E124" s="69">
        <v>365</v>
      </c>
      <c r="F124" s="170">
        <v>730</v>
      </c>
      <c r="G124" s="136">
        <v>365</v>
      </c>
    </row>
    <row r="125" spans="1:7" ht="14.25" customHeight="1" x14ac:dyDescent="0.3">
      <c r="A125" s="131">
        <v>4665</v>
      </c>
      <c r="B125" s="131" t="s">
        <v>788</v>
      </c>
      <c r="C125" s="135" t="s">
        <v>252</v>
      </c>
      <c r="D125" s="69">
        <v>365</v>
      </c>
      <c r="E125" s="69">
        <v>365</v>
      </c>
      <c r="F125" s="170">
        <v>730</v>
      </c>
      <c r="G125" s="136">
        <v>365</v>
      </c>
    </row>
    <row r="126" spans="1:7" ht="14.25" customHeight="1" x14ac:dyDescent="0.3">
      <c r="A126" s="131">
        <v>4666</v>
      </c>
      <c r="B126" s="131" t="s">
        <v>789</v>
      </c>
      <c r="C126" s="135" t="s">
        <v>253</v>
      </c>
      <c r="D126" s="69">
        <v>365</v>
      </c>
      <c r="E126" s="69">
        <v>365</v>
      </c>
      <c r="F126" s="170">
        <v>730</v>
      </c>
      <c r="G126" s="136">
        <v>365</v>
      </c>
    </row>
    <row r="127" spans="1:7" ht="14.25" customHeight="1" x14ac:dyDescent="0.3">
      <c r="A127" s="131">
        <v>4667</v>
      </c>
      <c r="B127" s="131" t="s">
        <v>790</v>
      </c>
      <c r="C127" s="135" t="s">
        <v>254</v>
      </c>
      <c r="D127" s="69">
        <v>365</v>
      </c>
      <c r="E127" s="69">
        <v>365</v>
      </c>
      <c r="F127" s="170">
        <v>730</v>
      </c>
      <c r="G127" s="136">
        <v>365</v>
      </c>
    </row>
    <row r="128" spans="1:7" ht="14.25" customHeight="1" x14ac:dyDescent="0.3">
      <c r="A128" s="131">
        <v>4668</v>
      </c>
      <c r="B128" s="131" t="s">
        <v>791</v>
      </c>
      <c r="C128" s="135" t="s">
        <v>255</v>
      </c>
      <c r="D128" s="69">
        <v>365</v>
      </c>
      <c r="E128" s="69">
        <v>365</v>
      </c>
      <c r="F128" s="170">
        <v>730</v>
      </c>
      <c r="G128" s="136">
        <v>365</v>
      </c>
    </row>
    <row r="129" spans="1:7" ht="14.25" customHeight="1" x14ac:dyDescent="0.3">
      <c r="A129" s="131">
        <v>4669</v>
      </c>
      <c r="B129" s="131" t="s">
        <v>792</v>
      </c>
      <c r="C129" s="135" t="s">
        <v>256</v>
      </c>
      <c r="D129" s="69">
        <v>365</v>
      </c>
      <c r="E129" s="69">
        <v>365</v>
      </c>
      <c r="F129" s="170">
        <v>730</v>
      </c>
      <c r="G129" s="136">
        <v>365</v>
      </c>
    </row>
    <row r="130" spans="1:7" ht="14.25" customHeight="1" x14ac:dyDescent="0.3">
      <c r="A130" s="131">
        <v>4670</v>
      </c>
      <c r="B130" s="131" t="s">
        <v>793</v>
      </c>
      <c r="C130" s="135" t="s">
        <v>257</v>
      </c>
      <c r="D130" s="69">
        <v>365</v>
      </c>
      <c r="E130" s="69">
        <v>365</v>
      </c>
      <c r="F130" s="170">
        <v>730</v>
      </c>
      <c r="G130" s="136">
        <v>365</v>
      </c>
    </row>
    <row r="131" spans="1:7" ht="14.25" customHeight="1" x14ac:dyDescent="0.3">
      <c r="A131" s="131">
        <v>4671</v>
      </c>
      <c r="B131" s="131" t="s">
        <v>794</v>
      </c>
      <c r="C131" s="135" t="s">
        <v>258</v>
      </c>
      <c r="D131" s="69">
        <v>365</v>
      </c>
      <c r="E131" s="69">
        <v>365</v>
      </c>
      <c r="F131" s="170">
        <v>730</v>
      </c>
      <c r="G131" s="136">
        <v>365</v>
      </c>
    </row>
    <row r="132" spans="1:7" ht="14.25" customHeight="1" x14ac:dyDescent="0.3">
      <c r="A132" s="137">
        <v>4681</v>
      </c>
      <c r="B132" s="131" t="s">
        <v>795</v>
      </c>
      <c r="C132" s="139" t="s">
        <v>385</v>
      </c>
      <c r="D132" s="69">
        <v>365</v>
      </c>
      <c r="E132" s="69">
        <v>365</v>
      </c>
      <c r="F132" s="170">
        <v>730</v>
      </c>
      <c r="G132" s="136">
        <v>365</v>
      </c>
    </row>
    <row r="133" spans="1:7" ht="14.25" customHeight="1" x14ac:dyDescent="0.3">
      <c r="A133" s="137">
        <v>4682</v>
      </c>
      <c r="B133" s="131" t="s">
        <v>796</v>
      </c>
      <c r="C133" s="139" t="s">
        <v>386</v>
      </c>
      <c r="D133" s="69">
        <v>365</v>
      </c>
      <c r="E133" s="69">
        <v>365</v>
      </c>
      <c r="F133" s="170">
        <v>730</v>
      </c>
      <c r="G133" s="136">
        <v>365</v>
      </c>
    </row>
    <row r="134" spans="1:7" ht="14.25" customHeight="1" x14ac:dyDescent="0.3">
      <c r="A134" s="137">
        <v>4683</v>
      </c>
      <c r="B134" s="131" t="s">
        <v>797</v>
      </c>
      <c r="C134" s="139" t="s">
        <v>387</v>
      </c>
      <c r="D134" s="69">
        <v>365</v>
      </c>
      <c r="E134" s="69">
        <v>365</v>
      </c>
      <c r="F134" s="170">
        <v>730</v>
      </c>
      <c r="G134" s="136">
        <v>365</v>
      </c>
    </row>
    <row r="135" spans="1:7" ht="14.25" customHeight="1" x14ac:dyDescent="0.3">
      <c r="A135" s="137">
        <v>4684</v>
      </c>
      <c r="B135" s="131" t="s">
        <v>798</v>
      </c>
      <c r="C135" s="139" t="s">
        <v>388</v>
      </c>
      <c r="D135" s="69">
        <v>365</v>
      </c>
      <c r="E135" s="69">
        <v>365</v>
      </c>
      <c r="F135" s="170">
        <v>730</v>
      </c>
      <c r="G135" s="136">
        <v>365</v>
      </c>
    </row>
    <row r="136" spans="1:7" ht="14.25" customHeight="1" x14ac:dyDescent="0.3">
      <c r="A136" s="137">
        <v>4685</v>
      </c>
      <c r="B136" s="131" t="s">
        <v>799</v>
      </c>
      <c r="C136" s="139" t="s">
        <v>389</v>
      </c>
      <c r="D136" s="69">
        <v>365</v>
      </c>
      <c r="E136" s="69">
        <v>365</v>
      </c>
      <c r="F136" s="170">
        <v>730</v>
      </c>
      <c r="G136" s="136">
        <v>365</v>
      </c>
    </row>
    <row r="137" spans="1:7" ht="14.25" customHeight="1" x14ac:dyDescent="0.3">
      <c r="A137" s="137">
        <v>4686</v>
      </c>
      <c r="B137" s="131" t="s">
        <v>800</v>
      </c>
      <c r="C137" s="139" t="s">
        <v>390</v>
      </c>
      <c r="D137" s="69">
        <v>365</v>
      </c>
      <c r="E137" s="69">
        <v>365</v>
      </c>
      <c r="F137" s="170">
        <v>730</v>
      </c>
      <c r="G137" s="136">
        <v>365</v>
      </c>
    </row>
    <row r="138" spans="1:7" ht="14.25" customHeight="1" x14ac:dyDescent="0.3">
      <c r="A138" s="137">
        <v>4687</v>
      </c>
      <c r="B138" s="131" t="s">
        <v>801</v>
      </c>
      <c r="C138" s="139" t="s">
        <v>391</v>
      </c>
      <c r="D138" s="69">
        <v>365</v>
      </c>
      <c r="E138" s="69">
        <v>365</v>
      </c>
      <c r="F138" s="170">
        <v>730</v>
      </c>
      <c r="G138" s="136">
        <v>365</v>
      </c>
    </row>
    <row r="139" spans="1:7" ht="14.25" customHeight="1" x14ac:dyDescent="0.3">
      <c r="A139" s="137">
        <v>4688</v>
      </c>
      <c r="B139" s="131" t="s">
        <v>802</v>
      </c>
      <c r="C139" s="139" t="s">
        <v>392</v>
      </c>
      <c r="D139" s="69">
        <v>365</v>
      </c>
      <c r="E139" s="69">
        <v>365</v>
      </c>
      <c r="F139" s="170">
        <v>730</v>
      </c>
      <c r="G139" s="136">
        <v>365</v>
      </c>
    </row>
    <row r="140" spans="1:7" ht="14.25" customHeight="1" x14ac:dyDescent="0.3">
      <c r="A140" s="137">
        <v>4689</v>
      </c>
      <c r="B140" s="131" t="s">
        <v>803</v>
      </c>
      <c r="C140" s="139" t="s">
        <v>393</v>
      </c>
      <c r="D140" s="69">
        <v>365</v>
      </c>
      <c r="E140" s="69">
        <v>365</v>
      </c>
      <c r="F140" s="170">
        <v>730</v>
      </c>
      <c r="G140" s="136">
        <v>365</v>
      </c>
    </row>
    <row r="141" spans="1:7" ht="14.25" customHeight="1" x14ac:dyDescent="0.3">
      <c r="A141" s="137">
        <v>4690</v>
      </c>
      <c r="B141" s="131" t="s">
        <v>804</v>
      </c>
      <c r="C141" s="139" t="s">
        <v>394</v>
      </c>
      <c r="D141" s="69">
        <v>365</v>
      </c>
      <c r="E141" s="69">
        <v>365</v>
      </c>
      <c r="F141" s="170">
        <v>730</v>
      </c>
      <c r="G141" s="136">
        <v>365</v>
      </c>
    </row>
    <row r="142" spans="1:7" ht="14.25" customHeight="1" x14ac:dyDescent="0.3">
      <c r="A142" s="137">
        <v>4691</v>
      </c>
      <c r="B142" s="131" t="s">
        <v>805</v>
      </c>
      <c r="C142" s="139" t="s">
        <v>395</v>
      </c>
      <c r="D142" s="69">
        <v>365</v>
      </c>
      <c r="E142" s="69">
        <v>365</v>
      </c>
      <c r="F142" s="170">
        <v>730</v>
      </c>
      <c r="G142" s="136">
        <v>365</v>
      </c>
    </row>
    <row r="143" spans="1:7" ht="14.25" customHeight="1" x14ac:dyDescent="0.3">
      <c r="A143" s="137">
        <v>4692</v>
      </c>
      <c r="B143" s="131" t="s">
        <v>806</v>
      </c>
      <c r="C143" s="139" t="s">
        <v>396</v>
      </c>
      <c r="D143" s="69">
        <v>365</v>
      </c>
      <c r="E143" s="69">
        <v>365</v>
      </c>
      <c r="F143" s="170">
        <v>730</v>
      </c>
      <c r="G143" s="136">
        <v>365</v>
      </c>
    </row>
    <row r="144" spans="1:7" ht="14.25" customHeight="1" x14ac:dyDescent="0.3">
      <c r="A144" s="137">
        <v>4693</v>
      </c>
      <c r="B144" s="131" t="s">
        <v>807</v>
      </c>
      <c r="C144" s="139" t="s">
        <v>397</v>
      </c>
      <c r="D144" s="69">
        <v>365</v>
      </c>
      <c r="E144" s="69">
        <v>365</v>
      </c>
      <c r="F144" s="170">
        <v>730</v>
      </c>
      <c r="G144" s="136">
        <v>365</v>
      </c>
    </row>
    <row r="145" spans="1:7" ht="14.25" customHeight="1" x14ac:dyDescent="0.3">
      <c r="A145" s="137">
        <v>4694</v>
      </c>
      <c r="B145" s="131" t="s">
        <v>808</v>
      </c>
      <c r="C145" s="139" t="s">
        <v>398</v>
      </c>
      <c r="D145" s="69">
        <v>365</v>
      </c>
      <c r="E145" s="69">
        <v>365</v>
      </c>
      <c r="F145" s="170">
        <v>730</v>
      </c>
      <c r="G145" s="136">
        <v>365</v>
      </c>
    </row>
    <row r="146" spans="1:7" ht="14.25" customHeight="1" x14ac:dyDescent="0.3">
      <c r="A146" s="137">
        <v>4695</v>
      </c>
      <c r="B146" s="131" t="s">
        <v>809</v>
      </c>
      <c r="C146" s="139" t="s">
        <v>399</v>
      </c>
      <c r="D146" s="69">
        <v>365</v>
      </c>
      <c r="E146" s="69">
        <v>365</v>
      </c>
      <c r="F146" s="170">
        <v>730</v>
      </c>
      <c r="G146" s="136">
        <v>365</v>
      </c>
    </row>
    <row r="147" spans="1:7" ht="14.25" customHeight="1" x14ac:dyDescent="0.3">
      <c r="A147" s="131">
        <v>4705</v>
      </c>
      <c r="B147" s="131" t="s">
        <v>810</v>
      </c>
      <c r="C147" s="135" t="s">
        <v>50</v>
      </c>
      <c r="D147" s="69">
        <v>365</v>
      </c>
      <c r="E147" s="69">
        <v>365</v>
      </c>
      <c r="F147" s="170">
        <v>730</v>
      </c>
      <c r="G147" s="136">
        <v>365</v>
      </c>
    </row>
    <row r="148" spans="1:7" ht="14.25" customHeight="1" x14ac:dyDescent="0.3">
      <c r="A148" s="131">
        <v>4712</v>
      </c>
      <c r="B148" s="131" t="s">
        <v>811</v>
      </c>
      <c r="C148" s="135" t="s">
        <v>51</v>
      </c>
      <c r="D148" s="69">
        <v>365</v>
      </c>
      <c r="E148" s="69">
        <v>365</v>
      </c>
      <c r="F148" s="170">
        <v>730</v>
      </c>
      <c r="G148" s="136">
        <v>365</v>
      </c>
    </row>
    <row r="149" spans="1:7" ht="14.25" customHeight="1" x14ac:dyDescent="0.3">
      <c r="A149" s="131">
        <v>4720</v>
      </c>
      <c r="B149" s="131" t="s">
        <v>813</v>
      </c>
      <c r="C149" s="135" t="s">
        <v>812</v>
      </c>
      <c r="D149" s="69">
        <v>365</v>
      </c>
      <c r="E149" s="69">
        <v>365</v>
      </c>
      <c r="F149" s="170">
        <v>730</v>
      </c>
      <c r="G149" s="136">
        <v>365</v>
      </c>
    </row>
    <row r="150" spans="1:7" ht="14.25" customHeight="1" x14ac:dyDescent="0.3">
      <c r="A150" s="137">
        <v>4721</v>
      </c>
      <c r="B150" s="138" t="s">
        <v>814</v>
      </c>
      <c r="C150" s="139" t="s">
        <v>1672</v>
      </c>
      <c r="D150" s="69">
        <v>365</v>
      </c>
      <c r="E150" s="69">
        <v>365</v>
      </c>
      <c r="F150" s="170">
        <v>730</v>
      </c>
      <c r="G150" s="136">
        <v>365</v>
      </c>
    </row>
    <row r="151" spans="1:7" ht="14.25" customHeight="1" x14ac:dyDescent="0.3">
      <c r="A151" s="131">
        <v>4820</v>
      </c>
      <c r="B151" s="131" t="s">
        <v>815</v>
      </c>
      <c r="C151" s="135" t="s">
        <v>52</v>
      </c>
      <c r="D151" s="69">
        <v>365</v>
      </c>
      <c r="E151" s="69">
        <v>365</v>
      </c>
      <c r="F151" s="170">
        <v>730</v>
      </c>
      <c r="G151" s="136">
        <v>365</v>
      </c>
    </row>
    <row r="152" spans="1:7" ht="14.25" customHeight="1" x14ac:dyDescent="0.3">
      <c r="A152" s="131">
        <v>4822</v>
      </c>
      <c r="B152" s="131" t="s">
        <v>817</v>
      </c>
      <c r="C152" s="135" t="s">
        <v>816</v>
      </c>
      <c r="D152" s="69">
        <v>365</v>
      </c>
      <c r="E152" s="69">
        <v>365</v>
      </c>
      <c r="F152" s="170">
        <v>730</v>
      </c>
      <c r="G152" s="136">
        <v>365</v>
      </c>
    </row>
    <row r="153" spans="1:7" ht="14.25" customHeight="1" x14ac:dyDescent="0.3">
      <c r="A153" s="131">
        <v>4830</v>
      </c>
      <c r="B153" s="131" t="s">
        <v>1673</v>
      </c>
      <c r="C153" s="135" t="s">
        <v>294</v>
      </c>
      <c r="D153" s="69">
        <v>365</v>
      </c>
      <c r="E153" s="69">
        <v>365</v>
      </c>
      <c r="F153" s="170">
        <v>730</v>
      </c>
      <c r="G153" s="136">
        <v>365</v>
      </c>
    </row>
    <row r="154" spans="1:7" ht="14.25" customHeight="1" x14ac:dyDescent="0.3">
      <c r="A154" s="131">
        <v>4835</v>
      </c>
      <c r="B154" s="131" t="s">
        <v>829</v>
      </c>
      <c r="C154" s="135" t="s">
        <v>828</v>
      </c>
      <c r="D154" s="69">
        <v>365</v>
      </c>
      <c r="E154" s="69">
        <v>365</v>
      </c>
      <c r="F154" s="170">
        <v>730</v>
      </c>
      <c r="G154" s="136">
        <v>365</v>
      </c>
    </row>
    <row r="155" spans="1:7" ht="14.25" customHeight="1" x14ac:dyDescent="0.3">
      <c r="A155" s="131">
        <v>4843</v>
      </c>
      <c r="B155" s="131" t="s">
        <v>831</v>
      </c>
      <c r="C155" s="135" t="s">
        <v>194</v>
      </c>
      <c r="D155" s="69">
        <v>365</v>
      </c>
      <c r="E155" s="69">
        <v>365</v>
      </c>
      <c r="F155" s="170">
        <v>730</v>
      </c>
      <c r="G155" s="136">
        <v>365</v>
      </c>
    </row>
    <row r="156" spans="1:7" ht="14.25" customHeight="1" x14ac:dyDescent="0.3">
      <c r="A156" s="131">
        <v>4857</v>
      </c>
      <c r="B156" s="131" t="s">
        <v>835</v>
      </c>
      <c r="C156" s="135" t="s">
        <v>57</v>
      </c>
      <c r="D156" s="69">
        <v>365</v>
      </c>
      <c r="E156" s="69">
        <v>365</v>
      </c>
      <c r="F156" s="170">
        <v>730</v>
      </c>
      <c r="G156" s="136">
        <v>365</v>
      </c>
    </row>
    <row r="157" spans="1:7" ht="14.25" customHeight="1" x14ac:dyDescent="0.3">
      <c r="A157" s="131">
        <v>4861</v>
      </c>
      <c r="B157" s="131" t="s">
        <v>841</v>
      </c>
      <c r="C157" s="135" t="s">
        <v>840</v>
      </c>
      <c r="D157" s="69">
        <v>365</v>
      </c>
      <c r="E157" s="69">
        <v>365</v>
      </c>
      <c r="F157" s="170">
        <v>730</v>
      </c>
      <c r="G157" s="136">
        <v>365</v>
      </c>
    </row>
    <row r="158" spans="1:7" ht="14.25" customHeight="1" x14ac:dyDescent="0.3">
      <c r="A158" s="131">
        <v>4893</v>
      </c>
      <c r="B158" s="131" t="s">
        <v>863</v>
      </c>
      <c r="C158" s="135" t="s">
        <v>862</v>
      </c>
      <c r="D158" s="69">
        <v>140</v>
      </c>
      <c r="E158" s="69">
        <v>365</v>
      </c>
      <c r="F158" s="170">
        <v>730</v>
      </c>
      <c r="G158" s="136">
        <v>590</v>
      </c>
    </row>
    <row r="159" spans="1:7" ht="14.25" customHeight="1" x14ac:dyDescent="0.3">
      <c r="A159" s="137">
        <v>5104</v>
      </c>
      <c r="B159" s="138" t="s">
        <v>2041</v>
      </c>
      <c r="C159" s="139" t="s">
        <v>2042</v>
      </c>
      <c r="D159" s="69">
        <v>98</v>
      </c>
      <c r="E159" s="69">
        <v>182.5</v>
      </c>
      <c r="F159" s="170">
        <v>365</v>
      </c>
      <c r="G159" s="136">
        <v>267</v>
      </c>
    </row>
    <row r="160" spans="1:7" ht="14.25" customHeight="1" x14ac:dyDescent="0.3">
      <c r="A160" s="131">
        <v>5106</v>
      </c>
      <c r="B160" s="131" t="s">
        <v>909</v>
      </c>
      <c r="C160" s="135" t="s">
        <v>908</v>
      </c>
      <c r="D160" s="69">
        <v>98</v>
      </c>
      <c r="E160" s="69">
        <v>182.5</v>
      </c>
      <c r="F160" s="170">
        <v>365</v>
      </c>
      <c r="G160" s="136">
        <v>267</v>
      </c>
    </row>
    <row r="161" spans="1:12" ht="14.25" customHeight="1" x14ac:dyDescent="0.3">
      <c r="A161" s="131">
        <v>5108</v>
      </c>
      <c r="B161" s="131" t="s">
        <v>911</v>
      </c>
      <c r="C161" s="135" t="s">
        <v>910</v>
      </c>
      <c r="D161" s="69">
        <v>98</v>
      </c>
      <c r="E161" s="69">
        <v>182.5</v>
      </c>
      <c r="F161" s="170">
        <v>365</v>
      </c>
      <c r="G161" s="136">
        <v>267</v>
      </c>
    </row>
    <row r="162" spans="1:12" ht="14.25" customHeight="1" x14ac:dyDescent="0.3">
      <c r="A162" s="131">
        <v>5109</v>
      </c>
      <c r="B162" s="131" t="s">
        <v>913</v>
      </c>
      <c r="C162" s="135" t="s">
        <v>912</v>
      </c>
      <c r="D162" s="69">
        <v>98</v>
      </c>
      <c r="E162" s="69">
        <v>182.5</v>
      </c>
      <c r="F162" s="170">
        <v>365</v>
      </c>
      <c r="G162" s="136">
        <v>267</v>
      </c>
      <c r="K162" s="140"/>
      <c r="L162" s="140"/>
    </row>
    <row r="163" spans="1:12" ht="14.25" customHeight="1" x14ac:dyDescent="0.3">
      <c r="A163" s="131">
        <v>5110</v>
      </c>
      <c r="B163" s="131" t="s">
        <v>915</v>
      </c>
      <c r="C163" s="135" t="s">
        <v>914</v>
      </c>
      <c r="D163" s="69">
        <v>98</v>
      </c>
      <c r="E163" s="69">
        <v>182.5</v>
      </c>
      <c r="F163" s="170">
        <v>365</v>
      </c>
      <c r="G163" s="136">
        <v>267</v>
      </c>
    </row>
    <row r="164" spans="1:12" ht="14.25" customHeight="1" x14ac:dyDescent="0.3">
      <c r="A164" s="131">
        <v>5111</v>
      </c>
      <c r="B164" s="131" t="s">
        <v>917</v>
      </c>
      <c r="C164" s="135" t="s">
        <v>916</v>
      </c>
      <c r="D164" s="69">
        <v>84</v>
      </c>
      <c r="E164" s="69">
        <v>182.5</v>
      </c>
      <c r="F164" s="170">
        <v>365</v>
      </c>
      <c r="G164" s="136">
        <v>281</v>
      </c>
    </row>
    <row r="165" spans="1:12" ht="14.25" customHeight="1" x14ac:dyDescent="0.3">
      <c r="A165" s="131">
        <v>5113</v>
      </c>
      <c r="B165" s="131" t="s">
        <v>919</v>
      </c>
      <c r="C165" s="135" t="s">
        <v>199</v>
      </c>
      <c r="D165" s="69">
        <v>98</v>
      </c>
      <c r="E165" s="69">
        <v>182.5</v>
      </c>
      <c r="F165" s="170">
        <v>365</v>
      </c>
      <c r="G165" s="136">
        <v>267</v>
      </c>
    </row>
    <row r="166" spans="1:12" ht="14.25" customHeight="1" x14ac:dyDescent="0.3">
      <c r="A166" s="137">
        <v>5113</v>
      </c>
      <c r="B166" s="138" t="s">
        <v>2043</v>
      </c>
      <c r="C166" s="139" t="s">
        <v>2044</v>
      </c>
      <c r="D166" s="69">
        <v>84</v>
      </c>
      <c r="E166" s="69">
        <v>182.5</v>
      </c>
      <c r="F166" s="170">
        <v>365</v>
      </c>
      <c r="G166" s="136">
        <v>281</v>
      </c>
    </row>
    <row r="167" spans="1:12" ht="14.25" customHeight="1" x14ac:dyDescent="0.3">
      <c r="A167" s="131">
        <v>5116</v>
      </c>
      <c r="B167" s="131" t="s">
        <v>921</v>
      </c>
      <c r="C167" s="135" t="s">
        <v>920</v>
      </c>
      <c r="D167" s="69">
        <v>98</v>
      </c>
      <c r="E167" s="69">
        <v>182.5</v>
      </c>
      <c r="F167" s="170">
        <v>365</v>
      </c>
      <c r="G167" s="136">
        <v>267</v>
      </c>
    </row>
    <row r="168" spans="1:12" ht="14.25" customHeight="1" x14ac:dyDescent="0.3">
      <c r="A168" s="131">
        <v>5117</v>
      </c>
      <c r="B168" s="131" t="s">
        <v>923</v>
      </c>
      <c r="C168" s="135" t="s">
        <v>922</v>
      </c>
      <c r="D168" s="69">
        <v>98</v>
      </c>
      <c r="E168" s="69">
        <v>182.5</v>
      </c>
      <c r="F168" s="170">
        <v>365</v>
      </c>
      <c r="G168" s="136">
        <v>267</v>
      </c>
    </row>
    <row r="169" spans="1:12" ht="14.25" customHeight="1" x14ac:dyDescent="0.3">
      <c r="A169" s="131">
        <v>5118</v>
      </c>
      <c r="B169" s="131" t="s">
        <v>925</v>
      </c>
      <c r="C169" s="135" t="s">
        <v>924</v>
      </c>
      <c r="D169" s="69">
        <v>365</v>
      </c>
      <c r="E169" s="69">
        <v>365</v>
      </c>
      <c r="F169" s="170">
        <v>730</v>
      </c>
      <c r="G169" s="136">
        <v>365</v>
      </c>
    </row>
    <row r="170" spans="1:12" ht="14.25" customHeight="1" x14ac:dyDescent="0.3">
      <c r="A170" s="131">
        <v>5135</v>
      </c>
      <c r="B170" s="131" t="s">
        <v>926</v>
      </c>
      <c r="C170" s="135" t="s">
        <v>297</v>
      </c>
      <c r="D170" s="69">
        <v>84</v>
      </c>
      <c r="E170" s="69">
        <v>182.5</v>
      </c>
      <c r="F170" s="170">
        <v>365</v>
      </c>
      <c r="G170" s="136">
        <v>281</v>
      </c>
    </row>
    <row r="171" spans="1:12" ht="14.25" customHeight="1" x14ac:dyDescent="0.3">
      <c r="A171" s="131">
        <v>5136</v>
      </c>
      <c r="B171" s="131" t="s">
        <v>927</v>
      </c>
      <c r="C171" s="135" t="s">
        <v>298</v>
      </c>
      <c r="D171" s="69">
        <v>84</v>
      </c>
      <c r="E171" s="69">
        <v>182.5</v>
      </c>
      <c r="F171" s="170">
        <v>365</v>
      </c>
      <c r="G171" s="136">
        <v>281</v>
      </c>
    </row>
    <row r="172" spans="1:12" ht="14.25" customHeight="1" x14ac:dyDescent="0.3">
      <c r="A172" s="137">
        <v>5174</v>
      </c>
      <c r="B172" s="138" t="s">
        <v>2045</v>
      </c>
      <c r="C172" s="139" t="s">
        <v>2046</v>
      </c>
      <c r="D172" s="69">
        <v>84</v>
      </c>
      <c r="E172" s="69">
        <v>182.5</v>
      </c>
      <c r="F172" s="170">
        <v>365</v>
      </c>
      <c r="G172" s="136">
        <v>281</v>
      </c>
    </row>
    <row r="173" spans="1:12" ht="14.25" customHeight="1" x14ac:dyDescent="0.3">
      <c r="A173" s="137">
        <v>5175</v>
      </c>
      <c r="B173" s="131" t="s">
        <v>928</v>
      </c>
      <c r="C173" s="139" t="s">
        <v>1674</v>
      </c>
      <c r="D173" s="69">
        <v>84</v>
      </c>
      <c r="E173" s="69">
        <v>182.5</v>
      </c>
      <c r="F173" s="170">
        <v>365</v>
      </c>
      <c r="G173" s="136">
        <v>281</v>
      </c>
    </row>
    <row r="174" spans="1:12" ht="14.25" customHeight="1" x14ac:dyDescent="0.3">
      <c r="A174" s="131">
        <v>5657</v>
      </c>
      <c r="B174" s="131" t="s">
        <v>1064</v>
      </c>
      <c r="C174" s="135" t="s">
        <v>1063</v>
      </c>
      <c r="D174" s="69">
        <v>98</v>
      </c>
      <c r="E174" s="69">
        <v>182.5</v>
      </c>
      <c r="F174" s="170">
        <v>365</v>
      </c>
      <c r="G174" s="136">
        <v>267</v>
      </c>
    </row>
    <row r="175" spans="1:12" ht="14.25" customHeight="1" x14ac:dyDescent="0.3">
      <c r="A175" s="137">
        <v>5695</v>
      </c>
      <c r="B175" s="138" t="s">
        <v>2066</v>
      </c>
      <c r="C175" s="139" t="s">
        <v>2067</v>
      </c>
      <c r="D175" s="69">
        <v>365</v>
      </c>
      <c r="E175" s="69">
        <v>365</v>
      </c>
      <c r="F175" s="170">
        <v>730</v>
      </c>
      <c r="G175" s="136">
        <v>365</v>
      </c>
    </row>
    <row r="176" spans="1:12" ht="14.25" customHeight="1" x14ac:dyDescent="0.3">
      <c r="A176" s="137">
        <v>5696</v>
      </c>
      <c r="B176" s="138" t="s">
        <v>2068</v>
      </c>
      <c r="C176" s="139" t="s">
        <v>2069</v>
      </c>
      <c r="D176" s="69">
        <v>365</v>
      </c>
      <c r="E176" s="69">
        <v>365</v>
      </c>
      <c r="F176" s="170">
        <v>730</v>
      </c>
      <c r="G176" s="136">
        <v>365</v>
      </c>
    </row>
    <row r="177" spans="1:7" ht="14.25" customHeight="1" x14ac:dyDescent="0.3">
      <c r="A177" s="137">
        <v>5697</v>
      </c>
      <c r="B177" s="138" t="s">
        <v>2070</v>
      </c>
      <c r="C177" s="139" t="s">
        <v>2071</v>
      </c>
      <c r="D177" s="69">
        <v>365</v>
      </c>
      <c r="E177" s="69">
        <v>365</v>
      </c>
      <c r="F177" s="170">
        <v>730</v>
      </c>
      <c r="G177" s="136">
        <v>365</v>
      </c>
    </row>
    <row r="178" spans="1:7" ht="14.25" customHeight="1" x14ac:dyDescent="0.3">
      <c r="A178" s="137">
        <v>5698</v>
      </c>
      <c r="B178" s="138" t="s">
        <v>2072</v>
      </c>
      <c r="C178" s="139" t="s">
        <v>2073</v>
      </c>
      <c r="D178" s="69">
        <v>365</v>
      </c>
      <c r="E178" s="69">
        <v>365</v>
      </c>
      <c r="F178" s="170">
        <v>730</v>
      </c>
      <c r="G178" s="136">
        <v>365</v>
      </c>
    </row>
    <row r="179" spans="1:7" ht="14.25" customHeight="1" x14ac:dyDescent="0.3">
      <c r="A179" s="131">
        <v>5700</v>
      </c>
      <c r="B179" s="131" t="s">
        <v>1067</v>
      </c>
      <c r="C179" s="135" t="s">
        <v>1066</v>
      </c>
      <c r="D179" s="69">
        <v>365</v>
      </c>
      <c r="E179" s="69">
        <v>365</v>
      </c>
      <c r="F179" s="170">
        <v>730</v>
      </c>
      <c r="G179" s="136">
        <v>365</v>
      </c>
    </row>
    <row r="180" spans="1:7" ht="14.25" customHeight="1" x14ac:dyDescent="0.3">
      <c r="A180" s="138" t="s">
        <v>1767</v>
      </c>
      <c r="B180" s="138" t="s">
        <v>1767</v>
      </c>
      <c r="C180" s="139" t="s">
        <v>1797</v>
      </c>
      <c r="D180" s="69">
        <v>365</v>
      </c>
      <c r="E180" s="69">
        <v>365</v>
      </c>
      <c r="F180" s="170">
        <v>730</v>
      </c>
      <c r="G180" s="136">
        <v>365</v>
      </c>
    </row>
    <row r="181" spans="1:7" ht="14.25" customHeight="1" x14ac:dyDescent="0.3">
      <c r="A181" s="131">
        <v>5702</v>
      </c>
      <c r="B181" s="131" t="s">
        <v>1071</v>
      </c>
      <c r="C181" s="135" t="s">
        <v>1070</v>
      </c>
      <c r="D181" s="69">
        <v>365</v>
      </c>
      <c r="E181" s="69">
        <v>365</v>
      </c>
      <c r="F181" s="170">
        <v>730</v>
      </c>
      <c r="G181" s="136">
        <v>365</v>
      </c>
    </row>
    <row r="182" spans="1:7" ht="14.25" customHeight="1" x14ac:dyDescent="0.3">
      <c r="A182" s="137" t="s">
        <v>2416</v>
      </c>
      <c r="B182" s="138" t="s">
        <v>2416</v>
      </c>
      <c r="C182" s="139" t="s">
        <v>2257</v>
      </c>
      <c r="D182" s="69">
        <v>365</v>
      </c>
      <c r="E182" s="69">
        <v>365</v>
      </c>
      <c r="F182" s="170">
        <v>730</v>
      </c>
      <c r="G182" s="136">
        <v>365</v>
      </c>
    </row>
    <row r="183" spans="1:7" ht="14.25" customHeight="1" x14ac:dyDescent="0.3">
      <c r="A183" s="131">
        <v>5704</v>
      </c>
      <c r="B183" s="131" t="s">
        <v>1075</v>
      </c>
      <c r="C183" s="135" t="s">
        <v>1074</v>
      </c>
      <c r="D183" s="69">
        <v>365</v>
      </c>
      <c r="E183" s="69">
        <v>365</v>
      </c>
      <c r="F183" s="170">
        <v>730</v>
      </c>
      <c r="G183" s="136">
        <v>365</v>
      </c>
    </row>
    <row r="184" spans="1:7" ht="14.25" customHeight="1" x14ac:dyDescent="0.3">
      <c r="A184" s="137">
        <v>5707</v>
      </c>
      <c r="B184" s="138" t="s">
        <v>1076</v>
      </c>
      <c r="C184" s="139" t="s">
        <v>1675</v>
      </c>
      <c r="D184" s="69">
        <v>365</v>
      </c>
      <c r="E184" s="69">
        <v>365</v>
      </c>
      <c r="F184" s="170">
        <v>730</v>
      </c>
      <c r="G184" s="136">
        <v>365</v>
      </c>
    </row>
    <row r="185" spans="1:7" ht="14.25" customHeight="1" x14ac:dyDescent="0.3">
      <c r="A185" s="138" t="s">
        <v>1798</v>
      </c>
      <c r="B185" s="138" t="s">
        <v>1798</v>
      </c>
      <c r="C185" s="139" t="s">
        <v>1799</v>
      </c>
      <c r="D185" s="69">
        <v>365</v>
      </c>
      <c r="E185" s="69">
        <v>365</v>
      </c>
      <c r="F185" s="170">
        <v>730</v>
      </c>
      <c r="G185" s="136">
        <v>365</v>
      </c>
    </row>
    <row r="186" spans="1:7" ht="14.25" customHeight="1" x14ac:dyDescent="0.3">
      <c r="A186" s="131">
        <v>5710</v>
      </c>
      <c r="B186" s="131" t="s">
        <v>1078</v>
      </c>
      <c r="C186" s="135" t="s">
        <v>1077</v>
      </c>
      <c r="D186" s="69">
        <v>70</v>
      </c>
      <c r="E186" s="69">
        <v>182.5</v>
      </c>
      <c r="F186" s="170">
        <v>365</v>
      </c>
      <c r="G186" s="136">
        <v>295</v>
      </c>
    </row>
    <row r="187" spans="1:7" ht="14.25" customHeight="1" x14ac:dyDescent="0.3">
      <c r="A187" s="131">
        <v>5711</v>
      </c>
      <c r="B187" s="131" t="s">
        <v>1081</v>
      </c>
      <c r="C187" s="135" t="s">
        <v>1080</v>
      </c>
      <c r="D187" s="69">
        <v>70</v>
      </c>
      <c r="E187" s="69">
        <v>182.5</v>
      </c>
      <c r="F187" s="170">
        <v>365</v>
      </c>
      <c r="G187" s="136">
        <v>295</v>
      </c>
    </row>
    <row r="188" spans="1:7" ht="14.25" customHeight="1" x14ac:dyDescent="0.3">
      <c r="A188" s="137">
        <v>5714</v>
      </c>
      <c r="B188" s="138" t="s">
        <v>1897</v>
      </c>
      <c r="C188" s="139" t="s">
        <v>1898</v>
      </c>
      <c r="D188" s="69">
        <v>365</v>
      </c>
      <c r="E188" s="69">
        <v>365</v>
      </c>
      <c r="F188" s="170">
        <v>730</v>
      </c>
      <c r="G188" s="136">
        <v>365</v>
      </c>
    </row>
    <row r="189" spans="1:7" ht="14.25" customHeight="1" x14ac:dyDescent="0.3">
      <c r="A189" s="131">
        <v>5717</v>
      </c>
      <c r="B189" s="131" t="s">
        <v>1087</v>
      </c>
      <c r="C189" s="135" t="s">
        <v>77</v>
      </c>
      <c r="D189" s="69">
        <v>70</v>
      </c>
      <c r="E189" s="69">
        <v>182.5</v>
      </c>
      <c r="F189" s="170">
        <v>365</v>
      </c>
      <c r="G189" s="136">
        <v>295</v>
      </c>
    </row>
    <row r="190" spans="1:7" ht="14.25" customHeight="1" x14ac:dyDescent="0.3">
      <c r="A190" s="137">
        <v>5721</v>
      </c>
      <c r="B190" s="138" t="s">
        <v>2074</v>
      </c>
      <c r="C190" s="139" t="s">
        <v>2075</v>
      </c>
      <c r="D190" s="69">
        <v>70</v>
      </c>
      <c r="E190" s="69">
        <v>182.5</v>
      </c>
      <c r="F190" s="170">
        <v>365</v>
      </c>
      <c r="G190" s="136">
        <v>295</v>
      </c>
    </row>
    <row r="191" spans="1:7" ht="14.25" customHeight="1" x14ac:dyDescent="0.3">
      <c r="A191" s="137">
        <v>5727</v>
      </c>
      <c r="B191" s="138" t="s">
        <v>2076</v>
      </c>
      <c r="C191" s="139" t="s">
        <v>2077</v>
      </c>
      <c r="D191" s="69">
        <v>365</v>
      </c>
      <c r="E191" s="69">
        <v>365</v>
      </c>
      <c r="F191" s="170">
        <v>730</v>
      </c>
      <c r="G191" s="136">
        <v>365</v>
      </c>
    </row>
    <row r="192" spans="1:7" ht="14.25" customHeight="1" x14ac:dyDescent="0.3">
      <c r="A192" s="137">
        <v>5729</v>
      </c>
      <c r="B192" s="138" t="s">
        <v>2078</v>
      </c>
      <c r="C192" s="139" t="s">
        <v>2079</v>
      </c>
      <c r="D192" s="69">
        <v>70</v>
      </c>
      <c r="E192" s="69">
        <v>182.5</v>
      </c>
      <c r="F192" s="170">
        <v>365</v>
      </c>
      <c r="G192" s="136">
        <v>295</v>
      </c>
    </row>
    <row r="193" spans="1:7" ht="14.25" customHeight="1" x14ac:dyDescent="0.3">
      <c r="A193" s="131">
        <v>5732</v>
      </c>
      <c r="B193" s="131" t="s">
        <v>1093</v>
      </c>
      <c r="C193" s="135" t="s">
        <v>1092</v>
      </c>
      <c r="D193" s="69">
        <v>84</v>
      </c>
      <c r="E193" s="69">
        <v>182.5</v>
      </c>
      <c r="F193" s="170">
        <v>365</v>
      </c>
      <c r="G193" s="136">
        <v>281</v>
      </c>
    </row>
    <row r="194" spans="1:7" ht="14.25" customHeight="1" x14ac:dyDescent="0.3">
      <c r="A194" s="131">
        <v>5738</v>
      </c>
      <c r="B194" s="131" t="s">
        <v>1098</v>
      </c>
      <c r="C194" s="135" t="s">
        <v>1097</v>
      </c>
      <c r="D194" s="69">
        <v>84</v>
      </c>
      <c r="E194" s="69">
        <v>182.5</v>
      </c>
      <c r="F194" s="170">
        <v>365</v>
      </c>
      <c r="G194" s="136">
        <v>281</v>
      </c>
    </row>
    <row r="195" spans="1:7" ht="14.25" customHeight="1" x14ac:dyDescent="0.3">
      <c r="A195" s="137">
        <v>5757</v>
      </c>
      <c r="B195" s="138" t="s">
        <v>2092</v>
      </c>
      <c r="C195" s="139" t="s">
        <v>2093</v>
      </c>
      <c r="D195" s="69">
        <v>365</v>
      </c>
      <c r="E195" s="69">
        <v>365</v>
      </c>
      <c r="F195" s="170">
        <v>730</v>
      </c>
      <c r="G195" s="136">
        <v>365</v>
      </c>
    </row>
    <row r="196" spans="1:7" ht="14.25" customHeight="1" x14ac:dyDescent="0.3">
      <c r="A196" s="137">
        <v>5761</v>
      </c>
      <c r="B196" s="138" t="s">
        <v>2098</v>
      </c>
      <c r="C196" s="139" t="s">
        <v>2099</v>
      </c>
      <c r="D196" s="69">
        <v>365</v>
      </c>
      <c r="E196" s="69">
        <v>365</v>
      </c>
      <c r="F196" s="170">
        <v>730</v>
      </c>
      <c r="G196" s="136">
        <v>365</v>
      </c>
    </row>
    <row r="197" spans="1:7" ht="14.25" customHeight="1" x14ac:dyDescent="0.3">
      <c r="A197" s="137">
        <v>5762</v>
      </c>
      <c r="B197" s="138" t="s">
        <v>2100</v>
      </c>
      <c r="C197" s="139" t="s">
        <v>2101</v>
      </c>
      <c r="D197" s="69">
        <v>365</v>
      </c>
      <c r="E197" s="69">
        <v>365</v>
      </c>
      <c r="F197" s="170">
        <v>730</v>
      </c>
      <c r="G197" s="136">
        <v>365</v>
      </c>
    </row>
    <row r="198" spans="1:7" ht="14.25" customHeight="1" x14ac:dyDescent="0.3">
      <c r="A198" s="137">
        <v>5763</v>
      </c>
      <c r="B198" s="138" t="s">
        <v>2102</v>
      </c>
      <c r="C198" s="139" t="s">
        <v>2103</v>
      </c>
      <c r="D198" s="69">
        <v>365</v>
      </c>
      <c r="E198" s="69">
        <v>365</v>
      </c>
      <c r="F198" s="170">
        <v>730</v>
      </c>
      <c r="G198" s="136">
        <v>365</v>
      </c>
    </row>
    <row r="199" spans="1:7" ht="14.25" customHeight="1" x14ac:dyDescent="0.3">
      <c r="A199" s="131">
        <v>6194</v>
      </c>
      <c r="B199" s="131" t="s">
        <v>1138</v>
      </c>
      <c r="C199" s="135" t="s">
        <v>1137</v>
      </c>
      <c r="D199" s="69">
        <v>365</v>
      </c>
      <c r="E199" s="69">
        <v>365</v>
      </c>
      <c r="F199" s="170">
        <v>730</v>
      </c>
      <c r="G199" s="136">
        <v>365</v>
      </c>
    </row>
    <row r="200" spans="1:7" ht="14.25" customHeight="1" x14ac:dyDescent="0.3">
      <c r="A200" s="137">
        <v>6195</v>
      </c>
      <c r="B200" s="138" t="s">
        <v>2108</v>
      </c>
      <c r="C200" s="139" t="s">
        <v>2109</v>
      </c>
      <c r="D200" s="69">
        <v>365</v>
      </c>
      <c r="E200" s="69">
        <v>365</v>
      </c>
      <c r="F200" s="170">
        <v>730</v>
      </c>
      <c r="G200" s="136">
        <v>365</v>
      </c>
    </row>
    <row r="201" spans="1:7" ht="14.25" customHeight="1" x14ac:dyDescent="0.3">
      <c r="A201" s="131">
        <v>6309</v>
      </c>
      <c r="B201" s="131" t="s">
        <v>1145</v>
      </c>
      <c r="C201" s="135" t="s">
        <v>1144</v>
      </c>
      <c r="D201" s="69">
        <v>98</v>
      </c>
      <c r="E201" s="69">
        <v>182.5</v>
      </c>
      <c r="F201" s="170">
        <v>365</v>
      </c>
      <c r="G201" s="136">
        <v>267</v>
      </c>
    </row>
    <row r="202" spans="1:7" ht="14.25" customHeight="1" x14ac:dyDescent="0.3">
      <c r="A202" s="131">
        <v>6310</v>
      </c>
      <c r="B202" s="131" t="s">
        <v>432</v>
      </c>
      <c r="C202" s="135" t="s">
        <v>431</v>
      </c>
      <c r="D202" s="69">
        <v>98</v>
      </c>
      <c r="E202" s="69">
        <v>182.5</v>
      </c>
      <c r="F202" s="170">
        <v>365</v>
      </c>
      <c r="G202" s="136">
        <v>267</v>
      </c>
    </row>
    <row r="203" spans="1:7" ht="14.25" customHeight="1" x14ac:dyDescent="0.3">
      <c r="A203" s="131">
        <v>6311</v>
      </c>
      <c r="B203" s="131" t="s">
        <v>1148</v>
      </c>
      <c r="C203" s="135" t="s">
        <v>1147</v>
      </c>
      <c r="D203" s="69">
        <v>98</v>
      </c>
      <c r="E203" s="69">
        <v>182.5</v>
      </c>
      <c r="F203" s="170">
        <v>365</v>
      </c>
      <c r="G203" s="136">
        <v>267</v>
      </c>
    </row>
    <row r="204" spans="1:7" ht="14.25" customHeight="1" x14ac:dyDescent="0.3">
      <c r="A204" s="137">
        <v>6312</v>
      </c>
      <c r="B204" s="138" t="s">
        <v>2116</v>
      </c>
      <c r="C204" s="139" t="s">
        <v>2117</v>
      </c>
      <c r="D204" s="69">
        <v>98</v>
      </c>
      <c r="E204" s="69">
        <v>182.5</v>
      </c>
      <c r="F204" s="170">
        <v>365</v>
      </c>
      <c r="G204" s="136">
        <v>267</v>
      </c>
    </row>
    <row r="205" spans="1:7" ht="14.25" customHeight="1" x14ac:dyDescent="0.3">
      <c r="A205" s="131">
        <v>6670</v>
      </c>
      <c r="B205" s="131" t="s">
        <v>1205</v>
      </c>
      <c r="C205" s="135" t="s">
        <v>87</v>
      </c>
      <c r="D205" s="69">
        <v>84</v>
      </c>
      <c r="E205" s="69">
        <v>182.5</v>
      </c>
      <c r="F205" s="170">
        <v>365</v>
      </c>
      <c r="G205" s="136">
        <v>281</v>
      </c>
    </row>
    <row r="206" spans="1:7" ht="14.25" customHeight="1" x14ac:dyDescent="0.3">
      <c r="A206" s="137">
        <v>6671</v>
      </c>
      <c r="B206" s="138" t="s">
        <v>2134</v>
      </c>
      <c r="C206" s="139" t="s">
        <v>2135</v>
      </c>
      <c r="D206" s="69">
        <v>84</v>
      </c>
      <c r="E206" s="69">
        <v>182.5</v>
      </c>
      <c r="F206" s="170">
        <v>365</v>
      </c>
      <c r="G206" s="136">
        <v>281</v>
      </c>
    </row>
    <row r="207" spans="1:7" ht="14.25" customHeight="1" x14ac:dyDescent="0.3">
      <c r="A207" s="137">
        <v>6673</v>
      </c>
      <c r="B207" s="138" t="s">
        <v>2136</v>
      </c>
      <c r="C207" s="139" t="s">
        <v>2137</v>
      </c>
      <c r="D207" s="69">
        <v>84</v>
      </c>
      <c r="E207" s="69">
        <v>182.5</v>
      </c>
      <c r="F207" s="170">
        <v>365</v>
      </c>
      <c r="G207" s="136">
        <v>281</v>
      </c>
    </row>
    <row r="208" spans="1:7" ht="14.25" customHeight="1" x14ac:dyDescent="0.3">
      <c r="A208" s="131">
        <v>6674</v>
      </c>
      <c r="B208" s="131" t="s">
        <v>2417</v>
      </c>
      <c r="C208" s="135" t="s">
        <v>1800</v>
      </c>
      <c r="D208" s="69">
        <v>84</v>
      </c>
      <c r="E208" s="69">
        <v>182.5</v>
      </c>
      <c r="F208" s="170">
        <v>365</v>
      </c>
      <c r="G208" s="136">
        <v>281</v>
      </c>
    </row>
    <row r="209" spans="1:7" ht="14.25" customHeight="1" x14ac:dyDescent="0.3">
      <c r="A209" s="137">
        <v>6675</v>
      </c>
      <c r="B209" s="138" t="s">
        <v>2138</v>
      </c>
      <c r="C209" s="139" t="s">
        <v>2139</v>
      </c>
      <c r="D209" s="69">
        <v>84</v>
      </c>
      <c r="E209" s="69">
        <v>182.5</v>
      </c>
      <c r="F209" s="170">
        <v>365</v>
      </c>
      <c r="G209" s="136">
        <v>281</v>
      </c>
    </row>
    <row r="210" spans="1:7" ht="14.25" customHeight="1" x14ac:dyDescent="0.3">
      <c r="A210" s="131">
        <v>6676</v>
      </c>
      <c r="B210" s="131" t="s">
        <v>1207</v>
      </c>
      <c r="C210" s="135" t="s">
        <v>2524</v>
      </c>
      <c r="D210" s="69">
        <v>84</v>
      </c>
      <c r="E210" s="69">
        <v>182.5</v>
      </c>
      <c r="F210" s="170">
        <v>365</v>
      </c>
      <c r="G210" s="136">
        <v>281</v>
      </c>
    </row>
    <row r="211" spans="1:7" ht="14.25" customHeight="1" x14ac:dyDescent="0.3">
      <c r="A211" s="131">
        <v>6678</v>
      </c>
      <c r="B211" s="131" t="s">
        <v>1209</v>
      </c>
      <c r="C211" s="135" t="s">
        <v>88</v>
      </c>
      <c r="D211" s="69">
        <v>84</v>
      </c>
      <c r="E211" s="69">
        <v>182.5</v>
      </c>
      <c r="F211" s="170">
        <v>365</v>
      </c>
      <c r="G211" s="136">
        <v>281</v>
      </c>
    </row>
    <row r="212" spans="1:7" ht="14.25" customHeight="1" x14ac:dyDescent="0.3">
      <c r="A212" s="137">
        <v>6679</v>
      </c>
      <c r="B212" s="131" t="s">
        <v>1210</v>
      </c>
      <c r="C212" s="139" t="s">
        <v>200</v>
      </c>
      <c r="D212" s="69">
        <v>84</v>
      </c>
      <c r="E212" s="69">
        <v>182.5</v>
      </c>
      <c r="F212" s="170">
        <v>365</v>
      </c>
      <c r="G212" s="136">
        <v>281</v>
      </c>
    </row>
    <row r="213" spans="1:7" ht="14.25" customHeight="1" x14ac:dyDescent="0.3">
      <c r="A213" s="131">
        <v>6725</v>
      </c>
      <c r="B213" s="131" t="s">
        <v>2296</v>
      </c>
      <c r="C213" s="135" t="s">
        <v>2297</v>
      </c>
      <c r="D213" s="69">
        <v>122</v>
      </c>
      <c r="E213" s="69">
        <v>136.5</v>
      </c>
      <c r="F213" s="170">
        <v>273</v>
      </c>
      <c r="G213" s="136">
        <v>151</v>
      </c>
    </row>
    <row r="214" spans="1:7" ht="14.25" customHeight="1" x14ac:dyDescent="0.3">
      <c r="A214" s="131">
        <v>6971</v>
      </c>
      <c r="B214" s="131" t="s">
        <v>1253</v>
      </c>
      <c r="C214" s="135" t="s">
        <v>1252</v>
      </c>
      <c r="D214" s="69">
        <v>365</v>
      </c>
      <c r="E214" s="69">
        <v>365</v>
      </c>
      <c r="F214" s="170">
        <v>730</v>
      </c>
      <c r="G214" s="136">
        <v>365</v>
      </c>
    </row>
    <row r="215" spans="1:7" ht="14.25" customHeight="1" x14ac:dyDescent="0.3">
      <c r="A215" s="131">
        <v>7532</v>
      </c>
      <c r="B215" s="131" t="s">
        <v>1322</v>
      </c>
      <c r="C215" s="135" t="s">
        <v>1321</v>
      </c>
      <c r="D215" s="69">
        <v>98</v>
      </c>
      <c r="E215" s="69">
        <v>182.5</v>
      </c>
      <c r="F215" s="170">
        <v>365</v>
      </c>
      <c r="G215" s="136">
        <v>267</v>
      </c>
    </row>
    <row r="216" spans="1:7" ht="14.25" customHeight="1" x14ac:dyDescent="0.3">
      <c r="A216" s="176">
        <v>7539</v>
      </c>
      <c r="B216" s="177" t="s">
        <v>2418</v>
      </c>
      <c r="C216" s="178" t="s">
        <v>2419</v>
      </c>
      <c r="D216" s="179">
        <v>84</v>
      </c>
      <c r="E216" s="179">
        <v>182.5</v>
      </c>
      <c r="F216" s="180">
        <v>365</v>
      </c>
      <c r="G216" s="181">
        <v>281</v>
      </c>
    </row>
    <row r="217" spans="1:7" ht="14.25" customHeight="1" x14ac:dyDescent="0.3">
      <c r="A217" s="131">
        <v>7549</v>
      </c>
      <c r="B217" s="131" t="s">
        <v>1325</v>
      </c>
      <c r="C217" s="135" t="s">
        <v>1324</v>
      </c>
      <c r="D217" s="69">
        <v>75</v>
      </c>
      <c r="E217" s="69">
        <v>91.5</v>
      </c>
      <c r="F217" s="170">
        <v>183</v>
      </c>
      <c r="G217" s="136">
        <v>108</v>
      </c>
    </row>
    <row r="218" spans="1:7" ht="14.25" customHeight="1" x14ac:dyDescent="0.3">
      <c r="A218" s="131">
        <v>7923</v>
      </c>
      <c r="B218" s="131" t="s">
        <v>1406</v>
      </c>
      <c r="C218" s="135" t="s">
        <v>1405</v>
      </c>
      <c r="D218" s="69">
        <v>98</v>
      </c>
      <c r="E218" s="69">
        <v>182.5</v>
      </c>
      <c r="F218" s="170">
        <v>365</v>
      </c>
      <c r="G218" s="136">
        <v>267</v>
      </c>
    </row>
    <row r="219" spans="1:7" ht="14.25" customHeight="1" x14ac:dyDescent="0.3">
      <c r="A219" s="131">
        <v>5200</v>
      </c>
      <c r="B219" s="131" t="s">
        <v>2689</v>
      </c>
      <c r="C219" s="135" t="s">
        <v>2690</v>
      </c>
      <c r="D219" s="69">
        <v>98</v>
      </c>
      <c r="E219" s="69">
        <v>182.5</v>
      </c>
      <c r="F219" s="170">
        <v>365</v>
      </c>
      <c r="G219" s="136">
        <v>267</v>
      </c>
    </row>
    <row r="220" spans="1:7" ht="14.25" customHeight="1" x14ac:dyDescent="0.3">
      <c r="A220" s="131">
        <v>8272</v>
      </c>
      <c r="B220" s="131" t="s">
        <v>1498</v>
      </c>
      <c r="C220" s="135" t="s">
        <v>1497</v>
      </c>
      <c r="D220" s="69">
        <v>140</v>
      </c>
      <c r="E220" s="69">
        <v>365</v>
      </c>
      <c r="F220" s="170">
        <v>730</v>
      </c>
      <c r="G220" s="136">
        <v>590</v>
      </c>
    </row>
    <row r="221" spans="1:7" ht="14.25" customHeight="1" x14ac:dyDescent="0.3">
      <c r="A221" s="131">
        <v>8273</v>
      </c>
      <c r="B221" s="131" t="s">
        <v>1501</v>
      </c>
      <c r="C221" s="135" t="s">
        <v>1500</v>
      </c>
      <c r="D221" s="69">
        <v>84</v>
      </c>
      <c r="E221" s="69">
        <v>182.5</v>
      </c>
      <c r="F221" s="170">
        <v>365</v>
      </c>
      <c r="G221" s="136">
        <v>281</v>
      </c>
    </row>
    <row r="222" spans="1:7" ht="14.25" customHeight="1" x14ac:dyDescent="0.3">
      <c r="A222" s="131">
        <v>5771</v>
      </c>
      <c r="B222" s="131" t="s">
        <v>2510</v>
      </c>
      <c r="C222" s="135" t="s">
        <v>2511</v>
      </c>
      <c r="D222" s="69">
        <v>273</v>
      </c>
      <c r="E222" s="69">
        <v>270</v>
      </c>
      <c r="F222" s="170">
        <v>548</v>
      </c>
      <c r="G222" s="136">
        <v>267</v>
      </c>
    </row>
    <row r="223" spans="1:7" ht="14.25" customHeight="1" x14ac:dyDescent="0.3">
      <c r="A223" s="131">
        <v>5769</v>
      </c>
      <c r="B223" s="131" t="s">
        <v>2664</v>
      </c>
      <c r="C223" s="135" t="s">
        <v>2663</v>
      </c>
      <c r="D223" s="69">
        <v>273</v>
      </c>
      <c r="E223" s="69">
        <v>270</v>
      </c>
      <c r="F223" s="170">
        <v>548</v>
      </c>
      <c r="G223" s="136">
        <v>267</v>
      </c>
    </row>
    <row r="224" spans="1:7" ht="14.25" customHeight="1" x14ac:dyDescent="0.3">
      <c r="A224" s="137">
        <v>8276</v>
      </c>
      <c r="B224" s="131" t="s">
        <v>1503</v>
      </c>
      <c r="C224" s="139" t="s">
        <v>117</v>
      </c>
      <c r="D224" s="69">
        <v>140</v>
      </c>
      <c r="E224" s="69">
        <v>365</v>
      </c>
      <c r="F224" s="170">
        <v>730</v>
      </c>
      <c r="G224" s="136">
        <v>590</v>
      </c>
    </row>
    <row r="225" spans="1:7" ht="14.25" customHeight="1" x14ac:dyDescent="0.3">
      <c r="A225" s="137">
        <v>8279</v>
      </c>
      <c r="B225" s="131" t="s">
        <v>2352</v>
      </c>
      <c r="C225" s="139" t="s">
        <v>1504</v>
      </c>
      <c r="D225" s="69">
        <v>140</v>
      </c>
      <c r="E225" s="69">
        <v>365</v>
      </c>
      <c r="F225" s="170">
        <v>730</v>
      </c>
      <c r="G225" s="136">
        <v>590</v>
      </c>
    </row>
    <row r="226" spans="1:7" ht="14.25" customHeight="1" x14ac:dyDescent="0.3">
      <c r="A226" s="137">
        <v>5777</v>
      </c>
      <c r="B226" s="131" t="s">
        <v>2583</v>
      </c>
      <c r="C226" s="139" t="s">
        <v>2584</v>
      </c>
      <c r="D226" s="69">
        <v>84</v>
      </c>
      <c r="E226" s="69">
        <v>182.5</v>
      </c>
      <c r="F226" s="170">
        <v>365</v>
      </c>
      <c r="G226" s="136">
        <v>281</v>
      </c>
    </row>
    <row r="227" spans="1:7" ht="14.25" customHeight="1" x14ac:dyDescent="0.3">
      <c r="A227" s="137">
        <v>8429</v>
      </c>
      <c r="B227" s="138" t="s">
        <v>2698</v>
      </c>
      <c r="C227" s="139" t="s">
        <v>2265</v>
      </c>
      <c r="D227" s="69">
        <v>122</v>
      </c>
      <c r="E227" s="69">
        <v>136.5</v>
      </c>
      <c r="F227" s="170">
        <v>273</v>
      </c>
      <c r="G227" s="136">
        <v>151</v>
      </c>
    </row>
    <row r="228" spans="1:7" ht="14.25" customHeight="1" x14ac:dyDescent="0.3">
      <c r="A228" s="137">
        <v>8447</v>
      </c>
      <c r="B228" s="138" t="s">
        <v>1516</v>
      </c>
      <c r="C228" s="139" t="s">
        <v>1676</v>
      </c>
      <c r="D228" s="69">
        <v>98</v>
      </c>
      <c r="E228" s="69">
        <v>182.5</v>
      </c>
      <c r="F228" s="170">
        <v>365</v>
      </c>
      <c r="G228" s="136">
        <v>267</v>
      </c>
    </row>
    <row r="229" spans="1:7" ht="14.25" customHeight="1" x14ac:dyDescent="0.3">
      <c r="A229" s="131">
        <v>8010</v>
      </c>
      <c r="B229" s="131" t="s">
        <v>1412</v>
      </c>
      <c r="C229" s="135" t="s">
        <v>1411</v>
      </c>
      <c r="D229" s="69">
        <v>183</v>
      </c>
      <c r="E229" s="69">
        <v>182.5</v>
      </c>
      <c r="F229" s="170">
        <v>365</v>
      </c>
      <c r="G229" s="136">
        <v>182</v>
      </c>
    </row>
    <row r="230" spans="1:7" ht="14.25" customHeight="1" x14ac:dyDescent="0.3">
      <c r="A230" s="131">
        <v>8184</v>
      </c>
      <c r="B230" s="131" t="s">
        <v>1469</v>
      </c>
      <c r="C230" s="135" t="s">
        <v>115</v>
      </c>
      <c r="D230" s="69">
        <v>183</v>
      </c>
      <c r="E230" s="69">
        <v>182.5</v>
      </c>
      <c r="F230" s="170">
        <v>365</v>
      </c>
      <c r="G230" s="136">
        <v>182</v>
      </c>
    </row>
    <row r="231" spans="1:7" ht="14.25" customHeight="1" x14ac:dyDescent="0.3">
      <c r="A231" s="137">
        <v>5750</v>
      </c>
      <c r="B231" s="138" t="s">
        <v>2088</v>
      </c>
      <c r="C231" s="139" t="s">
        <v>2089</v>
      </c>
      <c r="D231" s="69">
        <v>183</v>
      </c>
      <c r="E231" s="69">
        <v>365</v>
      </c>
      <c r="F231" s="170">
        <v>730</v>
      </c>
      <c r="G231" s="136">
        <v>547</v>
      </c>
    </row>
    <row r="232" spans="1:7" ht="14.25" customHeight="1" x14ac:dyDescent="0.3">
      <c r="A232" s="131">
        <v>6517</v>
      </c>
      <c r="B232" s="131" t="s">
        <v>1174</v>
      </c>
      <c r="C232" s="135" t="s">
        <v>1173</v>
      </c>
      <c r="D232" s="69">
        <v>122</v>
      </c>
      <c r="E232" s="69">
        <v>136.5</v>
      </c>
      <c r="F232" s="170">
        <v>273</v>
      </c>
      <c r="G232" s="136">
        <v>151</v>
      </c>
    </row>
    <row r="233" spans="1:7" ht="14.25" customHeight="1" x14ac:dyDescent="0.3">
      <c r="A233" s="131">
        <v>8448</v>
      </c>
      <c r="B233" s="131" t="s">
        <v>1517</v>
      </c>
      <c r="C233" s="135" t="s">
        <v>299</v>
      </c>
      <c r="D233" s="69">
        <v>122</v>
      </c>
      <c r="E233" s="69">
        <v>136.5</v>
      </c>
      <c r="F233" s="170">
        <v>273</v>
      </c>
      <c r="G233" s="136">
        <v>151</v>
      </c>
    </row>
    <row r="234" spans="1:7" ht="14.25" customHeight="1" x14ac:dyDescent="0.3">
      <c r="A234" s="137">
        <v>4270</v>
      </c>
      <c r="B234" s="138" t="s">
        <v>2420</v>
      </c>
      <c r="C234" s="139" t="s">
        <v>550</v>
      </c>
      <c r="D234" s="69">
        <v>365</v>
      </c>
      <c r="E234" s="69">
        <v>365</v>
      </c>
      <c r="F234" s="170">
        <v>730</v>
      </c>
      <c r="G234" s="136">
        <v>365</v>
      </c>
    </row>
    <row r="235" spans="1:7" ht="14.25" customHeight="1" x14ac:dyDescent="0.3">
      <c r="A235" s="137">
        <v>4271</v>
      </c>
      <c r="B235" s="138" t="s">
        <v>551</v>
      </c>
      <c r="C235" s="139" t="s">
        <v>552</v>
      </c>
      <c r="D235" s="69">
        <v>365</v>
      </c>
      <c r="E235" s="69">
        <v>365</v>
      </c>
      <c r="F235" s="170">
        <v>730</v>
      </c>
      <c r="G235" s="136">
        <v>365</v>
      </c>
    </row>
    <row r="236" spans="1:7" ht="14.25" customHeight="1" x14ac:dyDescent="0.3">
      <c r="A236" s="137">
        <v>4272</v>
      </c>
      <c r="B236" s="138" t="s">
        <v>453</v>
      </c>
      <c r="C236" s="139" t="s">
        <v>2010</v>
      </c>
      <c r="D236" s="69">
        <v>365</v>
      </c>
      <c r="E236" s="69">
        <v>365</v>
      </c>
      <c r="F236" s="170">
        <v>730</v>
      </c>
      <c r="G236" s="136">
        <v>365</v>
      </c>
    </row>
    <row r="237" spans="1:7" ht="14.25" customHeight="1" x14ac:dyDescent="0.3">
      <c r="A237" s="131">
        <v>720</v>
      </c>
      <c r="B237" s="131" t="s">
        <v>531</v>
      </c>
      <c r="C237" s="135" t="s">
        <v>537</v>
      </c>
      <c r="D237" s="69">
        <v>365</v>
      </c>
      <c r="E237" s="69">
        <v>365</v>
      </c>
      <c r="F237" s="170">
        <v>730</v>
      </c>
      <c r="G237" s="136">
        <v>365</v>
      </c>
    </row>
    <row r="238" spans="1:7" ht="14.25" customHeight="1" x14ac:dyDescent="0.3">
      <c r="A238" s="131">
        <v>669</v>
      </c>
      <c r="B238" s="131" t="s">
        <v>530</v>
      </c>
      <c r="C238" s="135" t="s">
        <v>529</v>
      </c>
      <c r="D238" s="69">
        <v>365</v>
      </c>
      <c r="E238" s="69">
        <v>365</v>
      </c>
      <c r="F238" s="170">
        <v>730</v>
      </c>
      <c r="G238" s="136">
        <v>365</v>
      </c>
    </row>
    <row r="239" spans="1:7" ht="14.25" customHeight="1" x14ac:dyDescent="0.3">
      <c r="A239" s="131">
        <v>674</v>
      </c>
      <c r="B239" s="131" t="s">
        <v>441</v>
      </c>
      <c r="C239" s="135" t="s">
        <v>2</v>
      </c>
      <c r="D239" s="69">
        <v>182.5</v>
      </c>
      <c r="E239" s="69">
        <v>182.5</v>
      </c>
      <c r="F239" s="170">
        <v>365</v>
      </c>
      <c r="G239" s="136">
        <v>182.5</v>
      </c>
    </row>
    <row r="240" spans="1:7" ht="14.25" customHeight="1" x14ac:dyDescent="0.3">
      <c r="A240" s="131">
        <v>676</v>
      </c>
      <c r="B240" s="131" t="s">
        <v>534</v>
      </c>
      <c r="C240" s="135" t="s">
        <v>23</v>
      </c>
      <c r="D240" s="69">
        <v>183</v>
      </c>
      <c r="E240" s="69">
        <v>182.5</v>
      </c>
      <c r="F240" s="170">
        <v>365</v>
      </c>
      <c r="G240" s="136">
        <v>182</v>
      </c>
    </row>
    <row r="241" spans="1:7" ht="14.25" customHeight="1" x14ac:dyDescent="0.3">
      <c r="A241" s="131">
        <v>672</v>
      </c>
      <c r="B241" s="131" t="s">
        <v>532</v>
      </c>
      <c r="C241" s="135" t="s">
        <v>12</v>
      </c>
      <c r="D241" s="69">
        <v>183</v>
      </c>
      <c r="E241" s="69">
        <v>182.5</v>
      </c>
      <c r="F241" s="170">
        <v>365</v>
      </c>
      <c r="G241" s="136">
        <v>182</v>
      </c>
    </row>
    <row r="242" spans="1:7" ht="14.25" customHeight="1" x14ac:dyDescent="0.3">
      <c r="A242" s="131">
        <v>4284</v>
      </c>
      <c r="B242" s="131" t="s">
        <v>2421</v>
      </c>
      <c r="C242" s="135" t="s">
        <v>1801</v>
      </c>
      <c r="D242" s="69">
        <v>183</v>
      </c>
      <c r="E242" s="69">
        <v>182.5</v>
      </c>
      <c r="F242" s="170">
        <v>365</v>
      </c>
      <c r="G242" s="136">
        <v>182</v>
      </c>
    </row>
    <row r="243" spans="1:7" ht="14.25" customHeight="1" x14ac:dyDescent="0.3">
      <c r="A243" s="137">
        <v>852</v>
      </c>
      <c r="B243" s="138" t="s">
        <v>557</v>
      </c>
      <c r="C243" s="139" t="s">
        <v>380</v>
      </c>
      <c r="D243" s="69">
        <v>183</v>
      </c>
      <c r="E243" s="69">
        <v>182.5</v>
      </c>
      <c r="F243" s="170">
        <v>365</v>
      </c>
      <c r="G243" s="136">
        <v>182</v>
      </c>
    </row>
    <row r="244" spans="1:7" ht="14.25" customHeight="1" x14ac:dyDescent="0.3">
      <c r="A244" s="137">
        <v>4614</v>
      </c>
      <c r="B244" s="138" t="s">
        <v>2026</v>
      </c>
      <c r="C244" s="139" t="s">
        <v>2027</v>
      </c>
      <c r="D244" s="69">
        <v>183</v>
      </c>
      <c r="E244" s="69">
        <v>182.5</v>
      </c>
      <c r="F244" s="170">
        <v>365</v>
      </c>
      <c r="G244" s="136">
        <v>182</v>
      </c>
    </row>
    <row r="245" spans="1:7" ht="14.25" customHeight="1" x14ac:dyDescent="0.3">
      <c r="A245" s="131">
        <v>675</v>
      </c>
      <c r="B245" s="131" t="s">
        <v>533</v>
      </c>
      <c r="C245" s="135" t="s">
        <v>22</v>
      </c>
      <c r="D245" s="69">
        <v>183</v>
      </c>
      <c r="E245" s="69">
        <v>182.5</v>
      </c>
      <c r="F245" s="170">
        <v>365</v>
      </c>
      <c r="G245" s="136">
        <v>182</v>
      </c>
    </row>
    <row r="246" spans="1:7" ht="14.25" customHeight="1" x14ac:dyDescent="0.3">
      <c r="A246" s="131">
        <v>797</v>
      </c>
      <c r="B246" s="131" t="s">
        <v>549</v>
      </c>
      <c r="C246" s="135" t="s">
        <v>32</v>
      </c>
      <c r="D246" s="69">
        <v>136.5</v>
      </c>
      <c r="E246" s="69">
        <v>136.5</v>
      </c>
      <c r="F246" s="170">
        <v>273</v>
      </c>
      <c r="G246" s="136">
        <v>136.5</v>
      </c>
    </row>
    <row r="247" spans="1:7" ht="14.25" customHeight="1" x14ac:dyDescent="0.3">
      <c r="A247" s="131">
        <v>695</v>
      </c>
      <c r="B247" s="131" t="s">
        <v>536</v>
      </c>
      <c r="C247" s="135" t="s">
        <v>535</v>
      </c>
      <c r="D247" s="69">
        <v>365</v>
      </c>
      <c r="E247" s="69">
        <v>365</v>
      </c>
      <c r="F247" s="170">
        <v>730</v>
      </c>
      <c r="G247" s="136">
        <v>365</v>
      </c>
    </row>
    <row r="248" spans="1:7" ht="14.25" customHeight="1" x14ac:dyDescent="0.3">
      <c r="A248" s="137">
        <v>4190</v>
      </c>
      <c r="B248" s="138" t="s">
        <v>704</v>
      </c>
      <c r="C248" s="139" t="s">
        <v>383</v>
      </c>
      <c r="D248" s="69">
        <v>122</v>
      </c>
      <c r="E248" s="69">
        <v>136.5</v>
      </c>
      <c r="F248" s="170">
        <v>273</v>
      </c>
      <c r="G248" s="136">
        <v>151</v>
      </c>
    </row>
    <row r="249" spans="1:7" ht="14.25" customHeight="1" x14ac:dyDescent="0.3">
      <c r="A249" s="137">
        <v>4486</v>
      </c>
      <c r="B249" s="138" t="s">
        <v>2014</v>
      </c>
      <c r="C249" s="139" t="s">
        <v>2015</v>
      </c>
      <c r="D249" s="69">
        <v>98</v>
      </c>
      <c r="E249" s="69">
        <v>182.5</v>
      </c>
      <c r="F249" s="170">
        <v>365</v>
      </c>
      <c r="G249" s="136">
        <v>267</v>
      </c>
    </row>
    <row r="250" spans="1:7" ht="14.25" customHeight="1" x14ac:dyDescent="0.3">
      <c r="A250" s="131">
        <v>4487</v>
      </c>
      <c r="B250" s="131" t="s">
        <v>752</v>
      </c>
      <c r="C250" s="135" t="s">
        <v>46</v>
      </c>
      <c r="D250" s="69">
        <v>98</v>
      </c>
      <c r="E250" s="69">
        <v>182.5</v>
      </c>
      <c r="F250" s="170">
        <v>365</v>
      </c>
      <c r="G250" s="136">
        <v>267</v>
      </c>
    </row>
    <row r="251" spans="1:7" ht="14.25" customHeight="1" x14ac:dyDescent="0.3">
      <c r="A251" s="131">
        <v>4488</v>
      </c>
      <c r="B251" s="131" t="s">
        <v>750</v>
      </c>
      <c r="C251" s="135" t="s">
        <v>754</v>
      </c>
      <c r="D251" s="69">
        <v>98</v>
      </c>
      <c r="E251" s="69">
        <v>182.5</v>
      </c>
      <c r="F251" s="170">
        <v>365</v>
      </c>
      <c r="G251" s="136">
        <v>267</v>
      </c>
    </row>
    <row r="252" spans="1:7" ht="14.25" customHeight="1" x14ac:dyDescent="0.3">
      <c r="A252" s="131">
        <v>4489</v>
      </c>
      <c r="B252" s="131" t="s">
        <v>756</v>
      </c>
      <c r="C252" s="135" t="s">
        <v>755</v>
      </c>
      <c r="D252" s="69">
        <v>98</v>
      </c>
      <c r="E252" s="69">
        <v>182.5</v>
      </c>
      <c r="F252" s="170">
        <v>365</v>
      </c>
      <c r="G252" s="136">
        <v>267</v>
      </c>
    </row>
    <row r="253" spans="1:7" ht="14.25" customHeight="1" x14ac:dyDescent="0.3">
      <c r="A253" s="131">
        <v>4494</v>
      </c>
      <c r="B253" s="131" t="s">
        <v>758</v>
      </c>
      <c r="C253" s="135" t="s">
        <v>757</v>
      </c>
      <c r="D253" s="69">
        <v>98</v>
      </c>
      <c r="E253" s="69">
        <v>182.5</v>
      </c>
      <c r="F253" s="170">
        <v>365</v>
      </c>
      <c r="G253" s="136">
        <v>267</v>
      </c>
    </row>
    <row r="254" spans="1:7" ht="14.25" customHeight="1" x14ac:dyDescent="0.3">
      <c r="A254" s="137">
        <v>4495</v>
      </c>
      <c r="B254" s="138" t="s">
        <v>2016</v>
      </c>
      <c r="C254" s="139" t="s">
        <v>2017</v>
      </c>
      <c r="D254" s="69">
        <v>98</v>
      </c>
      <c r="E254" s="69">
        <v>182.5</v>
      </c>
      <c r="F254" s="170">
        <v>365</v>
      </c>
      <c r="G254" s="136">
        <v>267</v>
      </c>
    </row>
    <row r="255" spans="1:7" ht="14.25" customHeight="1" x14ac:dyDescent="0.3">
      <c r="A255" s="131">
        <v>4501</v>
      </c>
      <c r="B255" s="131" t="s">
        <v>760</v>
      </c>
      <c r="C255" s="135" t="s">
        <v>759</v>
      </c>
      <c r="D255" s="69">
        <v>98</v>
      </c>
      <c r="E255" s="69">
        <v>182.5</v>
      </c>
      <c r="F255" s="170">
        <v>365</v>
      </c>
      <c r="G255" s="136">
        <v>267</v>
      </c>
    </row>
    <row r="256" spans="1:7" ht="14.25" customHeight="1" x14ac:dyDescent="0.3">
      <c r="A256" s="137">
        <v>4502</v>
      </c>
      <c r="B256" s="138" t="s">
        <v>761</v>
      </c>
      <c r="C256" s="139" t="s">
        <v>1677</v>
      </c>
      <c r="D256" s="69">
        <v>98</v>
      </c>
      <c r="E256" s="69">
        <v>182.5</v>
      </c>
      <c r="F256" s="170">
        <v>365</v>
      </c>
      <c r="G256" s="136">
        <v>267</v>
      </c>
    </row>
    <row r="257" spans="1:7" ht="14.25" customHeight="1" x14ac:dyDescent="0.3">
      <c r="A257" s="131">
        <v>5618</v>
      </c>
      <c r="B257" s="131" t="s">
        <v>1051</v>
      </c>
      <c r="C257" s="135" t="s">
        <v>1050</v>
      </c>
      <c r="D257" s="69">
        <v>98</v>
      </c>
      <c r="E257" s="69">
        <v>182.5</v>
      </c>
      <c r="F257" s="170">
        <v>365</v>
      </c>
      <c r="G257" s="136">
        <v>267</v>
      </c>
    </row>
    <row r="258" spans="1:7" ht="14.25" customHeight="1" x14ac:dyDescent="0.3">
      <c r="A258" s="131">
        <v>5731</v>
      </c>
      <c r="B258" s="131" t="s">
        <v>1091</v>
      </c>
      <c r="C258" s="135" t="s">
        <v>1090</v>
      </c>
      <c r="D258" s="69">
        <v>70</v>
      </c>
      <c r="E258" s="69">
        <v>182.5</v>
      </c>
      <c r="F258" s="170">
        <v>365</v>
      </c>
      <c r="G258" s="136">
        <v>295</v>
      </c>
    </row>
    <row r="259" spans="1:7" ht="14.25" customHeight="1" x14ac:dyDescent="0.3">
      <c r="A259" s="137">
        <v>5751</v>
      </c>
      <c r="B259" s="138" t="s">
        <v>2090</v>
      </c>
      <c r="C259" s="139" t="s">
        <v>2091</v>
      </c>
      <c r="D259" s="69">
        <v>140</v>
      </c>
      <c r="E259" s="69">
        <v>365</v>
      </c>
      <c r="F259" s="170">
        <v>730</v>
      </c>
      <c r="G259" s="136">
        <v>590</v>
      </c>
    </row>
    <row r="260" spans="1:7" ht="14.25" customHeight="1" x14ac:dyDescent="0.3">
      <c r="A260" s="131">
        <v>6974</v>
      </c>
      <c r="B260" s="131" t="s">
        <v>1257</v>
      </c>
      <c r="C260" s="135" t="s">
        <v>1256</v>
      </c>
      <c r="D260" s="69">
        <v>98</v>
      </c>
      <c r="E260" s="69">
        <v>182.5</v>
      </c>
      <c r="F260" s="170">
        <v>365</v>
      </c>
      <c r="G260" s="136">
        <v>267</v>
      </c>
    </row>
    <row r="261" spans="1:7" ht="14.25" customHeight="1" x14ac:dyDescent="0.3">
      <c r="A261" s="137">
        <v>7360</v>
      </c>
      <c r="B261" s="138" t="s">
        <v>1317</v>
      </c>
      <c r="C261" s="139" t="s">
        <v>1318</v>
      </c>
      <c r="D261" s="69">
        <v>98</v>
      </c>
      <c r="E261" s="69">
        <v>182.5</v>
      </c>
      <c r="F261" s="170">
        <v>365</v>
      </c>
      <c r="G261" s="136">
        <v>267</v>
      </c>
    </row>
    <row r="262" spans="1:7" ht="14.25" customHeight="1" x14ac:dyDescent="0.3">
      <c r="A262" s="131">
        <v>7396</v>
      </c>
      <c r="B262" s="131" t="s">
        <v>1320</v>
      </c>
      <c r="C262" s="135" t="s">
        <v>1319</v>
      </c>
      <c r="D262" s="69">
        <v>98</v>
      </c>
      <c r="E262" s="69">
        <v>182.5</v>
      </c>
      <c r="F262" s="170">
        <v>365</v>
      </c>
      <c r="G262" s="136">
        <v>267</v>
      </c>
    </row>
    <row r="263" spans="1:7" ht="14.25" customHeight="1" x14ac:dyDescent="0.3">
      <c r="A263" s="131">
        <v>8442</v>
      </c>
      <c r="B263" s="131" t="s">
        <v>1515</v>
      </c>
      <c r="C263" s="135" t="s">
        <v>1514</v>
      </c>
      <c r="D263" s="69">
        <v>98</v>
      </c>
      <c r="E263" s="69">
        <v>182.5</v>
      </c>
      <c r="F263" s="170">
        <v>365</v>
      </c>
      <c r="G263" s="136">
        <v>267</v>
      </c>
    </row>
    <row r="264" spans="1:7" ht="14.25" customHeight="1" x14ac:dyDescent="0.3">
      <c r="A264" s="137">
        <v>8450</v>
      </c>
      <c r="B264" s="131" t="s">
        <v>1518</v>
      </c>
      <c r="C264" s="139" t="s">
        <v>1678</v>
      </c>
      <c r="D264" s="69">
        <v>84</v>
      </c>
      <c r="E264" s="69">
        <v>182.5</v>
      </c>
      <c r="F264" s="170">
        <v>365</v>
      </c>
      <c r="G264" s="136">
        <v>281</v>
      </c>
    </row>
    <row r="265" spans="1:7" ht="14.25" customHeight="1" x14ac:dyDescent="0.3">
      <c r="A265" s="137">
        <v>8451</v>
      </c>
      <c r="B265" s="138" t="s">
        <v>1636</v>
      </c>
      <c r="C265" s="139" t="s">
        <v>1637</v>
      </c>
      <c r="D265" s="69">
        <v>84</v>
      </c>
      <c r="E265" s="69">
        <v>182.5</v>
      </c>
      <c r="F265" s="170">
        <v>365</v>
      </c>
      <c r="G265" s="136">
        <v>281</v>
      </c>
    </row>
    <row r="266" spans="1:7" ht="14.25" customHeight="1" x14ac:dyDescent="0.3">
      <c r="A266" s="137">
        <v>8453</v>
      </c>
      <c r="B266" s="138" t="s">
        <v>2482</v>
      </c>
      <c r="C266" s="139" t="s">
        <v>2481</v>
      </c>
      <c r="D266" s="69">
        <v>84</v>
      </c>
      <c r="E266" s="69">
        <v>182.5</v>
      </c>
      <c r="F266" s="170">
        <v>365</v>
      </c>
      <c r="G266" s="136">
        <v>281</v>
      </c>
    </row>
    <row r="267" spans="1:7" ht="14.25" customHeight="1" x14ac:dyDescent="0.3">
      <c r="A267" s="131">
        <v>437</v>
      </c>
      <c r="B267" s="131" t="s">
        <v>482</v>
      </c>
      <c r="C267" s="135" t="s">
        <v>481</v>
      </c>
      <c r="D267" s="69">
        <v>365</v>
      </c>
      <c r="E267" s="69">
        <v>365</v>
      </c>
      <c r="F267" s="170">
        <v>730</v>
      </c>
      <c r="G267" s="136">
        <v>365</v>
      </c>
    </row>
    <row r="268" spans="1:7" ht="14.25" customHeight="1" x14ac:dyDescent="0.3">
      <c r="A268" s="131">
        <v>7984</v>
      </c>
      <c r="B268" s="131" t="s">
        <v>1409</v>
      </c>
      <c r="C268" s="135" t="s">
        <v>1408</v>
      </c>
      <c r="D268" s="69">
        <v>365</v>
      </c>
      <c r="E268" s="69">
        <v>365</v>
      </c>
      <c r="F268" s="170">
        <v>730</v>
      </c>
      <c r="G268" s="136">
        <v>365</v>
      </c>
    </row>
    <row r="269" spans="1:7" ht="14.25" customHeight="1" x14ac:dyDescent="0.3">
      <c r="A269" s="182">
        <v>7988</v>
      </c>
      <c r="B269" s="182" t="s">
        <v>2346</v>
      </c>
      <c r="C269" s="183" t="s">
        <v>2347</v>
      </c>
      <c r="D269" s="184">
        <v>183</v>
      </c>
      <c r="E269" s="184">
        <v>182.5</v>
      </c>
      <c r="F269" s="183">
        <v>365</v>
      </c>
      <c r="G269" s="185">
        <v>182</v>
      </c>
    </row>
    <row r="270" spans="1:7" ht="14.25" customHeight="1" x14ac:dyDescent="0.3">
      <c r="A270" s="131">
        <v>64</v>
      </c>
      <c r="B270" s="131" t="s">
        <v>438</v>
      </c>
      <c r="C270" s="135" t="s">
        <v>137</v>
      </c>
      <c r="D270" s="69">
        <v>98</v>
      </c>
      <c r="E270" s="69">
        <v>182.5</v>
      </c>
      <c r="F270" s="170">
        <v>365</v>
      </c>
      <c r="G270" s="136">
        <v>267</v>
      </c>
    </row>
    <row r="271" spans="1:7" ht="14.25" customHeight="1" x14ac:dyDescent="0.3">
      <c r="A271" s="131">
        <v>67</v>
      </c>
      <c r="B271" s="131" t="s">
        <v>438</v>
      </c>
      <c r="C271" s="135" t="s">
        <v>1</v>
      </c>
      <c r="D271" s="69">
        <v>98</v>
      </c>
      <c r="E271" s="69">
        <v>182.5</v>
      </c>
      <c r="F271" s="170">
        <v>365</v>
      </c>
      <c r="G271" s="136">
        <v>267</v>
      </c>
    </row>
    <row r="272" spans="1:7" ht="14.25" customHeight="1" x14ac:dyDescent="0.3">
      <c r="A272" s="137">
        <v>2281</v>
      </c>
      <c r="B272" s="131" t="s">
        <v>581</v>
      </c>
      <c r="C272" s="139" t="s">
        <v>381</v>
      </c>
      <c r="D272" s="69">
        <v>365</v>
      </c>
      <c r="E272" s="69">
        <v>365</v>
      </c>
      <c r="F272" s="170">
        <v>730</v>
      </c>
      <c r="G272" s="136">
        <v>365</v>
      </c>
    </row>
    <row r="273" spans="1:7" ht="14.25" customHeight="1" x14ac:dyDescent="0.3">
      <c r="A273" s="137">
        <v>2282</v>
      </c>
      <c r="B273" s="131" t="s">
        <v>582</v>
      </c>
      <c r="C273" s="139" t="s">
        <v>1679</v>
      </c>
      <c r="D273" s="69">
        <v>365</v>
      </c>
      <c r="E273" s="69">
        <v>365</v>
      </c>
      <c r="F273" s="170">
        <v>730</v>
      </c>
      <c r="G273" s="136">
        <v>365</v>
      </c>
    </row>
    <row r="274" spans="1:7" ht="14.25" customHeight="1" x14ac:dyDescent="0.3">
      <c r="A274" s="137">
        <v>2283</v>
      </c>
      <c r="B274" s="131" t="s">
        <v>583</v>
      </c>
      <c r="C274" s="139" t="s">
        <v>1680</v>
      </c>
      <c r="D274" s="69">
        <v>365</v>
      </c>
      <c r="E274" s="69">
        <v>365</v>
      </c>
      <c r="F274" s="170">
        <v>730</v>
      </c>
      <c r="G274" s="136">
        <v>365</v>
      </c>
    </row>
    <row r="275" spans="1:7" ht="14.25" customHeight="1" x14ac:dyDescent="0.3">
      <c r="A275" s="131">
        <v>2431</v>
      </c>
      <c r="B275" s="131" t="s">
        <v>588</v>
      </c>
      <c r="C275" s="135" t="s">
        <v>587</v>
      </c>
      <c r="D275" s="69">
        <v>365</v>
      </c>
      <c r="E275" s="69">
        <v>365</v>
      </c>
      <c r="F275" s="170">
        <v>730</v>
      </c>
      <c r="G275" s="136">
        <v>365</v>
      </c>
    </row>
    <row r="276" spans="1:7" ht="14.25" customHeight="1" x14ac:dyDescent="0.3">
      <c r="A276" s="131">
        <v>2441</v>
      </c>
      <c r="B276" s="131" t="s">
        <v>596</v>
      </c>
      <c r="C276" s="135" t="s">
        <v>595</v>
      </c>
      <c r="D276" s="69">
        <v>365</v>
      </c>
      <c r="E276" s="69">
        <v>365</v>
      </c>
      <c r="F276" s="170">
        <v>730</v>
      </c>
      <c r="G276" s="136">
        <v>365</v>
      </c>
    </row>
    <row r="277" spans="1:7" ht="14.25" customHeight="1" x14ac:dyDescent="0.3">
      <c r="A277" s="131">
        <v>2445</v>
      </c>
      <c r="B277" s="131" t="s">
        <v>603</v>
      </c>
      <c r="C277" s="135" t="s">
        <v>143</v>
      </c>
      <c r="D277" s="69">
        <v>365</v>
      </c>
      <c r="E277" s="69">
        <v>365</v>
      </c>
      <c r="F277" s="170">
        <v>730</v>
      </c>
      <c r="G277" s="136">
        <v>365</v>
      </c>
    </row>
    <row r="278" spans="1:7" ht="14.25" customHeight="1" x14ac:dyDescent="0.3">
      <c r="A278" s="131">
        <v>2448</v>
      </c>
      <c r="B278" s="131" t="s">
        <v>608</v>
      </c>
      <c r="C278" s="135" t="s">
        <v>607</v>
      </c>
      <c r="D278" s="69">
        <v>365</v>
      </c>
      <c r="E278" s="69">
        <v>365</v>
      </c>
      <c r="F278" s="170">
        <v>730</v>
      </c>
      <c r="G278" s="136">
        <v>365</v>
      </c>
    </row>
    <row r="279" spans="1:7" ht="14.25" customHeight="1" x14ac:dyDescent="0.3">
      <c r="A279" s="137">
        <v>3214</v>
      </c>
      <c r="B279" s="138" t="s">
        <v>2387</v>
      </c>
      <c r="C279" s="139" t="s">
        <v>2521</v>
      </c>
      <c r="D279" s="69">
        <v>84</v>
      </c>
      <c r="E279" s="69">
        <v>182.5</v>
      </c>
      <c r="F279" s="170">
        <v>365</v>
      </c>
      <c r="G279" s="136">
        <v>281</v>
      </c>
    </row>
    <row r="280" spans="1:7" ht="14.25" customHeight="1" x14ac:dyDescent="0.3">
      <c r="A280" s="131">
        <v>4173</v>
      </c>
      <c r="B280" s="131" t="s">
        <v>691</v>
      </c>
      <c r="C280" s="135" t="s">
        <v>690</v>
      </c>
      <c r="D280" s="69">
        <v>365</v>
      </c>
      <c r="E280" s="69">
        <v>365</v>
      </c>
      <c r="F280" s="170">
        <v>730</v>
      </c>
      <c r="G280" s="136">
        <v>365</v>
      </c>
    </row>
    <row r="281" spans="1:7" ht="14.25" customHeight="1" x14ac:dyDescent="0.3">
      <c r="A281" s="131">
        <v>4175</v>
      </c>
      <c r="B281" s="131" t="s">
        <v>695</v>
      </c>
      <c r="C281" s="135" t="s">
        <v>694</v>
      </c>
      <c r="D281" s="69">
        <v>365</v>
      </c>
      <c r="E281" s="69">
        <v>365</v>
      </c>
      <c r="F281" s="170">
        <v>730</v>
      </c>
      <c r="G281" s="136">
        <v>365</v>
      </c>
    </row>
    <row r="282" spans="1:7" ht="14.25" customHeight="1" x14ac:dyDescent="0.3">
      <c r="A282" s="131">
        <v>4551</v>
      </c>
      <c r="B282" s="131" t="s">
        <v>767</v>
      </c>
      <c r="C282" s="135" t="s">
        <v>766</v>
      </c>
      <c r="D282" s="69">
        <v>98</v>
      </c>
      <c r="E282" s="69">
        <v>182.5</v>
      </c>
      <c r="F282" s="170">
        <v>365</v>
      </c>
      <c r="G282" s="136">
        <v>267</v>
      </c>
    </row>
    <row r="283" spans="1:7" ht="14.25" customHeight="1" x14ac:dyDescent="0.3">
      <c r="A283" s="131">
        <v>4577</v>
      </c>
      <c r="B283" s="131" t="s">
        <v>778</v>
      </c>
      <c r="C283" s="135" t="s">
        <v>777</v>
      </c>
      <c r="D283" s="69">
        <v>75</v>
      </c>
      <c r="E283" s="69">
        <v>91.5</v>
      </c>
      <c r="F283" s="170">
        <v>183</v>
      </c>
      <c r="G283" s="136">
        <v>108</v>
      </c>
    </row>
    <row r="284" spans="1:7" ht="14.25" customHeight="1" x14ac:dyDescent="0.3">
      <c r="A284" s="131">
        <v>4823</v>
      </c>
      <c r="B284" s="131" t="s">
        <v>819</v>
      </c>
      <c r="C284" s="135" t="s">
        <v>53</v>
      </c>
      <c r="D284" s="69">
        <v>365</v>
      </c>
      <c r="E284" s="69">
        <v>365</v>
      </c>
      <c r="F284" s="170">
        <v>730</v>
      </c>
      <c r="G284" s="136">
        <v>365</v>
      </c>
    </row>
    <row r="285" spans="1:7" ht="14.25" customHeight="1" x14ac:dyDescent="0.3">
      <c r="A285" s="131">
        <v>4831</v>
      </c>
      <c r="B285" s="131" t="s">
        <v>1681</v>
      </c>
      <c r="C285" s="135" t="s">
        <v>295</v>
      </c>
      <c r="D285" s="69">
        <v>365</v>
      </c>
      <c r="E285" s="69">
        <v>365</v>
      </c>
      <c r="F285" s="170">
        <v>730</v>
      </c>
      <c r="G285" s="136">
        <v>365</v>
      </c>
    </row>
    <row r="286" spans="1:7" ht="14.25" customHeight="1" x14ac:dyDescent="0.3">
      <c r="A286" s="131">
        <v>4858</v>
      </c>
      <c r="B286" s="131" t="s">
        <v>837</v>
      </c>
      <c r="C286" s="135" t="s">
        <v>58</v>
      </c>
      <c r="D286" s="69">
        <v>365</v>
      </c>
      <c r="E286" s="69">
        <v>365</v>
      </c>
      <c r="F286" s="170">
        <v>730</v>
      </c>
      <c r="G286" s="136">
        <v>365</v>
      </c>
    </row>
    <row r="287" spans="1:7" ht="14.25" customHeight="1" x14ac:dyDescent="0.3">
      <c r="A287" s="131">
        <v>4862</v>
      </c>
      <c r="B287" s="131" t="s">
        <v>843</v>
      </c>
      <c r="C287" s="135" t="s">
        <v>842</v>
      </c>
      <c r="D287" s="69">
        <v>365</v>
      </c>
      <c r="E287" s="69">
        <v>365</v>
      </c>
      <c r="F287" s="170">
        <v>730</v>
      </c>
      <c r="G287" s="136">
        <v>365</v>
      </c>
    </row>
    <row r="288" spans="1:7" ht="14.25" customHeight="1" x14ac:dyDescent="0.3">
      <c r="A288" s="131">
        <v>4908</v>
      </c>
      <c r="B288" s="131" t="s">
        <v>868</v>
      </c>
      <c r="C288" s="135" t="s">
        <v>867</v>
      </c>
      <c r="D288" s="69">
        <v>365</v>
      </c>
      <c r="E288" s="69">
        <v>365</v>
      </c>
      <c r="F288" s="170">
        <v>730</v>
      </c>
      <c r="G288" s="136">
        <v>365</v>
      </c>
    </row>
    <row r="289" spans="1:7" ht="14.25" customHeight="1" x14ac:dyDescent="0.3">
      <c r="A289" s="131">
        <v>4943</v>
      </c>
      <c r="B289" s="131" t="s">
        <v>870</v>
      </c>
      <c r="C289" s="135" t="s">
        <v>869</v>
      </c>
      <c r="D289" s="69">
        <v>365</v>
      </c>
      <c r="E289" s="69">
        <v>365</v>
      </c>
      <c r="F289" s="170">
        <v>730</v>
      </c>
      <c r="G289" s="136">
        <v>365</v>
      </c>
    </row>
    <row r="290" spans="1:7" ht="14.25" customHeight="1" x14ac:dyDescent="0.3">
      <c r="A290" s="131">
        <v>4945</v>
      </c>
      <c r="B290" s="131" t="s">
        <v>873</v>
      </c>
      <c r="C290" s="135" t="s">
        <v>872</v>
      </c>
      <c r="D290" s="69">
        <v>365</v>
      </c>
      <c r="E290" s="69">
        <v>365</v>
      </c>
      <c r="F290" s="170">
        <v>730</v>
      </c>
      <c r="G290" s="136">
        <v>365</v>
      </c>
    </row>
    <row r="291" spans="1:7" ht="14.25" customHeight="1" x14ac:dyDescent="0.3">
      <c r="A291" s="131">
        <v>4947</v>
      </c>
      <c r="B291" s="131" t="s">
        <v>876</v>
      </c>
      <c r="C291" s="135" t="s">
        <v>875</v>
      </c>
      <c r="D291" s="69">
        <v>365</v>
      </c>
      <c r="E291" s="69">
        <v>365</v>
      </c>
      <c r="F291" s="170">
        <v>730</v>
      </c>
      <c r="G291" s="136">
        <v>365</v>
      </c>
    </row>
    <row r="292" spans="1:7" ht="14.25" customHeight="1" x14ac:dyDescent="0.3">
      <c r="A292" s="131">
        <v>4177</v>
      </c>
      <c r="B292" s="131" t="s">
        <v>2601</v>
      </c>
      <c r="C292" s="135" t="s">
        <v>2602</v>
      </c>
      <c r="D292" s="69">
        <v>365</v>
      </c>
      <c r="E292" s="69">
        <v>365</v>
      </c>
      <c r="F292" s="170">
        <v>730</v>
      </c>
      <c r="G292" s="136">
        <v>365</v>
      </c>
    </row>
    <row r="293" spans="1:7" ht="14.25" customHeight="1" x14ac:dyDescent="0.3">
      <c r="A293" s="131">
        <v>2536</v>
      </c>
      <c r="B293" s="131" t="s">
        <v>2562</v>
      </c>
      <c r="C293" s="135" t="s">
        <v>2563</v>
      </c>
      <c r="D293" s="69">
        <v>183</v>
      </c>
      <c r="E293" s="69">
        <v>182.5</v>
      </c>
      <c r="F293" s="170">
        <v>365</v>
      </c>
      <c r="G293" s="136">
        <v>182</v>
      </c>
    </row>
    <row r="294" spans="1:7" ht="14.25" customHeight="1" x14ac:dyDescent="0.3">
      <c r="A294" s="131">
        <v>4182</v>
      </c>
      <c r="B294" s="131" t="s">
        <v>2587</v>
      </c>
      <c r="C294" s="135" t="s">
        <v>2588</v>
      </c>
      <c r="D294" s="69">
        <v>183</v>
      </c>
      <c r="E294" s="69">
        <v>182.5</v>
      </c>
      <c r="F294" s="170">
        <v>365</v>
      </c>
      <c r="G294" s="136">
        <v>182</v>
      </c>
    </row>
    <row r="295" spans="1:7" ht="14.25" customHeight="1" x14ac:dyDescent="0.3">
      <c r="A295" s="131">
        <v>2534</v>
      </c>
      <c r="B295" s="131" t="s">
        <v>2498</v>
      </c>
      <c r="C295" s="135" t="s">
        <v>2502</v>
      </c>
      <c r="D295" s="69">
        <v>183</v>
      </c>
      <c r="E295" s="69">
        <v>182.5</v>
      </c>
      <c r="F295" s="170">
        <v>365</v>
      </c>
      <c r="G295" s="136">
        <v>182</v>
      </c>
    </row>
    <row r="296" spans="1:7" ht="14.25" customHeight="1" x14ac:dyDescent="0.3">
      <c r="A296" s="131" t="s">
        <v>2591</v>
      </c>
      <c r="B296" s="131" t="s">
        <v>2589</v>
      </c>
      <c r="C296" s="135" t="s">
        <v>2590</v>
      </c>
      <c r="D296" s="69">
        <v>183</v>
      </c>
      <c r="E296" s="69">
        <v>182.5</v>
      </c>
      <c r="F296" s="170">
        <v>365</v>
      </c>
      <c r="G296" s="136">
        <v>182</v>
      </c>
    </row>
    <row r="297" spans="1:7" ht="14.25" customHeight="1" x14ac:dyDescent="0.3">
      <c r="A297" s="131">
        <v>4949</v>
      </c>
      <c r="B297" s="131" t="s">
        <v>878</v>
      </c>
      <c r="C297" s="135" t="s">
        <v>67</v>
      </c>
      <c r="D297" s="69">
        <v>365</v>
      </c>
      <c r="E297" s="69">
        <v>365</v>
      </c>
      <c r="F297" s="170">
        <v>730</v>
      </c>
      <c r="G297" s="136">
        <v>365</v>
      </c>
    </row>
    <row r="298" spans="1:7" ht="14.25" customHeight="1" x14ac:dyDescent="0.3">
      <c r="A298" s="131">
        <v>4950</v>
      </c>
      <c r="B298" s="131" t="s">
        <v>880</v>
      </c>
      <c r="C298" s="135" t="s">
        <v>879</v>
      </c>
      <c r="D298" s="69">
        <v>365</v>
      </c>
      <c r="E298" s="69">
        <v>365</v>
      </c>
      <c r="F298" s="170">
        <v>730</v>
      </c>
      <c r="G298" s="136">
        <v>365</v>
      </c>
    </row>
    <row r="299" spans="1:7" ht="14.25" customHeight="1" x14ac:dyDescent="0.3">
      <c r="A299" s="131">
        <v>4951</v>
      </c>
      <c r="B299" s="131" t="s">
        <v>882</v>
      </c>
      <c r="C299" s="135" t="s">
        <v>881</v>
      </c>
      <c r="D299" s="69">
        <v>365</v>
      </c>
      <c r="E299" s="69">
        <v>365</v>
      </c>
      <c r="F299" s="170">
        <v>730</v>
      </c>
      <c r="G299" s="136">
        <v>365</v>
      </c>
    </row>
    <row r="300" spans="1:7" ht="14.25" customHeight="1" x14ac:dyDescent="0.3">
      <c r="A300" s="137">
        <v>5101</v>
      </c>
      <c r="B300" s="138" t="s">
        <v>2422</v>
      </c>
      <c r="C300" s="139" t="s">
        <v>1682</v>
      </c>
      <c r="D300" s="69">
        <v>98</v>
      </c>
      <c r="E300" s="69">
        <v>182.5</v>
      </c>
      <c r="F300" s="170">
        <v>365</v>
      </c>
      <c r="G300" s="136">
        <v>267</v>
      </c>
    </row>
    <row r="301" spans="1:7" ht="14.25" customHeight="1" x14ac:dyDescent="0.3">
      <c r="A301" s="137">
        <v>5102</v>
      </c>
      <c r="B301" s="138" t="s">
        <v>2423</v>
      </c>
      <c r="C301" s="139" t="s">
        <v>1683</v>
      </c>
      <c r="D301" s="69">
        <v>98</v>
      </c>
      <c r="E301" s="69">
        <v>182.5</v>
      </c>
      <c r="F301" s="170">
        <v>365</v>
      </c>
      <c r="G301" s="136">
        <v>267</v>
      </c>
    </row>
    <row r="302" spans="1:7" ht="14.25" customHeight="1" x14ac:dyDescent="0.3">
      <c r="A302" s="137">
        <v>5177</v>
      </c>
      <c r="B302" s="131" t="s">
        <v>930</v>
      </c>
      <c r="C302" s="139" t="s">
        <v>1684</v>
      </c>
      <c r="D302" s="69">
        <v>84</v>
      </c>
      <c r="E302" s="69">
        <v>182.5</v>
      </c>
      <c r="F302" s="170">
        <v>365</v>
      </c>
      <c r="G302" s="136">
        <v>281</v>
      </c>
    </row>
    <row r="303" spans="1:7" ht="14.25" customHeight="1" x14ac:dyDescent="0.3">
      <c r="A303" s="131">
        <v>5309</v>
      </c>
      <c r="B303" s="131" t="s">
        <v>939</v>
      </c>
      <c r="C303" s="135" t="s">
        <v>938</v>
      </c>
      <c r="D303" s="69">
        <v>365</v>
      </c>
      <c r="E303" s="69">
        <v>365</v>
      </c>
      <c r="F303" s="170">
        <v>730</v>
      </c>
      <c r="G303" s="136">
        <v>365</v>
      </c>
    </row>
    <row r="304" spans="1:7" ht="14.25" customHeight="1" x14ac:dyDescent="0.3">
      <c r="A304" s="131">
        <v>5312</v>
      </c>
      <c r="B304" s="131" t="s">
        <v>942</v>
      </c>
      <c r="C304" s="135" t="s">
        <v>941</v>
      </c>
      <c r="D304" s="69">
        <v>365</v>
      </c>
      <c r="E304" s="69">
        <v>365</v>
      </c>
      <c r="F304" s="170">
        <v>730</v>
      </c>
      <c r="G304" s="136">
        <v>365</v>
      </c>
    </row>
    <row r="305" spans="1:7" ht="14.25" customHeight="1" x14ac:dyDescent="0.3">
      <c r="A305" s="131">
        <v>5713</v>
      </c>
      <c r="B305" s="131" t="s">
        <v>1083</v>
      </c>
      <c r="C305" s="135" t="s">
        <v>1082</v>
      </c>
      <c r="D305" s="69">
        <v>70</v>
      </c>
      <c r="E305" s="69">
        <v>182.5</v>
      </c>
      <c r="F305" s="170">
        <v>365</v>
      </c>
      <c r="G305" s="136">
        <v>295</v>
      </c>
    </row>
    <row r="306" spans="1:7" ht="14.25" customHeight="1" x14ac:dyDescent="0.3">
      <c r="A306" s="131">
        <v>5715</v>
      </c>
      <c r="B306" s="131" t="s">
        <v>1086</v>
      </c>
      <c r="C306" s="135" t="s">
        <v>1085</v>
      </c>
      <c r="D306" s="69">
        <v>70</v>
      </c>
      <c r="E306" s="69">
        <v>182.5</v>
      </c>
      <c r="F306" s="170">
        <v>365</v>
      </c>
      <c r="G306" s="136">
        <v>295</v>
      </c>
    </row>
    <row r="307" spans="1:7" ht="14.25" customHeight="1" x14ac:dyDescent="0.3">
      <c r="A307" s="131">
        <v>5719</v>
      </c>
      <c r="B307" s="131" t="s">
        <v>1089</v>
      </c>
      <c r="C307" s="135" t="s">
        <v>78</v>
      </c>
      <c r="D307" s="69">
        <v>70</v>
      </c>
      <c r="E307" s="69">
        <v>182.5</v>
      </c>
      <c r="F307" s="170">
        <v>365</v>
      </c>
      <c r="G307" s="136">
        <v>295</v>
      </c>
    </row>
    <row r="308" spans="1:7" ht="14.25" customHeight="1" x14ac:dyDescent="0.3">
      <c r="A308" s="131">
        <v>5734</v>
      </c>
      <c r="B308" s="131" t="s">
        <v>1096</v>
      </c>
      <c r="C308" s="135" t="s">
        <v>1095</v>
      </c>
      <c r="D308" s="69">
        <v>84</v>
      </c>
      <c r="E308" s="69">
        <v>182.5</v>
      </c>
      <c r="F308" s="170">
        <v>365</v>
      </c>
      <c r="G308" s="136">
        <v>281</v>
      </c>
    </row>
    <row r="309" spans="1:7" ht="14.25" customHeight="1" x14ac:dyDescent="0.3">
      <c r="A309" s="131">
        <v>5736</v>
      </c>
      <c r="B309" s="131" t="s">
        <v>2424</v>
      </c>
      <c r="C309" s="135" t="s">
        <v>1802</v>
      </c>
      <c r="D309" s="69">
        <v>84</v>
      </c>
      <c r="E309" s="69">
        <v>182.5</v>
      </c>
      <c r="F309" s="170">
        <v>365</v>
      </c>
      <c r="G309" s="136">
        <v>281</v>
      </c>
    </row>
    <row r="310" spans="1:7" ht="14.25" customHeight="1" x14ac:dyDescent="0.3">
      <c r="A310" s="137">
        <v>5740</v>
      </c>
      <c r="B310" s="138" t="s">
        <v>2080</v>
      </c>
      <c r="C310" s="139" t="s">
        <v>2081</v>
      </c>
      <c r="D310" s="69">
        <v>70</v>
      </c>
      <c r="E310" s="69">
        <v>182.5</v>
      </c>
      <c r="F310" s="170">
        <v>365</v>
      </c>
      <c r="G310" s="136">
        <v>295</v>
      </c>
    </row>
    <row r="311" spans="1:7" ht="14.25" customHeight="1" x14ac:dyDescent="0.3">
      <c r="A311" s="137">
        <v>5744</v>
      </c>
      <c r="B311" s="138" t="s">
        <v>2084</v>
      </c>
      <c r="C311" s="139" t="s">
        <v>2085</v>
      </c>
      <c r="D311" s="69">
        <v>70</v>
      </c>
      <c r="E311" s="69">
        <v>182.5</v>
      </c>
      <c r="F311" s="170">
        <v>365</v>
      </c>
      <c r="G311" s="136">
        <v>295</v>
      </c>
    </row>
    <row r="312" spans="1:7" ht="14.25" customHeight="1" x14ac:dyDescent="0.3">
      <c r="A312" s="131">
        <v>5748</v>
      </c>
      <c r="B312" s="131" t="s">
        <v>1100</v>
      </c>
      <c r="C312" s="135" t="s">
        <v>79</v>
      </c>
      <c r="D312" s="69">
        <v>84</v>
      </c>
      <c r="E312" s="69">
        <v>182.5</v>
      </c>
      <c r="F312" s="170">
        <v>365</v>
      </c>
      <c r="G312" s="136">
        <v>281</v>
      </c>
    </row>
    <row r="313" spans="1:7" ht="14.25" customHeight="1" x14ac:dyDescent="0.3">
      <c r="A313" s="137">
        <v>4183</v>
      </c>
      <c r="B313" s="138" t="s">
        <v>2694</v>
      </c>
      <c r="C313" s="139" t="s">
        <v>2695</v>
      </c>
      <c r="D313" s="69">
        <v>84</v>
      </c>
      <c r="E313" s="69">
        <v>182.5</v>
      </c>
      <c r="F313" s="170">
        <v>365</v>
      </c>
      <c r="G313" s="136">
        <v>281</v>
      </c>
    </row>
    <row r="314" spans="1:7" ht="14.25" customHeight="1" x14ac:dyDescent="0.3">
      <c r="A314" s="137">
        <v>5749</v>
      </c>
      <c r="B314" s="138" t="s">
        <v>1886</v>
      </c>
      <c r="C314" s="139" t="s">
        <v>1887</v>
      </c>
      <c r="D314" s="69">
        <v>84</v>
      </c>
      <c r="E314" s="69">
        <v>182.5</v>
      </c>
      <c r="F314" s="170">
        <v>365</v>
      </c>
      <c r="G314" s="136">
        <v>281</v>
      </c>
    </row>
    <row r="315" spans="1:7" ht="14.25" customHeight="1" x14ac:dyDescent="0.3">
      <c r="A315" s="137">
        <v>5758</v>
      </c>
      <c r="B315" s="138" t="s">
        <v>2094</v>
      </c>
      <c r="C315" s="139" t="s">
        <v>2095</v>
      </c>
      <c r="D315" s="69">
        <v>365</v>
      </c>
      <c r="E315" s="69">
        <v>365</v>
      </c>
      <c r="F315" s="170">
        <v>730</v>
      </c>
      <c r="G315" s="136">
        <v>365</v>
      </c>
    </row>
    <row r="316" spans="1:7" ht="14.25" customHeight="1" x14ac:dyDescent="0.3">
      <c r="A316" s="131">
        <v>6198</v>
      </c>
      <c r="B316" s="131" t="s">
        <v>1140</v>
      </c>
      <c r="C316" s="135" t="s">
        <v>84</v>
      </c>
      <c r="D316" s="69">
        <v>365</v>
      </c>
      <c r="E316" s="69">
        <v>365</v>
      </c>
      <c r="F316" s="170">
        <v>730</v>
      </c>
      <c r="G316" s="136">
        <v>365</v>
      </c>
    </row>
    <row r="317" spans="1:7" ht="14.25" customHeight="1" x14ac:dyDescent="0.3">
      <c r="A317" s="137">
        <v>6199</v>
      </c>
      <c r="B317" s="138" t="s">
        <v>2110</v>
      </c>
      <c r="C317" s="139" t="s">
        <v>2111</v>
      </c>
      <c r="D317" s="69">
        <v>365</v>
      </c>
      <c r="E317" s="69">
        <v>365</v>
      </c>
      <c r="F317" s="170">
        <v>730</v>
      </c>
      <c r="G317" s="136">
        <v>365</v>
      </c>
    </row>
    <row r="318" spans="1:7" ht="14.25" customHeight="1" x14ac:dyDescent="0.3">
      <c r="A318" s="131">
        <v>6335</v>
      </c>
      <c r="B318" s="131" t="s">
        <v>1149</v>
      </c>
      <c r="C318" s="135" t="s">
        <v>85</v>
      </c>
      <c r="D318" s="69">
        <v>98</v>
      </c>
      <c r="E318" s="69">
        <v>182.5</v>
      </c>
      <c r="F318" s="170">
        <v>365</v>
      </c>
      <c r="G318" s="136">
        <v>267</v>
      </c>
    </row>
    <row r="319" spans="1:7" ht="14.25" customHeight="1" x14ac:dyDescent="0.3">
      <c r="A319" s="131">
        <v>6336</v>
      </c>
      <c r="B319" s="131" t="s">
        <v>1152</v>
      </c>
      <c r="C319" s="135" t="s">
        <v>1151</v>
      </c>
      <c r="D319" s="69">
        <v>75</v>
      </c>
      <c r="E319" s="69">
        <v>91.5</v>
      </c>
      <c r="F319" s="170">
        <v>183</v>
      </c>
      <c r="G319" s="136">
        <v>108</v>
      </c>
    </row>
    <row r="320" spans="1:7" ht="14.25" customHeight="1" x14ac:dyDescent="0.3">
      <c r="A320" s="131">
        <v>6343</v>
      </c>
      <c r="B320" s="131" t="s">
        <v>1156</v>
      </c>
      <c r="C320" s="135" t="s">
        <v>1155</v>
      </c>
      <c r="D320" s="69">
        <v>75</v>
      </c>
      <c r="E320" s="69">
        <v>91.5</v>
      </c>
      <c r="F320" s="170">
        <v>183</v>
      </c>
      <c r="G320" s="136">
        <v>108</v>
      </c>
    </row>
    <row r="321" spans="1:7" ht="14.25" customHeight="1" x14ac:dyDescent="0.3">
      <c r="A321" s="131">
        <v>6344</v>
      </c>
      <c r="B321" s="131" t="s">
        <v>1158</v>
      </c>
      <c r="C321" s="135" t="s">
        <v>1157</v>
      </c>
      <c r="D321" s="69">
        <v>98</v>
      </c>
      <c r="E321" s="69">
        <v>182.5</v>
      </c>
      <c r="F321" s="170">
        <v>365</v>
      </c>
      <c r="G321" s="136">
        <v>267</v>
      </c>
    </row>
    <row r="322" spans="1:7" ht="14.25" customHeight="1" x14ac:dyDescent="0.3">
      <c r="A322" s="131">
        <v>6349</v>
      </c>
      <c r="B322" s="131" t="s">
        <v>1160</v>
      </c>
      <c r="C322" s="135" t="s">
        <v>86</v>
      </c>
      <c r="D322" s="69">
        <v>98</v>
      </c>
      <c r="E322" s="69">
        <v>182.5</v>
      </c>
      <c r="F322" s="170">
        <v>365</v>
      </c>
      <c r="G322" s="136">
        <v>267</v>
      </c>
    </row>
    <row r="323" spans="1:7" ht="14.25" customHeight="1" x14ac:dyDescent="0.3">
      <c r="A323" s="131">
        <v>6381</v>
      </c>
      <c r="B323" s="131" t="s">
        <v>1164</v>
      </c>
      <c r="C323" s="135" t="s">
        <v>1163</v>
      </c>
      <c r="D323" s="69">
        <v>365</v>
      </c>
      <c r="E323" s="69">
        <v>365</v>
      </c>
      <c r="F323" s="170">
        <v>730</v>
      </c>
      <c r="G323" s="136">
        <v>365</v>
      </c>
    </row>
    <row r="324" spans="1:7" ht="14.25" customHeight="1" x14ac:dyDescent="0.3">
      <c r="A324" s="131">
        <v>6745</v>
      </c>
      <c r="B324" s="131" t="s">
        <v>1236</v>
      </c>
      <c r="C324" s="135" t="s">
        <v>405</v>
      </c>
      <c r="D324" s="69">
        <v>122</v>
      </c>
      <c r="E324" s="69">
        <v>136.5</v>
      </c>
      <c r="F324" s="170">
        <v>273</v>
      </c>
      <c r="G324" s="136">
        <v>151</v>
      </c>
    </row>
    <row r="325" spans="1:7" ht="14.25" customHeight="1" x14ac:dyDescent="0.3">
      <c r="A325" s="131">
        <v>6746</v>
      </c>
      <c r="B325" s="131" t="s">
        <v>1238</v>
      </c>
      <c r="C325" s="135" t="s">
        <v>406</v>
      </c>
      <c r="D325" s="69">
        <v>122</v>
      </c>
      <c r="E325" s="69">
        <v>136.5</v>
      </c>
      <c r="F325" s="170">
        <v>273</v>
      </c>
      <c r="G325" s="136">
        <v>151</v>
      </c>
    </row>
    <row r="326" spans="1:7" ht="14.25" customHeight="1" x14ac:dyDescent="0.3">
      <c r="A326" s="137">
        <v>6750</v>
      </c>
      <c r="B326" s="138" t="s">
        <v>2140</v>
      </c>
      <c r="C326" s="139" t="s">
        <v>2141</v>
      </c>
      <c r="D326" s="69">
        <v>183</v>
      </c>
      <c r="E326" s="69">
        <v>182.5</v>
      </c>
      <c r="F326" s="170">
        <v>365</v>
      </c>
      <c r="G326" s="136">
        <v>182</v>
      </c>
    </row>
    <row r="327" spans="1:7" ht="14.25" customHeight="1" x14ac:dyDescent="0.3">
      <c r="A327" s="137">
        <v>6751</v>
      </c>
      <c r="B327" s="138" t="s">
        <v>1861</v>
      </c>
      <c r="C327" s="139" t="s">
        <v>1862</v>
      </c>
      <c r="D327" s="69">
        <v>183</v>
      </c>
      <c r="E327" s="69">
        <v>182.5</v>
      </c>
      <c r="F327" s="170">
        <v>365</v>
      </c>
      <c r="G327" s="136">
        <v>182</v>
      </c>
    </row>
    <row r="328" spans="1:7" ht="14.25" customHeight="1" x14ac:dyDescent="0.3">
      <c r="A328" s="131">
        <v>6752</v>
      </c>
      <c r="B328" s="146" t="s">
        <v>1638</v>
      </c>
      <c r="C328" s="135" t="s">
        <v>1639</v>
      </c>
      <c r="D328" s="69">
        <v>183</v>
      </c>
      <c r="E328" s="69">
        <v>182.5</v>
      </c>
      <c r="F328" s="170">
        <v>365</v>
      </c>
      <c r="G328" s="136">
        <v>182</v>
      </c>
    </row>
    <row r="329" spans="1:7" ht="14.25" customHeight="1" x14ac:dyDescent="0.3">
      <c r="A329" s="131">
        <v>6753</v>
      </c>
      <c r="B329" s="146" t="s">
        <v>1640</v>
      </c>
      <c r="C329" s="135" t="s">
        <v>1641</v>
      </c>
      <c r="D329" s="69">
        <v>183</v>
      </c>
      <c r="E329" s="69">
        <v>182.5</v>
      </c>
      <c r="F329" s="170">
        <v>365</v>
      </c>
      <c r="G329" s="136">
        <v>182</v>
      </c>
    </row>
    <row r="330" spans="1:7" ht="14.25" customHeight="1" x14ac:dyDescent="0.3">
      <c r="A330" s="131">
        <v>6766</v>
      </c>
      <c r="B330" s="131" t="s">
        <v>1240</v>
      </c>
      <c r="C330" s="135" t="s">
        <v>92</v>
      </c>
      <c r="D330" s="69">
        <v>183</v>
      </c>
      <c r="E330" s="69">
        <v>182.5</v>
      </c>
      <c r="F330" s="170">
        <v>365</v>
      </c>
      <c r="G330" s="136">
        <v>182</v>
      </c>
    </row>
    <row r="331" spans="1:7" ht="14.25" customHeight="1" x14ac:dyDescent="0.3">
      <c r="A331" s="131">
        <v>6767</v>
      </c>
      <c r="B331" s="131" t="s">
        <v>1242</v>
      </c>
      <c r="C331" s="135" t="s">
        <v>1241</v>
      </c>
      <c r="D331" s="69">
        <v>84</v>
      </c>
      <c r="E331" s="69">
        <v>182.5</v>
      </c>
      <c r="F331" s="170">
        <v>365</v>
      </c>
      <c r="G331" s="136">
        <v>281</v>
      </c>
    </row>
    <row r="332" spans="1:7" ht="14.25" customHeight="1" x14ac:dyDescent="0.3">
      <c r="A332" s="131">
        <v>6768</v>
      </c>
      <c r="B332" s="131" t="s">
        <v>1243</v>
      </c>
      <c r="C332" s="135" t="s">
        <v>93</v>
      </c>
      <c r="D332" s="69">
        <v>84</v>
      </c>
      <c r="E332" s="69">
        <v>182.5</v>
      </c>
      <c r="F332" s="170">
        <v>365</v>
      </c>
      <c r="G332" s="136">
        <v>281</v>
      </c>
    </row>
    <row r="333" spans="1:7" ht="14.25" customHeight="1" x14ac:dyDescent="0.3">
      <c r="A333" s="131">
        <v>6774</v>
      </c>
      <c r="B333" s="131" t="s">
        <v>1244</v>
      </c>
      <c r="C333" s="135" t="s">
        <v>94</v>
      </c>
      <c r="D333" s="69">
        <v>98</v>
      </c>
      <c r="E333" s="69">
        <v>182.5</v>
      </c>
      <c r="F333" s="170">
        <v>365</v>
      </c>
      <c r="G333" s="136">
        <v>267</v>
      </c>
    </row>
    <row r="334" spans="1:7" ht="14.25" customHeight="1" x14ac:dyDescent="0.3">
      <c r="A334" s="131">
        <v>6775</v>
      </c>
      <c r="B334" s="131" t="s">
        <v>1245</v>
      </c>
      <c r="C334" s="135" t="s">
        <v>201</v>
      </c>
      <c r="D334" s="69">
        <v>365</v>
      </c>
      <c r="E334" s="69">
        <v>365</v>
      </c>
      <c r="F334" s="170">
        <v>730</v>
      </c>
      <c r="G334" s="136">
        <v>365</v>
      </c>
    </row>
    <row r="335" spans="1:7" ht="14.25" customHeight="1" x14ac:dyDescent="0.3">
      <c r="A335" s="131">
        <v>6776</v>
      </c>
      <c r="B335" s="131" t="s">
        <v>1246</v>
      </c>
      <c r="C335" s="135" t="s">
        <v>202</v>
      </c>
      <c r="D335" s="69">
        <v>84</v>
      </c>
      <c r="E335" s="69">
        <v>182.5</v>
      </c>
      <c r="F335" s="170">
        <v>365</v>
      </c>
      <c r="G335" s="136">
        <v>281</v>
      </c>
    </row>
    <row r="336" spans="1:7" ht="14.25" customHeight="1" x14ac:dyDescent="0.3">
      <c r="A336" s="131">
        <v>6777</v>
      </c>
      <c r="B336" s="131" t="s">
        <v>1247</v>
      </c>
      <c r="C336" s="135" t="s">
        <v>203</v>
      </c>
      <c r="D336" s="69">
        <v>98</v>
      </c>
      <c r="E336" s="69">
        <v>182.5</v>
      </c>
      <c r="F336" s="170">
        <v>365</v>
      </c>
      <c r="G336" s="136">
        <v>267</v>
      </c>
    </row>
    <row r="337" spans="1:7" ht="14.25" customHeight="1" x14ac:dyDescent="0.3">
      <c r="A337" s="131">
        <v>6778</v>
      </c>
      <c r="B337" s="131" t="s">
        <v>1248</v>
      </c>
      <c r="C337" s="135" t="s">
        <v>204</v>
      </c>
      <c r="D337" s="69">
        <v>365</v>
      </c>
      <c r="E337" s="69">
        <v>365</v>
      </c>
      <c r="F337" s="170">
        <v>730</v>
      </c>
      <c r="G337" s="136">
        <v>365</v>
      </c>
    </row>
    <row r="338" spans="1:7" ht="14.25" customHeight="1" x14ac:dyDescent="0.3">
      <c r="A338" s="131">
        <v>6972</v>
      </c>
      <c r="B338" s="131" t="s">
        <v>1255</v>
      </c>
      <c r="C338" s="135" t="s">
        <v>1254</v>
      </c>
      <c r="D338" s="69">
        <v>365</v>
      </c>
      <c r="E338" s="69">
        <v>365</v>
      </c>
      <c r="F338" s="170">
        <v>730</v>
      </c>
      <c r="G338" s="136">
        <v>365</v>
      </c>
    </row>
    <row r="339" spans="1:7" ht="14.25" customHeight="1" x14ac:dyDescent="0.3">
      <c r="A339" s="131">
        <v>8207</v>
      </c>
      <c r="B339" s="131" t="s">
        <v>1486</v>
      </c>
      <c r="C339" s="135" t="s">
        <v>116</v>
      </c>
      <c r="D339" s="69">
        <v>84</v>
      </c>
      <c r="E339" s="69">
        <v>182.5</v>
      </c>
      <c r="F339" s="170">
        <v>365</v>
      </c>
      <c r="G339" s="136">
        <v>281</v>
      </c>
    </row>
    <row r="340" spans="1:7" ht="14.25" customHeight="1" x14ac:dyDescent="0.3">
      <c r="A340" s="131">
        <v>8618</v>
      </c>
      <c r="B340" s="131" t="s">
        <v>1550</v>
      </c>
      <c r="C340" s="135" t="s">
        <v>127</v>
      </c>
      <c r="D340" s="69">
        <v>365</v>
      </c>
      <c r="E340" s="69">
        <v>365</v>
      </c>
      <c r="F340" s="170">
        <v>730</v>
      </c>
      <c r="G340" s="136">
        <v>365</v>
      </c>
    </row>
    <row r="341" spans="1:7" ht="14.25" customHeight="1" x14ac:dyDescent="0.3">
      <c r="A341" s="137">
        <v>8619</v>
      </c>
      <c r="B341" s="138" t="s">
        <v>2243</v>
      </c>
      <c r="C341" s="139" t="s">
        <v>2244</v>
      </c>
      <c r="D341" s="69">
        <v>365</v>
      </c>
      <c r="E341" s="69">
        <v>365</v>
      </c>
      <c r="F341" s="170">
        <v>730</v>
      </c>
      <c r="G341" s="136">
        <v>365</v>
      </c>
    </row>
    <row r="342" spans="1:7" ht="14.25" customHeight="1" x14ac:dyDescent="0.3">
      <c r="A342" s="131">
        <v>3750</v>
      </c>
      <c r="B342" s="131" t="s">
        <v>636</v>
      </c>
      <c r="C342" s="135" t="s">
        <v>39</v>
      </c>
      <c r="D342" s="69">
        <v>183</v>
      </c>
      <c r="E342" s="69">
        <v>182.5</v>
      </c>
      <c r="F342" s="170">
        <v>365</v>
      </c>
      <c r="G342" s="136">
        <v>182</v>
      </c>
    </row>
    <row r="343" spans="1:7" ht="14.25" customHeight="1" x14ac:dyDescent="0.3">
      <c r="A343" s="131">
        <v>3751</v>
      </c>
      <c r="B343" s="131" t="s">
        <v>639</v>
      </c>
      <c r="C343" s="135" t="s">
        <v>638</v>
      </c>
      <c r="D343" s="69">
        <v>183</v>
      </c>
      <c r="E343" s="69">
        <v>182.5</v>
      </c>
      <c r="F343" s="170">
        <v>365</v>
      </c>
      <c r="G343" s="136">
        <v>182</v>
      </c>
    </row>
    <row r="344" spans="1:7" ht="14.25" customHeight="1" x14ac:dyDescent="0.3">
      <c r="A344" s="131">
        <v>3752</v>
      </c>
      <c r="B344" s="131" t="s">
        <v>640</v>
      </c>
      <c r="C344" s="135" t="s">
        <v>40</v>
      </c>
      <c r="D344" s="69">
        <v>183</v>
      </c>
      <c r="E344" s="69">
        <v>182.5</v>
      </c>
      <c r="F344" s="170">
        <v>365</v>
      </c>
      <c r="G344" s="136">
        <v>182</v>
      </c>
    </row>
    <row r="345" spans="1:7" ht="14.25" customHeight="1" x14ac:dyDescent="0.3">
      <c r="A345" s="131">
        <v>3753</v>
      </c>
      <c r="B345" s="131" t="s">
        <v>643</v>
      </c>
      <c r="C345" s="135" t="s">
        <v>642</v>
      </c>
      <c r="D345" s="69">
        <v>183</v>
      </c>
      <c r="E345" s="69">
        <v>182.5</v>
      </c>
      <c r="F345" s="170">
        <v>365</v>
      </c>
      <c r="G345" s="136">
        <v>182</v>
      </c>
    </row>
    <row r="346" spans="1:7" ht="14.25" customHeight="1" x14ac:dyDescent="0.3">
      <c r="A346" s="131">
        <v>3754</v>
      </c>
      <c r="B346" s="131" t="s">
        <v>644</v>
      </c>
      <c r="C346" s="135" t="s">
        <v>41</v>
      </c>
      <c r="D346" s="69">
        <v>183</v>
      </c>
      <c r="E346" s="69">
        <v>182.5</v>
      </c>
      <c r="F346" s="170">
        <v>365</v>
      </c>
      <c r="G346" s="136">
        <v>182</v>
      </c>
    </row>
    <row r="347" spans="1:7" ht="14.25" customHeight="1" x14ac:dyDescent="0.3">
      <c r="A347" s="131">
        <v>3758</v>
      </c>
      <c r="B347" s="131" t="s">
        <v>645</v>
      </c>
      <c r="C347" s="135" t="s">
        <v>42</v>
      </c>
      <c r="D347" s="69">
        <v>183</v>
      </c>
      <c r="E347" s="69">
        <v>182.5</v>
      </c>
      <c r="F347" s="170">
        <v>365</v>
      </c>
      <c r="G347" s="136">
        <v>182</v>
      </c>
    </row>
    <row r="348" spans="1:7" ht="14.25" customHeight="1" x14ac:dyDescent="0.3">
      <c r="A348" s="131">
        <v>3761</v>
      </c>
      <c r="B348" s="131" t="s">
        <v>646</v>
      </c>
      <c r="C348" s="135" t="s">
        <v>145</v>
      </c>
      <c r="D348" s="69">
        <v>183</v>
      </c>
      <c r="E348" s="69">
        <v>182.5</v>
      </c>
      <c r="F348" s="170">
        <v>365</v>
      </c>
      <c r="G348" s="136">
        <v>182</v>
      </c>
    </row>
    <row r="349" spans="1:7" ht="14.25" customHeight="1" x14ac:dyDescent="0.3">
      <c r="A349" s="131">
        <v>3767</v>
      </c>
      <c r="B349" s="131" t="s">
        <v>648</v>
      </c>
      <c r="C349" s="135" t="s">
        <v>647</v>
      </c>
      <c r="D349" s="69">
        <v>183</v>
      </c>
      <c r="E349" s="69">
        <v>182.5</v>
      </c>
      <c r="F349" s="170">
        <v>365</v>
      </c>
      <c r="G349" s="136">
        <v>182</v>
      </c>
    </row>
    <row r="350" spans="1:7" ht="14.25" customHeight="1" x14ac:dyDescent="0.3">
      <c r="A350" s="131">
        <v>7551</v>
      </c>
      <c r="B350" s="131" t="s">
        <v>1326</v>
      </c>
      <c r="C350" s="135" t="s">
        <v>96</v>
      </c>
      <c r="D350" s="69">
        <v>75</v>
      </c>
      <c r="E350" s="69">
        <v>91.5</v>
      </c>
      <c r="F350" s="170">
        <v>183</v>
      </c>
      <c r="G350" s="136">
        <v>108</v>
      </c>
    </row>
    <row r="351" spans="1:7" ht="14.25" customHeight="1" x14ac:dyDescent="0.3">
      <c r="A351" s="131">
        <v>772</v>
      </c>
      <c r="B351" s="131" t="s">
        <v>545</v>
      </c>
      <c r="C351" s="135" t="s">
        <v>29</v>
      </c>
      <c r="D351" s="69">
        <v>183</v>
      </c>
      <c r="E351" s="69">
        <v>182.5</v>
      </c>
      <c r="F351" s="170">
        <v>365</v>
      </c>
      <c r="G351" s="136">
        <v>182</v>
      </c>
    </row>
    <row r="352" spans="1:7" ht="14.25" customHeight="1" x14ac:dyDescent="0.3">
      <c r="A352" s="131">
        <v>771</v>
      </c>
      <c r="B352" s="131" t="s">
        <v>543</v>
      </c>
      <c r="C352" s="135" t="s">
        <v>28</v>
      </c>
      <c r="D352" s="69">
        <v>183</v>
      </c>
      <c r="E352" s="69">
        <v>182.5</v>
      </c>
      <c r="F352" s="170">
        <v>365</v>
      </c>
      <c r="G352" s="136">
        <v>182</v>
      </c>
    </row>
    <row r="353" spans="1:7" ht="14.25" customHeight="1" x14ac:dyDescent="0.3">
      <c r="A353" s="137">
        <v>776</v>
      </c>
      <c r="B353" s="138" t="s">
        <v>546</v>
      </c>
      <c r="C353" s="139" t="s">
        <v>1685</v>
      </c>
      <c r="D353" s="69">
        <v>183</v>
      </c>
      <c r="E353" s="69">
        <v>182.5</v>
      </c>
      <c r="F353" s="170">
        <v>365</v>
      </c>
      <c r="G353" s="136">
        <v>182</v>
      </c>
    </row>
    <row r="354" spans="1:7" ht="14.25" customHeight="1" x14ac:dyDescent="0.3">
      <c r="A354" s="137" t="s">
        <v>2425</v>
      </c>
      <c r="B354" s="137" t="s">
        <v>2425</v>
      </c>
      <c r="C354" s="139" t="s">
        <v>1621</v>
      </c>
      <c r="D354" s="69">
        <v>183</v>
      </c>
      <c r="E354" s="69">
        <v>136.5</v>
      </c>
      <c r="F354" s="170">
        <v>273</v>
      </c>
      <c r="G354" s="136">
        <v>90</v>
      </c>
    </row>
    <row r="355" spans="1:7" ht="14.25" customHeight="1" x14ac:dyDescent="0.3">
      <c r="A355" s="137" t="s">
        <v>2426</v>
      </c>
      <c r="B355" s="137" t="s">
        <v>2426</v>
      </c>
      <c r="C355" s="139" t="s">
        <v>1622</v>
      </c>
      <c r="D355" s="69">
        <v>183</v>
      </c>
      <c r="E355" s="69">
        <v>136.5</v>
      </c>
      <c r="F355" s="170">
        <v>273</v>
      </c>
      <c r="G355" s="136">
        <v>90</v>
      </c>
    </row>
    <row r="356" spans="1:7" ht="14.25" customHeight="1" x14ac:dyDescent="0.3">
      <c r="A356" s="131">
        <v>4867</v>
      </c>
      <c r="B356" s="131" t="s">
        <v>845</v>
      </c>
      <c r="C356" s="135" t="s">
        <v>59</v>
      </c>
      <c r="D356" s="69">
        <v>183</v>
      </c>
      <c r="E356" s="69">
        <v>182.5</v>
      </c>
      <c r="F356" s="170">
        <v>365</v>
      </c>
      <c r="G356" s="136">
        <v>182</v>
      </c>
    </row>
    <row r="357" spans="1:7" ht="14.25" customHeight="1" x14ac:dyDescent="0.3">
      <c r="A357" s="131">
        <v>4868</v>
      </c>
      <c r="B357" s="131" t="s">
        <v>846</v>
      </c>
      <c r="C357" s="135" t="s">
        <v>60</v>
      </c>
      <c r="D357" s="69">
        <v>183</v>
      </c>
      <c r="E357" s="69">
        <v>182.5</v>
      </c>
      <c r="F357" s="170">
        <v>365</v>
      </c>
      <c r="G357" s="136">
        <v>182</v>
      </c>
    </row>
    <row r="358" spans="1:7" ht="14.25" customHeight="1" x14ac:dyDescent="0.3">
      <c r="A358" s="131">
        <v>4869</v>
      </c>
      <c r="B358" s="131" t="s">
        <v>848</v>
      </c>
      <c r="C358" s="135" t="s">
        <v>61</v>
      </c>
      <c r="D358" s="69">
        <v>183</v>
      </c>
      <c r="E358" s="69">
        <v>182.5</v>
      </c>
      <c r="F358" s="170">
        <v>365</v>
      </c>
      <c r="G358" s="136">
        <v>182</v>
      </c>
    </row>
    <row r="359" spans="1:7" ht="14.25" customHeight="1" x14ac:dyDescent="0.3">
      <c r="A359" s="131">
        <v>8259</v>
      </c>
      <c r="B359" s="131" t="s">
        <v>2492</v>
      </c>
      <c r="C359" s="135" t="s">
        <v>2491</v>
      </c>
      <c r="D359" s="69">
        <v>183</v>
      </c>
      <c r="E359" s="69">
        <v>182.5</v>
      </c>
      <c r="F359" s="170">
        <f>365</f>
        <v>365</v>
      </c>
      <c r="G359" s="136">
        <f>182</f>
        <v>182</v>
      </c>
    </row>
    <row r="360" spans="1:7" ht="14.25" customHeight="1" x14ac:dyDescent="0.3">
      <c r="A360" s="131">
        <v>4872</v>
      </c>
      <c r="B360" s="131" t="s">
        <v>850</v>
      </c>
      <c r="C360" s="135" t="s">
        <v>62</v>
      </c>
      <c r="D360" s="69">
        <v>183</v>
      </c>
      <c r="E360" s="69">
        <v>182.5</v>
      </c>
      <c r="F360" s="170">
        <v>365</v>
      </c>
      <c r="G360" s="136">
        <v>182</v>
      </c>
    </row>
    <row r="361" spans="1:7" ht="14.25" customHeight="1" x14ac:dyDescent="0.3">
      <c r="A361" s="131">
        <v>4877</v>
      </c>
      <c r="B361" s="131" t="s">
        <v>852</v>
      </c>
      <c r="C361" s="135" t="s">
        <v>63</v>
      </c>
      <c r="D361" s="69">
        <v>183</v>
      </c>
      <c r="E361" s="69">
        <v>182.5</v>
      </c>
      <c r="F361" s="170">
        <v>365</v>
      </c>
      <c r="G361" s="136">
        <v>182</v>
      </c>
    </row>
    <row r="362" spans="1:7" ht="14.25" customHeight="1" x14ac:dyDescent="0.3">
      <c r="A362" s="131">
        <v>4879</v>
      </c>
      <c r="B362" s="131" t="s">
        <v>855</v>
      </c>
      <c r="C362" s="135" t="s">
        <v>64</v>
      </c>
      <c r="D362" s="69">
        <v>183</v>
      </c>
      <c r="E362" s="69">
        <v>182.5</v>
      </c>
      <c r="F362" s="170">
        <v>365</v>
      </c>
      <c r="G362" s="136">
        <v>182</v>
      </c>
    </row>
    <row r="363" spans="1:7" ht="14.25" customHeight="1" x14ac:dyDescent="0.3">
      <c r="A363" s="137">
        <v>4880</v>
      </c>
      <c r="B363" s="138" t="s">
        <v>2033</v>
      </c>
      <c r="C363" s="139" t="s">
        <v>2034</v>
      </c>
      <c r="D363" s="69">
        <v>183</v>
      </c>
      <c r="E363" s="69">
        <v>182.5</v>
      </c>
      <c r="F363" s="170">
        <v>365</v>
      </c>
      <c r="G363" s="136">
        <v>182</v>
      </c>
    </row>
    <row r="364" spans="1:7" ht="14.25" customHeight="1" x14ac:dyDescent="0.3">
      <c r="A364" s="137">
        <v>4881</v>
      </c>
      <c r="B364" s="138" t="s">
        <v>1882</v>
      </c>
      <c r="C364" s="139" t="s">
        <v>1883</v>
      </c>
      <c r="D364" s="69">
        <v>183</v>
      </c>
      <c r="E364" s="69">
        <v>182.5</v>
      </c>
      <c r="F364" s="170">
        <v>365</v>
      </c>
      <c r="G364" s="136">
        <v>182</v>
      </c>
    </row>
    <row r="365" spans="1:7" ht="14.25" customHeight="1" x14ac:dyDescent="0.3">
      <c r="A365" s="131">
        <v>4884</v>
      </c>
      <c r="B365" s="131" t="s">
        <v>856</v>
      </c>
      <c r="C365" s="135" t="s">
        <v>65</v>
      </c>
      <c r="D365" s="69">
        <v>183</v>
      </c>
      <c r="E365" s="69">
        <v>182.5</v>
      </c>
      <c r="F365" s="170">
        <v>365</v>
      </c>
      <c r="G365" s="136">
        <v>182</v>
      </c>
    </row>
    <row r="366" spans="1:7" ht="14.25" customHeight="1" x14ac:dyDescent="0.3">
      <c r="A366" s="131">
        <v>4885</v>
      </c>
      <c r="B366" s="131" t="s">
        <v>858</v>
      </c>
      <c r="C366" s="135" t="s">
        <v>857</v>
      </c>
      <c r="D366" s="69">
        <v>183</v>
      </c>
      <c r="E366" s="69">
        <v>182.5</v>
      </c>
      <c r="F366" s="170">
        <v>365</v>
      </c>
      <c r="G366" s="136">
        <v>182</v>
      </c>
    </row>
    <row r="367" spans="1:7" ht="14.25" customHeight="1" x14ac:dyDescent="0.3">
      <c r="A367" s="131">
        <v>4899</v>
      </c>
      <c r="B367" s="131" t="s">
        <v>860</v>
      </c>
      <c r="C367" s="135" t="s">
        <v>865</v>
      </c>
      <c r="D367" s="69">
        <v>183</v>
      </c>
      <c r="E367" s="69">
        <v>182.5</v>
      </c>
      <c r="F367" s="170">
        <v>365</v>
      </c>
      <c r="G367" s="136">
        <v>182</v>
      </c>
    </row>
    <row r="368" spans="1:7" ht="14.25" customHeight="1" x14ac:dyDescent="0.3">
      <c r="A368" s="131">
        <v>4905</v>
      </c>
      <c r="B368" s="131" t="s">
        <v>866</v>
      </c>
      <c r="C368" s="135" t="s">
        <v>66</v>
      </c>
      <c r="D368" s="69">
        <v>183</v>
      </c>
      <c r="E368" s="69">
        <v>182.5</v>
      </c>
      <c r="F368" s="170">
        <v>365</v>
      </c>
      <c r="G368" s="136">
        <v>182</v>
      </c>
    </row>
    <row r="369" spans="1:7" ht="14.25" customHeight="1" x14ac:dyDescent="0.3">
      <c r="A369" s="137">
        <v>4961</v>
      </c>
      <c r="B369" s="131" t="s">
        <v>884</v>
      </c>
      <c r="C369" s="139" t="s">
        <v>1686</v>
      </c>
      <c r="D369" s="69">
        <v>137</v>
      </c>
      <c r="E369" s="69">
        <v>136.5</v>
      </c>
      <c r="F369" s="170">
        <v>273</v>
      </c>
      <c r="G369" s="136">
        <v>136</v>
      </c>
    </row>
    <row r="370" spans="1:7" ht="14.25" customHeight="1" x14ac:dyDescent="0.3">
      <c r="A370" s="137">
        <v>4962</v>
      </c>
      <c r="B370" s="131" t="s">
        <v>885</v>
      </c>
      <c r="C370" s="139" t="s">
        <v>400</v>
      </c>
      <c r="D370" s="69">
        <v>137</v>
      </c>
      <c r="E370" s="69">
        <v>136.5</v>
      </c>
      <c r="F370" s="170">
        <v>273</v>
      </c>
      <c r="G370" s="136">
        <v>136</v>
      </c>
    </row>
    <row r="371" spans="1:7" ht="14.25" customHeight="1" x14ac:dyDescent="0.3">
      <c r="A371" s="131">
        <v>4971</v>
      </c>
      <c r="B371" s="131" t="s">
        <v>886</v>
      </c>
      <c r="C371" s="135" t="s">
        <v>195</v>
      </c>
      <c r="D371" s="69">
        <v>183</v>
      </c>
      <c r="E371" s="69">
        <v>182.5</v>
      </c>
      <c r="F371" s="170">
        <v>365</v>
      </c>
      <c r="G371" s="136">
        <v>182</v>
      </c>
    </row>
    <row r="372" spans="1:7" ht="14.25" customHeight="1" x14ac:dyDescent="0.3">
      <c r="A372" s="131">
        <v>4972</v>
      </c>
      <c r="B372" s="131" t="s">
        <v>888</v>
      </c>
      <c r="C372" s="135" t="s">
        <v>196</v>
      </c>
      <c r="D372" s="69">
        <v>183</v>
      </c>
      <c r="E372" s="69">
        <v>182.5</v>
      </c>
      <c r="F372" s="170">
        <v>365</v>
      </c>
      <c r="G372" s="136">
        <v>182</v>
      </c>
    </row>
    <row r="373" spans="1:7" ht="14.25" customHeight="1" x14ac:dyDescent="0.3">
      <c r="A373" s="131">
        <v>4973</v>
      </c>
      <c r="B373" s="131" t="s">
        <v>890</v>
      </c>
      <c r="C373" s="135" t="s">
        <v>197</v>
      </c>
      <c r="D373" s="69">
        <v>183</v>
      </c>
      <c r="E373" s="69">
        <v>182.5</v>
      </c>
      <c r="F373" s="170">
        <v>365</v>
      </c>
      <c r="G373" s="136">
        <v>182</v>
      </c>
    </row>
    <row r="374" spans="1:7" ht="14.25" customHeight="1" x14ac:dyDescent="0.3">
      <c r="A374" s="131">
        <v>4974</v>
      </c>
      <c r="B374" s="131" t="s">
        <v>892</v>
      </c>
      <c r="C374" s="135" t="s">
        <v>198</v>
      </c>
      <c r="D374" s="69">
        <v>183</v>
      </c>
      <c r="E374" s="69">
        <v>182.5</v>
      </c>
      <c r="F374" s="170">
        <v>365</v>
      </c>
      <c r="G374" s="136">
        <v>182</v>
      </c>
    </row>
    <row r="375" spans="1:7" ht="14.25" customHeight="1" x14ac:dyDescent="0.3">
      <c r="A375" s="131">
        <v>4978</v>
      </c>
      <c r="B375" s="131" t="s">
        <v>894</v>
      </c>
      <c r="C375" s="135" t="s">
        <v>247</v>
      </c>
      <c r="D375" s="69">
        <v>183</v>
      </c>
      <c r="E375" s="69">
        <v>182.5</v>
      </c>
      <c r="F375" s="170">
        <v>365</v>
      </c>
      <c r="G375" s="136">
        <v>182</v>
      </c>
    </row>
    <row r="376" spans="1:7" ht="14.25" customHeight="1" x14ac:dyDescent="0.3">
      <c r="A376" s="131">
        <v>4979</v>
      </c>
      <c r="B376" s="131" t="s">
        <v>896</v>
      </c>
      <c r="C376" s="135" t="s">
        <v>259</v>
      </c>
      <c r="D376" s="69">
        <v>183</v>
      </c>
      <c r="E376" s="69">
        <v>182.5</v>
      </c>
      <c r="F376" s="170">
        <v>365</v>
      </c>
      <c r="G376" s="136">
        <v>182</v>
      </c>
    </row>
    <row r="377" spans="1:7" ht="14.25" customHeight="1" x14ac:dyDescent="0.3">
      <c r="A377" s="131">
        <v>4980</v>
      </c>
      <c r="B377" s="131" t="s">
        <v>897</v>
      </c>
      <c r="C377" s="135" t="s">
        <v>68</v>
      </c>
      <c r="D377" s="69">
        <v>183</v>
      </c>
      <c r="E377" s="69">
        <v>182.5</v>
      </c>
      <c r="F377" s="170">
        <v>365</v>
      </c>
      <c r="G377" s="136">
        <v>182</v>
      </c>
    </row>
    <row r="378" spans="1:7" ht="14.25" customHeight="1" x14ac:dyDescent="0.3">
      <c r="A378" s="131">
        <v>4982</v>
      </c>
      <c r="B378" s="131" t="s">
        <v>898</v>
      </c>
      <c r="C378" s="135" t="s">
        <v>146</v>
      </c>
      <c r="D378" s="69">
        <v>183</v>
      </c>
      <c r="E378" s="69">
        <v>182.5</v>
      </c>
      <c r="F378" s="170">
        <v>365</v>
      </c>
      <c r="G378" s="136">
        <v>182</v>
      </c>
    </row>
    <row r="379" spans="1:7" ht="14.25" customHeight="1" x14ac:dyDescent="0.3">
      <c r="A379" s="131">
        <v>4983</v>
      </c>
      <c r="B379" s="131" t="s">
        <v>900</v>
      </c>
      <c r="C379" s="135" t="s">
        <v>147</v>
      </c>
      <c r="D379" s="69">
        <v>183</v>
      </c>
      <c r="E379" s="69">
        <v>182.5</v>
      </c>
      <c r="F379" s="170">
        <v>365</v>
      </c>
      <c r="G379" s="136">
        <v>182</v>
      </c>
    </row>
    <row r="380" spans="1:7" ht="14.25" customHeight="1" x14ac:dyDescent="0.3">
      <c r="A380" s="131">
        <v>4991</v>
      </c>
      <c r="B380" s="131" t="s">
        <v>902</v>
      </c>
      <c r="C380" s="135" t="s">
        <v>69</v>
      </c>
      <c r="D380" s="69">
        <v>183</v>
      </c>
      <c r="E380" s="69">
        <v>182.5</v>
      </c>
      <c r="F380" s="170">
        <v>365</v>
      </c>
      <c r="G380" s="136">
        <v>182</v>
      </c>
    </row>
    <row r="381" spans="1:7" ht="14.25" customHeight="1" x14ac:dyDescent="0.3">
      <c r="A381" s="137">
        <v>4993</v>
      </c>
      <c r="B381" s="131" t="s">
        <v>903</v>
      </c>
      <c r="C381" s="139" t="s">
        <v>401</v>
      </c>
      <c r="D381" s="69">
        <v>183</v>
      </c>
      <c r="E381" s="69">
        <v>182.5</v>
      </c>
      <c r="F381" s="170">
        <v>365</v>
      </c>
      <c r="G381" s="136">
        <v>182</v>
      </c>
    </row>
    <row r="382" spans="1:7" ht="14.25" customHeight="1" x14ac:dyDescent="0.3">
      <c r="A382" s="137">
        <v>4994</v>
      </c>
      <c r="B382" s="131" t="s">
        <v>904</v>
      </c>
      <c r="C382" s="139" t="s">
        <v>402</v>
      </c>
      <c r="D382" s="69">
        <v>183</v>
      </c>
      <c r="E382" s="69">
        <v>182.5</v>
      </c>
      <c r="F382" s="170">
        <v>365</v>
      </c>
      <c r="G382" s="136">
        <v>182</v>
      </c>
    </row>
    <row r="383" spans="1:7" ht="14.25" customHeight="1" x14ac:dyDescent="0.3">
      <c r="A383" s="137">
        <v>4997</v>
      </c>
      <c r="B383" s="138" t="s">
        <v>2037</v>
      </c>
      <c r="C383" s="139" t="s">
        <v>2038</v>
      </c>
      <c r="D383" s="69">
        <v>183</v>
      </c>
      <c r="E383" s="69">
        <v>182.5</v>
      </c>
      <c r="F383" s="170">
        <v>365</v>
      </c>
      <c r="G383" s="136">
        <v>182</v>
      </c>
    </row>
    <row r="384" spans="1:7" ht="14.25" customHeight="1" x14ac:dyDescent="0.3">
      <c r="A384" s="137">
        <v>5007</v>
      </c>
      <c r="B384" s="138" t="s">
        <v>1895</v>
      </c>
      <c r="C384" s="139" t="s">
        <v>1896</v>
      </c>
      <c r="D384" s="69">
        <v>183</v>
      </c>
      <c r="E384" s="69">
        <v>182.5</v>
      </c>
      <c r="F384" s="170">
        <v>365</v>
      </c>
      <c r="G384" s="136">
        <v>182</v>
      </c>
    </row>
    <row r="385" spans="1:7" ht="14.25" customHeight="1" x14ac:dyDescent="0.3">
      <c r="A385" s="137">
        <v>8051</v>
      </c>
      <c r="B385" s="138" t="s">
        <v>2332</v>
      </c>
      <c r="C385" s="139" t="s">
        <v>2320</v>
      </c>
      <c r="D385" s="69">
        <v>183</v>
      </c>
      <c r="E385" s="69">
        <v>152</v>
      </c>
      <c r="F385" s="170">
        <v>304</v>
      </c>
      <c r="G385" s="136">
        <v>121</v>
      </c>
    </row>
    <row r="386" spans="1:7" ht="14.25" customHeight="1" x14ac:dyDescent="0.3">
      <c r="A386" s="137">
        <v>8052</v>
      </c>
      <c r="B386" s="138" t="s">
        <v>2321</v>
      </c>
      <c r="C386" s="139" t="s">
        <v>2322</v>
      </c>
      <c r="D386" s="69">
        <v>183</v>
      </c>
      <c r="E386" s="69">
        <v>152</v>
      </c>
      <c r="F386" s="170">
        <v>304</v>
      </c>
      <c r="G386" s="136">
        <v>121</v>
      </c>
    </row>
    <row r="387" spans="1:7" ht="14.25" customHeight="1" x14ac:dyDescent="0.3">
      <c r="A387" s="186">
        <v>8057</v>
      </c>
      <c r="B387" s="187" t="s">
        <v>2302</v>
      </c>
      <c r="C387" s="148" t="s">
        <v>2289</v>
      </c>
      <c r="D387" s="188">
        <v>152</v>
      </c>
      <c r="E387" s="188">
        <v>151.5</v>
      </c>
      <c r="F387" s="149">
        <v>303</v>
      </c>
      <c r="G387" s="189">
        <v>151</v>
      </c>
    </row>
    <row r="388" spans="1:7" ht="14.25" customHeight="1" x14ac:dyDescent="0.3">
      <c r="A388" s="137">
        <v>8058</v>
      </c>
      <c r="B388" s="138" t="s">
        <v>2304</v>
      </c>
      <c r="C388" s="139" t="s">
        <v>2305</v>
      </c>
      <c r="D388" s="69">
        <v>183</v>
      </c>
      <c r="E388" s="69">
        <v>182.5</v>
      </c>
      <c r="F388" s="170">
        <v>365</v>
      </c>
      <c r="G388" s="136">
        <v>182</v>
      </c>
    </row>
    <row r="389" spans="1:7" ht="14.25" customHeight="1" x14ac:dyDescent="0.3">
      <c r="A389" s="137">
        <v>8064</v>
      </c>
      <c r="B389" s="138" t="s">
        <v>2182</v>
      </c>
      <c r="C389" s="139" t="s">
        <v>2183</v>
      </c>
      <c r="D389" s="69">
        <v>183</v>
      </c>
      <c r="E389" s="69">
        <v>182.5</v>
      </c>
      <c r="F389" s="170">
        <v>365</v>
      </c>
      <c r="G389" s="136">
        <v>182</v>
      </c>
    </row>
    <row r="390" spans="1:7" ht="14.25" customHeight="1" x14ac:dyDescent="0.3">
      <c r="A390" s="137">
        <v>8065</v>
      </c>
      <c r="B390" s="138" t="s">
        <v>1913</v>
      </c>
      <c r="C390" s="139" t="s">
        <v>2527</v>
      </c>
      <c r="D390" s="69">
        <v>183</v>
      </c>
      <c r="E390" s="69">
        <v>182.5</v>
      </c>
      <c r="F390" s="170">
        <v>365</v>
      </c>
      <c r="G390" s="136">
        <v>182</v>
      </c>
    </row>
    <row r="391" spans="1:7" ht="14.25" customHeight="1" x14ac:dyDescent="0.3">
      <c r="A391" s="137">
        <v>8278</v>
      </c>
      <c r="B391" s="138" t="s">
        <v>2494</v>
      </c>
      <c r="C391" s="139" t="s">
        <v>2493</v>
      </c>
      <c r="D391" s="69">
        <v>183</v>
      </c>
      <c r="E391" s="69">
        <v>152</v>
      </c>
      <c r="F391" s="170">
        <v>304</v>
      </c>
      <c r="G391" s="136">
        <v>121</v>
      </c>
    </row>
    <row r="392" spans="1:7" ht="14.25" customHeight="1" x14ac:dyDescent="0.3">
      <c r="A392" s="137">
        <v>8285</v>
      </c>
      <c r="B392" s="138" t="s">
        <v>2581</v>
      </c>
      <c r="C392" s="139" t="s">
        <v>2582</v>
      </c>
      <c r="D392" s="69">
        <v>183</v>
      </c>
      <c r="E392" s="69">
        <v>182.5</v>
      </c>
      <c r="F392" s="170">
        <v>365</v>
      </c>
      <c r="G392" s="136">
        <v>182</v>
      </c>
    </row>
    <row r="393" spans="1:7" ht="14.25" customHeight="1" x14ac:dyDescent="0.3">
      <c r="A393" s="137">
        <v>8275</v>
      </c>
      <c r="B393" s="138" t="s">
        <v>2495</v>
      </c>
      <c r="C393" s="139" t="s">
        <v>2496</v>
      </c>
      <c r="D393" s="69">
        <v>183</v>
      </c>
      <c r="E393" s="69">
        <v>152</v>
      </c>
      <c r="F393" s="170">
        <v>304</v>
      </c>
      <c r="G393" s="136">
        <v>121</v>
      </c>
    </row>
    <row r="394" spans="1:7" ht="14.25" customHeight="1" x14ac:dyDescent="0.3">
      <c r="A394" s="137">
        <v>8066</v>
      </c>
      <c r="B394" s="138" t="s">
        <v>1914</v>
      </c>
      <c r="C394" s="139" t="s">
        <v>1915</v>
      </c>
      <c r="D394" s="69">
        <v>183</v>
      </c>
      <c r="E394" s="69">
        <v>152</v>
      </c>
      <c r="F394" s="170">
        <v>304</v>
      </c>
      <c r="G394" s="136">
        <v>121</v>
      </c>
    </row>
    <row r="395" spans="1:7" ht="14.25" customHeight="1" x14ac:dyDescent="0.3">
      <c r="A395" s="137">
        <v>8067</v>
      </c>
      <c r="B395" s="138" t="s">
        <v>1909</v>
      </c>
      <c r="C395" s="139" t="s">
        <v>1910</v>
      </c>
      <c r="D395" s="69">
        <v>183</v>
      </c>
      <c r="E395" s="69">
        <v>182.5</v>
      </c>
      <c r="F395" s="170">
        <v>365</v>
      </c>
      <c r="G395" s="136">
        <v>182</v>
      </c>
    </row>
    <row r="396" spans="1:7" ht="14.25" customHeight="1" x14ac:dyDescent="0.3">
      <c r="A396" s="137">
        <v>8068</v>
      </c>
      <c r="B396" s="138" t="s">
        <v>1911</v>
      </c>
      <c r="C396" s="139" t="s">
        <v>1912</v>
      </c>
      <c r="D396" s="69">
        <v>183</v>
      </c>
      <c r="E396" s="69">
        <v>182.5</v>
      </c>
      <c r="F396" s="170">
        <v>365</v>
      </c>
      <c r="G396" s="136">
        <v>182</v>
      </c>
    </row>
    <row r="397" spans="1:7" ht="14.25" customHeight="1" x14ac:dyDescent="0.3">
      <c r="A397" s="137">
        <v>8069</v>
      </c>
      <c r="B397" s="138" t="s">
        <v>2184</v>
      </c>
      <c r="C397" s="139" t="s">
        <v>2185</v>
      </c>
      <c r="D397" s="69">
        <v>183</v>
      </c>
      <c r="E397" s="69">
        <v>182.5</v>
      </c>
      <c r="F397" s="170">
        <v>365</v>
      </c>
      <c r="G397" s="136">
        <v>182</v>
      </c>
    </row>
    <row r="398" spans="1:7" ht="14.25" customHeight="1" x14ac:dyDescent="0.3">
      <c r="A398" s="137">
        <v>8071</v>
      </c>
      <c r="B398" s="131" t="s">
        <v>1413</v>
      </c>
      <c r="C398" s="139" t="s">
        <v>408</v>
      </c>
      <c r="D398" s="69">
        <v>183</v>
      </c>
      <c r="E398" s="69">
        <v>182.5</v>
      </c>
      <c r="F398" s="170">
        <v>365</v>
      </c>
      <c r="G398" s="136">
        <v>182</v>
      </c>
    </row>
    <row r="399" spans="1:7" ht="14.25" customHeight="1" x14ac:dyDescent="0.3">
      <c r="A399" s="137">
        <v>8072</v>
      </c>
      <c r="B399" s="131" t="s">
        <v>1414</v>
      </c>
      <c r="C399" s="139" t="s">
        <v>372</v>
      </c>
      <c r="D399" s="69">
        <v>183</v>
      </c>
      <c r="E399" s="69">
        <v>182.5</v>
      </c>
      <c r="F399" s="170">
        <v>365</v>
      </c>
      <c r="G399" s="136">
        <v>182</v>
      </c>
    </row>
    <row r="400" spans="1:7" ht="14.25" customHeight="1" x14ac:dyDescent="0.3">
      <c r="A400" s="137">
        <v>8073</v>
      </c>
      <c r="B400" s="131" t="s">
        <v>1416</v>
      </c>
      <c r="C400" s="139" t="s">
        <v>409</v>
      </c>
      <c r="D400" s="69">
        <v>183</v>
      </c>
      <c r="E400" s="69">
        <v>182.5</v>
      </c>
      <c r="F400" s="170">
        <v>365</v>
      </c>
      <c r="G400" s="136">
        <v>182</v>
      </c>
    </row>
    <row r="401" spans="1:7" ht="14.25" customHeight="1" x14ac:dyDescent="0.3">
      <c r="A401" s="137">
        <v>8074</v>
      </c>
      <c r="B401" s="131" t="s">
        <v>1417</v>
      </c>
      <c r="C401" s="139" t="s">
        <v>373</v>
      </c>
      <c r="D401" s="69">
        <v>183</v>
      </c>
      <c r="E401" s="69">
        <v>182.5</v>
      </c>
      <c r="F401" s="170">
        <v>365</v>
      </c>
      <c r="G401" s="136">
        <v>182</v>
      </c>
    </row>
    <row r="402" spans="1:7" ht="14.25" customHeight="1" x14ac:dyDescent="0.3">
      <c r="A402" s="137">
        <v>8078</v>
      </c>
      <c r="B402" s="138" t="s">
        <v>2186</v>
      </c>
      <c r="C402" s="139" t="s">
        <v>2187</v>
      </c>
      <c r="D402" s="69">
        <v>183</v>
      </c>
      <c r="E402" s="69">
        <v>182.5</v>
      </c>
      <c r="F402" s="170">
        <v>365</v>
      </c>
      <c r="G402" s="136">
        <v>182</v>
      </c>
    </row>
    <row r="403" spans="1:7" ht="14.25" customHeight="1" x14ac:dyDescent="0.3">
      <c r="A403" s="137">
        <v>8081</v>
      </c>
      <c r="B403" s="131" t="s">
        <v>1419</v>
      </c>
      <c r="C403" s="139" t="s">
        <v>410</v>
      </c>
      <c r="D403" s="69">
        <v>183</v>
      </c>
      <c r="E403" s="69">
        <v>182.5</v>
      </c>
      <c r="F403" s="170">
        <v>365</v>
      </c>
      <c r="G403" s="136">
        <v>182</v>
      </c>
    </row>
    <row r="404" spans="1:7" ht="14.25" customHeight="1" x14ac:dyDescent="0.3">
      <c r="A404" s="137">
        <v>8082</v>
      </c>
      <c r="B404" s="131" t="s">
        <v>1420</v>
      </c>
      <c r="C404" s="139" t="s">
        <v>2569</v>
      </c>
      <c r="D404" s="69">
        <v>183</v>
      </c>
      <c r="E404" s="69">
        <v>182.5</v>
      </c>
      <c r="F404" s="170">
        <v>365</v>
      </c>
      <c r="G404" s="136">
        <v>182</v>
      </c>
    </row>
    <row r="405" spans="1:7" ht="14.25" customHeight="1" x14ac:dyDescent="0.3">
      <c r="A405" s="137">
        <v>8083</v>
      </c>
      <c r="B405" s="131" t="s">
        <v>1422</v>
      </c>
      <c r="C405" s="139" t="s">
        <v>2533</v>
      </c>
      <c r="D405" s="69">
        <v>183</v>
      </c>
      <c r="E405" s="69">
        <v>182.5</v>
      </c>
      <c r="F405" s="170">
        <v>365</v>
      </c>
      <c r="G405" s="136">
        <v>182</v>
      </c>
    </row>
    <row r="406" spans="1:7" ht="14.25" customHeight="1" x14ac:dyDescent="0.3">
      <c r="A406" s="137">
        <v>8084</v>
      </c>
      <c r="B406" s="131" t="s">
        <v>1423</v>
      </c>
      <c r="C406" s="139" t="s">
        <v>2534</v>
      </c>
      <c r="D406" s="69">
        <v>183</v>
      </c>
      <c r="E406" s="69">
        <v>182.5</v>
      </c>
      <c r="F406" s="170">
        <v>365</v>
      </c>
      <c r="G406" s="136">
        <v>182</v>
      </c>
    </row>
    <row r="407" spans="1:7" ht="14.25" customHeight="1" x14ac:dyDescent="0.3">
      <c r="A407" s="137">
        <v>8291</v>
      </c>
      <c r="B407" s="131" t="s">
        <v>2675</v>
      </c>
      <c r="C407" s="139" t="s">
        <v>2672</v>
      </c>
      <c r="D407" s="69">
        <v>183</v>
      </c>
      <c r="E407" s="69">
        <v>182.5</v>
      </c>
      <c r="F407" s="170">
        <v>365</v>
      </c>
      <c r="G407" s="136">
        <v>182</v>
      </c>
    </row>
    <row r="408" spans="1:7" ht="14.25" customHeight="1" x14ac:dyDescent="0.3">
      <c r="A408" s="137">
        <v>8292</v>
      </c>
      <c r="B408" s="131" t="s">
        <v>2676</v>
      </c>
      <c r="C408" s="139" t="s">
        <v>2673</v>
      </c>
      <c r="D408" s="69">
        <v>183</v>
      </c>
      <c r="E408" s="69">
        <v>182.5</v>
      </c>
      <c r="F408" s="170">
        <v>365</v>
      </c>
      <c r="G408" s="136">
        <v>182</v>
      </c>
    </row>
    <row r="409" spans="1:7" ht="14.25" customHeight="1" x14ac:dyDescent="0.3">
      <c r="A409" s="137">
        <v>8293</v>
      </c>
      <c r="B409" s="131" t="s">
        <v>2677</v>
      </c>
      <c r="C409" s="139" t="s">
        <v>2674</v>
      </c>
      <c r="D409" s="69">
        <v>183</v>
      </c>
      <c r="E409" s="69">
        <v>182.5</v>
      </c>
      <c r="F409" s="170">
        <v>365</v>
      </c>
      <c r="G409" s="136">
        <v>182</v>
      </c>
    </row>
    <row r="410" spans="1:7" ht="14.25" customHeight="1" x14ac:dyDescent="0.3">
      <c r="A410" s="137">
        <v>8085</v>
      </c>
      <c r="B410" s="131" t="s">
        <v>1425</v>
      </c>
      <c r="C410" s="139" t="s">
        <v>411</v>
      </c>
      <c r="D410" s="69">
        <v>183</v>
      </c>
      <c r="E410" s="69">
        <v>182.5</v>
      </c>
      <c r="F410" s="170">
        <v>365</v>
      </c>
      <c r="G410" s="136">
        <v>182</v>
      </c>
    </row>
    <row r="411" spans="1:7" ht="14.25" customHeight="1" x14ac:dyDescent="0.3">
      <c r="A411" s="137">
        <v>8086</v>
      </c>
      <c r="B411" s="131" t="s">
        <v>1427</v>
      </c>
      <c r="C411" s="139" t="s">
        <v>376</v>
      </c>
      <c r="D411" s="69">
        <v>183</v>
      </c>
      <c r="E411" s="69">
        <v>182.5</v>
      </c>
      <c r="F411" s="170">
        <v>365</v>
      </c>
      <c r="G411" s="136">
        <v>182</v>
      </c>
    </row>
    <row r="412" spans="1:7" ht="14.25" customHeight="1" x14ac:dyDescent="0.3">
      <c r="A412" s="137">
        <v>8090</v>
      </c>
      <c r="B412" s="138" t="s">
        <v>1863</v>
      </c>
      <c r="C412" s="139" t="s">
        <v>1930</v>
      </c>
      <c r="D412" s="69">
        <v>183</v>
      </c>
      <c r="E412" s="69">
        <v>182.5</v>
      </c>
      <c r="F412" s="170">
        <v>365</v>
      </c>
      <c r="G412" s="136">
        <v>182</v>
      </c>
    </row>
    <row r="413" spans="1:7" ht="14.25" customHeight="1" x14ac:dyDescent="0.3">
      <c r="A413" s="137">
        <v>8091</v>
      </c>
      <c r="B413" s="138" t="s">
        <v>1854</v>
      </c>
      <c r="C413" s="139" t="s">
        <v>1931</v>
      </c>
      <c r="D413" s="69">
        <v>183</v>
      </c>
      <c r="E413" s="69">
        <v>182.5</v>
      </c>
      <c r="F413" s="170">
        <v>365</v>
      </c>
      <c r="G413" s="136">
        <v>182</v>
      </c>
    </row>
    <row r="414" spans="1:7" ht="14.25" customHeight="1" x14ac:dyDescent="0.3">
      <c r="A414" s="137">
        <v>8093</v>
      </c>
      <c r="B414" s="138" t="s">
        <v>2188</v>
      </c>
      <c r="C414" s="139" t="s">
        <v>2189</v>
      </c>
      <c r="D414" s="69">
        <v>183</v>
      </c>
      <c r="E414" s="69">
        <v>182.5</v>
      </c>
      <c r="F414" s="170">
        <v>365</v>
      </c>
      <c r="G414" s="136">
        <v>182</v>
      </c>
    </row>
    <row r="415" spans="1:7" ht="14.25" customHeight="1" x14ac:dyDescent="0.3">
      <c r="A415" s="131">
        <v>8094</v>
      </c>
      <c r="B415" s="131" t="s">
        <v>1429</v>
      </c>
      <c r="C415" s="135" t="s">
        <v>262</v>
      </c>
      <c r="D415" s="69">
        <v>183</v>
      </c>
      <c r="E415" s="69">
        <v>182.5</v>
      </c>
      <c r="F415" s="170">
        <v>365</v>
      </c>
      <c r="G415" s="150">
        <v>182</v>
      </c>
    </row>
    <row r="416" spans="1:7" ht="14.25" customHeight="1" x14ac:dyDescent="0.3">
      <c r="A416" s="131">
        <v>8095</v>
      </c>
      <c r="B416" s="131" t="s">
        <v>1430</v>
      </c>
      <c r="C416" s="135" t="s">
        <v>263</v>
      </c>
      <c r="D416" s="69">
        <v>183</v>
      </c>
      <c r="E416" s="69">
        <v>182.5</v>
      </c>
      <c r="F416" s="170">
        <v>365</v>
      </c>
      <c r="G416" s="150">
        <v>182</v>
      </c>
    </row>
    <row r="417" spans="1:7" ht="14.25" customHeight="1" x14ac:dyDescent="0.3">
      <c r="A417" s="137">
        <v>8096</v>
      </c>
      <c r="B417" s="138" t="s">
        <v>2427</v>
      </c>
      <c r="C417" s="139" t="s">
        <v>1803</v>
      </c>
      <c r="D417" s="69">
        <v>183</v>
      </c>
      <c r="E417" s="69">
        <v>182.5</v>
      </c>
      <c r="F417" s="170">
        <v>365</v>
      </c>
      <c r="G417" s="150">
        <v>182</v>
      </c>
    </row>
    <row r="418" spans="1:7" ht="14.25" customHeight="1" x14ac:dyDescent="0.3">
      <c r="A418" s="137">
        <v>8097</v>
      </c>
      <c r="B418" s="138" t="s">
        <v>2428</v>
      </c>
      <c r="C418" s="139" t="s">
        <v>1804</v>
      </c>
      <c r="D418" s="69">
        <v>183</v>
      </c>
      <c r="E418" s="69">
        <v>182.5</v>
      </c>
      <c r="F418" s="170">
        <v>365</v>
      </c>
      <c r="G418" s="150">
        <v>182</v>
      </c>
    </row>
    <row r="419" spans="1:7" ht="14.25" customHeight="1" x14ac:dyDescent="0.3">
      <c r="A419" s="131">
        <v>8098</v>
      </c>
      <c r="B419" s="131" t="s">
        <v>1431</v>
      </c>
      <c r="C419" s="135" t="s">
        <v>422</v>
      </c>
      <c r="D419" s="69">
        <v>183</v>
      </c>
      <c r="E419" s="69">
        <v>182.5</v>
      </c>
      <c r="F419" s="170">
        <v>365</v>
      </c>
      <c r="G419" s="150">
        <v>182</v>
      </c>
    </row>
    <row r="420" spans="1:7" ht="14.25" customHeight="1" x14ac:dyDescent="0.3">
      <c r="A420" s="131">
        <v>8099</v>
      </c>
      <c r="B420" s="131" t="s">
        <v>1432</v>
      </c>
      <c r="C420" s="135" t="s">
        <v>423</v>
      </c>
      <c r="D420" s="69">
        <v>183</v>
      </c>
      <c r="E420" s="69">
        <v>182.5</v>
      </c>
      <c r="F420" s="170">
        <v>365</v>
      </c>
      <c r="G420" s="150">
        <v>182</v>
      </c>
    </row>
    <row r="421" spans="1:7" ht="14.25" customHeight="1" x14ac:dyDescent="0.3">
      <c r="A421" s="131">
        <v>8106</v>
      </c>
      <c r="B421" s="131" t="s">
        <v>1434</v>
      </c>
      <c r="C421" s="135" t="s">
        <v>104</v>
      </c>
      <c r="D421" s="69">
        <v>183</v>
      </c>
      <c r="E421" s="69">
        <v>182.5</v>
      </c>
      <c r="F421" s="170">
        <v>365</v>
      </c>
      <c r="G421" s="150">
        <v>182</v>
      </c>
    </row>
    <row r="422" spans="1:7" ht="14.25" customHeight="1" x14ac:dyDescent="0.3">
      <c r="A422" s="131">
        <v>8108</v>
      </c>
      <c r="B422" s="131" t="s">
        <v>1435</v>
      </c>
      <c r="C422" s="135" t="s">
        <v>167</v>
      </c>
      <c r="D422" s="69">
        <v>183</v>
      </c>
      <c r="E422" s="69">
        <v>182.5</v>
      </c>
      <c r="F422" s="170">
        <v>365</v>
      </c>
      <c r="G422" s="136">
        <v>182</v>
      </c>
    </row>
    <row r="423" spans="1:7" ht="14.25" customHeight="1" x14ac:dyDescent="0.3">
      <c r="A423" s="131">
        <v>8110</v>
      </c>
      <c r="B423" s="131" t="s">
        <v>1436</v>
      </c>
      <c r="C423" s="135" t="s">
        <v>105</v>
      </c>
      <c r="D423" s="69">
        <v>183</v>
      </c>
      <c r="E423" s="69">
        <v>182.5</v>
      </c>
      <c r="F423" s="170">
        <v>365</v>
      </c>
      <c r="G423" s="136">
        <v>182</v>
      </c>
    </row>
    <row r="424" spans="1:7" ht="14.25" customHeight="1" x14ac:dyDescent="0.3">
      <c r="A424" s="137">
        <v>8115</v>
      </c>
      <c r="B424" s="138" t="s">
        <v>2301</v>
      </c>
      <c r="C424" s="139" t="s">
        <v>2282</v>
      </c>
      <c r="D424" s="69">
        <v>183</v>
      </c>
      <c r="E424" s="69">
        <v>182.5</v>
      </c>
      <c r="F424" s="170">
        <v>365</v>
      </c>
      <c r="G424" s="136">
        <v>182</v>
      </c>
    </row>
    <row r="425" spans="1:7" ht="14.25" customHeight="1" x14ac:dyDescent="0.3">
      <c r="A425" s="131">
        <v>8117</v>
      </c>
      <c r="B425" s="131" t="s">
        <v>1437</v>
      </c>
      <c r="C425" s="135" t="s">
        <v>208</v>
      </c>
      <c r="D425" s="69">
        <v>183</v>
      </c>
      <c r="E425" s="69">
        <v>182.5</v>
      </c>
      <c r="F425" s="170">
        <v>365</v>
      </c>
      <c r="G425" s="136">
        <v>182</v>
      </c>
    </row>
    <row r="426" spans="1:7" ht="14.25" customHeight="1" x14ac:dyDescent="0.3">
      <c r="A426" s="131">
        <v>8118</v>
      </c>
      <c r="B426" s="131" t="s">
        <v>1438</v>
      </c>
      <c r="C426" s="135" t="s">
        <v>209</v>
      </c>
      <c r="D426" s="69">
        <v>183</v>
      </c>
      <c r="E426" s="69">
        <v>182.5</v>
      </c>
      <c r="F426" s="170">
        <v>365</v>
      </c>
      <c r="G426" s="136">
        <v>182</v>
      </c>
    </row>
    <row r="427" spans="1:7" ht="14.25" customHeight="1" x14ac:dyDescent="0.3">
      <c r="A427" s="131">
        <v>8119</v>
      </c>
      <c r="B427" s="131" t="s">
        <v>1439</v>
      </c>
      <c r="C427" s="135" t="s">
        <v>210</v>
      </c>
      <c r="D427" s="69">
        <v>183</v>
      </c>
      <c r="E427" s="69">
        <v>182.5</v>
      </c>
      <c r="F427" s="170">
        <v>365</v>
      </c>
      <c r="G427" s="136">
        <v>182</v>
      </c>
    </row>
    <row r="428" spans="1:7" ht="14.25" customHeight="1" x14ac:dyDescent="0.3">
      <c r="A428" s="131">
        <v>8123</v>
      </c>
      <c r="B428" s="131" t="s">
        <v>1440</v>
      </c>
      <c r="C428" s="135" t="s">
        <v>168</v>
      </c>
      <c r="D428" s="69">
        <v>35</v>
      </c>
      <c r="E428" s="69">
        <v>35</v>
      </c>
      <c r="F428" s="170">
        <v>70</v>
      </c>
      <c r="G428" s="136">
        <v>35</v>
      </c>
    </row>
    <row r="429" spans="1:7" ht="14.25" customHeight="1" x14ac:dyDescent="0.3">
      <c r="A429" s="131">
        <v>8125</v>
      </c>
      <c r="B429" s="131" t="s">
        <v>1441</v>
      </c>
      <c r="C429" s="135" t="s">
        <v>211</v>
      </c>
      <c r="D429" s="69">
        <v>35</v>
      </c>
      <c r="E429" s="69">
        <v>35</v>
      </c>
      <c r="F429" s="170">
        <v>70</v>
      </c>
      <c r="G429" s="136">
        <v>35</v>
      </c>
    </row>
    <row r="430" spans="1:7" ht="14.25" customHeight="1" x14ac:dyDescent="0.3">
      <c r="A430" s="131">
        <v>8126</v>
      </c>
      <c r="B430" s="131" t="s">
        <v>1442</v>
      </c>
      <c r="C430" s="135" t="s">
        <v>212</v>
      </c>
      <c r="D430" s="69">
        <v>35</v>
      </c>
      <c r="E430" s="69">
        <v>35</v>
      </c>
      <c r="F430" s="170">
        <v>70</v>
      </c>
      <c r="G430" s="136">
        <v>35</v>
      </c>
    </row>
    <row r="431" spans="1:7" ht="14.25" customHeight="1" x14ac:dyDescent="0.3">
      <c r="A431" s="131">
        <v>8130</v>
      </c>
      <c r="B431" s="131" t="s">
        <v>1443</v>
      </c>
      <c r="C431" s="135" t="s">
        <v>106</v>
      </c>
      <c r="D431" s="69">
        <v>183</v>
      </c>
      <c r="E431" s="69">
        <v>182.5</v>
      </c>
      <c r="F431" s="170">
        <v>365</v>
      </c>
      <c r="G431" s="136">
        <v>182</v>
      </c>
    </row>
    <row r="432" spans="1:7" ht="14.25" customHeight="1" x14ac:dyDescent="0.3">
      <c r="A432" s="131">
        <v>8134</v>
      </c>
      <c r="B432" s="131" t="s">
        <v>1444</v>
      </c>
      <c r="C432" s="135" t="s">
        <v>107</v>
      </c>
      <c r="D432" s="69">
        <v>183</v>
      </c>
      <c r="E432" s="69">
        <v>182.5</v>
      </c>
      <c r="F432" s="170">
        <v>365</v>
      </c>
      <c r="G432" s="136">
        <v>182</v>
      </c>
    </row>
    <row r="433" spans="1:7" ht="14.25" customHeight="1" x14ac:dyDescent="0.3">
      <c r="A433" s="131">
        <v>8135</v>
      </c>
      <c r="B433" s="131" t="s">
        <v>1445</v>
      </c>
      <c r="C433" s="135" t="s">
        <v>108</v>
      </c>
      <c r="D433" s="69">
        <v>183</v>
      </c>
      <c r="E433" s="69">
        <v>182.5</v>
      </c>
      <c r="F433" s="170">
        <v>365</v>
      </c>
      <c r="G433" s="136">
        <v>182</v>
      </c>
    </row>
    <row r="434" spans="1:7" ht="14.25" customHeight="1" x14ac:dyDescent="0.3">
      <c r="A434" s="131">
        <v>8136</v>
      </c>
      <c r="B434" s="131" t="s">
        <v>1446</v>
      </c>
      <c r="C434" s="135" t="s">
        <v>109</v>
      </c>
      <c r="D434" s="69">
        <v>183</v>
      </c>
      <c r="E434" s="69">
        <v>182.5</v>
      </c>
      <c r="F434" s="170">
        <v>365</v>
      </c>
      <c r="G434" s="136">
        <v>182</v>
      </c>
    </row>
    <row r="435" spans="1:7" ht="14.25" customHeight="1" x14ac:dyDescent="0.3">
      <c r="A435" s="131">
        <v>8138</v>
      </c>
      <c r="B435" s="131" t="s">
        <v>1447</v>
      </c>
      <c r="C435" s="135" t="s">
        <v>169</v>
      </c>
      <c r="D435" s="69">
        <v>183</v>
      </c>
      <c r="E435" s="69">
        <v>182.5</v>
      </c>
      <c r="F435" s="170">
        <v>365</v>
      </c>
      <c r="G435" s="136">
        <v>182</v>
      </c>
    </row>
    <row r="436" spans="1:7" ht="14.25" customHeight="1" x14ac:dyDescent="0.3">
      <c r="A436" s="131">
        <v>8141</v>
      </c>
      <c r="B436" s="131" t="s">
        <v>2429</v>
      </c>
      <c r="C436" s="135" t="s">
        <v>1805</v>
      </c>
      <c r="D436" s="69">
        <v>183</v>
      </c>
      <c r="E436" s="69">
        <v>182.5</v>
      </c>
      <c r="F436" s="170">
        <v>365</v>
      </c>
      <c r="G436" s="136">
        <v>182</v>
      </c>
    </row>
    <row r="437" spans="1:7" ht="14.25" customHeight="1" x14ac:dyDescent="0.3">
      <c r="A437" s="131">
        <v>8142</v>
      </c>
      <c r="B437" s="131" t="s">
        <v>2430</v>
      </c>
      <c r="C437" s="135" t="s">
        <v>1806</v>
      </c>
      <c r="D437" s="69">
        <v>183</v>
      </c>
      <c r="E437" s="69">
        <v>182.5</v>
      </c>
      <c r="F437" s="170">
        <v>365</v>
      </c>
      <c r="G437" s="136">
        <v>182</v>
      </c>
    </row>
    <row r="438" spans="1:7" ht="14.25" customHeight="1" x14ac:dyDescent="0.3">
      <c r="A438" s="131" t="s">
        <v>2300</v>
      </c>
      <c r="B438" s="131" t="s">
        <v>2431</v>
      </c>
      <c r="C438" s="135" t="s">
        <v>1778</v>
      </c>
      <c r="D438" s="69">
        <v>183</v>
      </c>
      <c r="E438" s="69">
        <v>182.5</v>
      </c>
      <c r="F438" s="170">
        <v>365</v>
      </c>
      <c r="G438" s="136">
        <v>182</v>
      </c>
    </row>
    <row r="439" spans="1:7" ht="14.25" customHeight="1" x14ac:dyDescent="0.3">
      <c r="A439" s="131">
        <v>8146</v>
      </c>
      <c r="B439" s="131" t="s">
        <v>1454</v>
      </c>
      <c r="C439" s="135" t="s">
        <v>213</v>
      </c>
      <c r="D439" s="69">
        <v>183</v>
      </c>
      <c r="E439" s="69">
        <v>182.5</v>
      </c>
      <c r="F439" s="170">
        <v>365</v>
      </c>
      <c r="G439" s="136">
        <v>182</v>
      </c>
    </row>
    <row r="440" spans="1:7" ht="14.25" customHeight="1" x14ac:dyDescent="0.3">
      <c r="A440" s="131">
        <v>8147</v>
      </c>
      <c r="B440" s="131" t="s">
        <v>1456</v>
      </c>
      <c r="C440" s="135" t="s">
        <v>214</v>
      </c>
      <c r="D440" s="69">
        <v>183</v>
      </c>
      <c r="E440" s="69">
        <v>182.5</v>
      </c>
      <c r="F440" s="170">
        <v>365</v>
      </c>
      <c r="G440" s="136">
        <v>182</v>
      </c>
    </row>
    <row r="441" spans="1:7" ht="14.25" customHeight="1" x14ac:dyDescent="0.3">
      <c r="A441" s="131">
        <v>8148</v>
      </c>
      <c r="B441" s="131" t="s">
        <v>1458</v>
      </c>
      <c r="C441" s="135" t="s">
        <v>215</v>
      </c>
      <c r="D441" s="69">
        <v>183</v>
      </c>
      <c r="E441" s="69">
        <v>182.5</v>
      </c>
      <c r="F441" s="170">
        <v>365</v>
      </c>
      <c r="G441" s="136">
        <v>182</v>
      </c>
    </row>
    <row r="442" spans="1:7" ht="14.25" customHeight="1" x14ac:dyDescent="0.3">
      <c r="A442" s="131">
        <v>8149</v>
      </c>
      <c r="B442" s="131" t="s">
        <v>1460</v>
      </c>
      <c r="C442" s="135" t="s">
        <v>216</v>
      </c>
      <c r="D442" s="69">
        <v>183</v>
      </c>
      <c r="E442" s="69">
        <v>182.5</v>
      </c>
      <c r="F442" s="170">
        <v>365</v>
      </c>
      <c r="G442" s="136">
        <v>182</v>
      </c>
    </row>
    <row r="443" spans="1:7" ht="14.25" customHeight="1" x14ac:dyDescent="0.3">
      <c r="A443" s="131">
        <v>8150</v>
      </c>
      <c r="B443" s="131" t="s">
        <v>1461</v>
      </c>
      <c r="C443" s="135" t="s">
        <v>110</v>
      </c>
      <c r="D443" s="69">
        <v>183</v>
      </c>
      <c r="E443" s="69">
        <v>182.5</v>
      </c>
      <c r="F443" s="170">
        <v>365</v>
      </c>
      <c r="G443" s="136">
        <v>182</v>
      </c>
    </row>
    <row r="444" spans="1:7" ht="14.25" customHeight="1" x14ac:dyDescent="0.3">
      <c r="A444" s="131">
        <v>8151</v>
      </c>
      <c r="B444" s="131" t="s">
        <v>1462</v>
      </c>
      <c r="C444" s="135" t="s">
        <v>111</v>
      </c>
      <c r="D444" s="69">
        <v>183</v>
      </c>
      <c r="E444" s="69">
        <v>182.5</v>
      </c>
      <c r="F444" s="170">
        <v>365</v>
      </c>
      <c r="G444" s="136">
        <v>182</v>
      </c>
    </row>
    <row r="445" spans="1:7" ht="14.25" customHeight="1" x14ac:dyDescent="0.3">
      <c r="A445" s="131">
        <v>8152</v>
      </c>
      <c r="B445" s="131" t="s">
        <v>1463</v>
      </c>
      <c r="C445" s="135" t="s">
        <v>112</v>
      </c>
      <c r="D445" s="69">
        <v>183</v>
      </c>
      <c r="E445" s="69">
        <v>182.5</v>
      </c>
      <c r="F445" s="170">
        <v>365</v>
      </c>
      <c r="G445" s="136">
        <v>182</v>
      </c>
    </row>
    <row r="446" spans="1:7" ht="14.25" customHeight="1" x14ac:dyDescent="0.3">
      <c r="A446" s="131">
        <v>8153</v>
      </c>
      <c r="B446" s="131" t="s">
        <v>1464</v>
      </c>
      <c r="C446" s="135" t="s">
        <v>113</v>
      </c>
      <c r="D446" s="69">
        <v>183</v>
      </c>
      <c r="E446" s="69">
        <v>182.5</v>
      </c>
      <c r="F446" s="170">
        <v>365</v>
      </c>
      <c r="G446" s="136">
        <v>182</v>
      </c>
    </row>
    <row r="447" spans="1:7" ht="14.25" customHeight="1" x14ac:dyDescent="0.3">
      <c r="A447" s="131">
        <v>8154</v>
      </c>
      <c r="B447" s="131" t="s">
        <v>1465</v>
      </c>
      <c r="C447" s="135" t="s">
        <v>171</v>
      </c>
      <c r="D447" s="69">
        <v>183</v>
      </c>
      <c r="E447" s="69">
        <v>182.5</v>
      </c>
      <c r="F447" s="170">
        <v>365</v>
      </c>
      <c r="G447" s="136">
        <v>182</v>
      </c>
    </row>
    <row r="448" spans="1:7" ht="14.25" customHeight="1" x14ac:dyDescent="0.3">
      <c r="A448" s="131">
        <v>8155</v>
      </c>
      <c r="B448" s="131" t="s">
        <v>1466</v>
      </c>
      <c r="C448" s="135" t="s">
        <v>172</v>
      </c>
      <c r="D448" s="69">
        <v>183</v>
      </c>
      <c r="E448" s="69">
        <v>182.5</v>
      </c>
      <c r="F448" s="170">
        <v>365</v>
      </c>
      <c r="G448" s="136">
        <v>182</v>
      </c>
    </row>
    <row r="449" spans="1:7" ht="14.25" customHeight="1" x14ac:dyDescent="0.3">
      <c r="A449" s="131">
        <v>8157</v>
      </c>
      <c r="B449" s="131" t="s">
        <v>1467</v>
      </c>
      <c r="C449" s="135" t="s">
        <v>173</v>
      </c>
      <c r="D449" s="69">
        <v>183</v>
      </c>
      <c r="E449" s="69">
        <v>182.5</v>
      </c>
      <c r="F449" s="170">
        <v>365</v>
      </c>
      <c r="G449" s="136">
        <v>182</v>
      </c>
    </row>
    <row r="450" spans="1:7" ht="14.25" customHeight="1" x14ac:dyDescent="0.3">
      <c r="A450" s="131">
        <v>8166</v>
      </c>
      <c r="B450" s="131" t="s">
        <v>2432</v>
      </c>
      <c r="C450" s="135" t="s">
        <v>1807</v>
      </c>
      <c r="D450" s="69">
        <v>183</v>
      </c>
      <c r="E450" s="69">
        <v>182.5</v>
      </c>
      <c r="F450" s="170">
        <v>365</v>
      </c>
      <c r="G450" s="136">
        <v>182</v>
      </c>
    </row>
    <row r="451" spans="1:7" ht="14.25" customHeight="1" x14ac:dyDescent="0.3">
      <c r="A451" s="131">
        <v>8167</v>
      </c>
      <c r="B451" s="131" t="s">
        <v>2433</v>
      </c>
      <c r="C451" s="135" t="s">
        <v>2568</v>
      </c>
      <c r="D451" s="69">
        <v>183</v>
      </c>
      <c r="E451" s="69">
        <v>182.5</v>
      </c>
      <c r="F451" s="170">
        <v>365</v>
      </c>
      <c r="G451" s="136">
        <v>182</v>
      </c>
    </row>
    <row r="452" spans="1:7" ht="14.25" customHeight="1" x14ac:dyDescent="0.3">
      <c r="A452" s="137">
        <v>8173</v>
      </c>
      <c r="B452" s="138" t="s">
        <v>2190</v>
      </c>
      <c r="C452" s="139" t="s">
        <v>2191</v>
      </c>
      <c r="D452" s="69">
        <v>183</v>
      </c>
      <c r="E452" s="69">
        <v>182.5</v>
      </c>
      <c r="F452" s="170">
        <v>365</v>
      </c>
      <c r="G452" s="136">
        <v>182</v>
      </c>
    </row>
    <row r="453" spans="1:7" ht="14.25" customHeight="1" x14ac:dyDescent="0.3">
      <c r="A453" s="137">
        <v>8174</v>
      </c>
      <c r="B453" s="138" t="s">
        <v>2192</v>
      </c>
      <c r="C453" s="139" t="s">
        <v>2193</v>
      </c>
      <c r="D453" s="69">
        <v>183</v>
      </c>
      <c r="E453" s="69">
        <v>182.5</v>
      </c>
      <c r="F453" s="170">
        <v>365</v>
      </c>
      <c r="G453" s="136">
        <v>182</v>
      </c>
    </row>
    <row r="454" spans="1:7" ht="14.25" customHeight="1" x14ac:dyDescent="0.3">
      <c r="A454" s="137">
        <v>8179</v>
      </c>
      <c r="B454" s="138" t="s">
        <v>2194</v>
      </c>
      <c r="C454" s="139" t="s">
        <v>2195</v>
      </c>
      <c r="D454" s="69">
        <v>183</v>
      </c>
      <c r="E454" s="69">
        <v>182.5</v>
      </c>
      <c r="F454" s="170">
        <v>365</v>
      </c>
      <c r="G454" s="136">
        <v>182</v>
      </c>
    </row>
    <row r="455" spans="1:7" ht="14.25" customHeight="1" x14ac:dyDescent="0.3">
      <c r="A455" s="137">
        <v>8181</v>
      </c>
      <c r="B455" s="131" t="s">
        <v>2298</v>
      </c>
      <c r="C455" s="139" t="s">
        <v>2299</v>
      </c>
      <c r="D455" s="69">
        <v>183</v>
      </c>
      <c r="E455" s="69">
        <v>182.5</v>
      </c>
      <c r="F455" s="170">
        <v>365</v>
      </c>
      <c r="G455" s="136">
        <v>182</v>
      </c>
    </row>
    <row r="456" spans="1:7" ht="14.25" customHeight="1" x14ac:dyDescent="0.3">
      <c r="A456" s="137">
        <v>8191</v>
      </c>
      <c r="B456" s="138" t="s">
        <v>2196</v>
      </c>
      <c r="C456" s="139" t="s">
        <v>2197</v>
      </c>
      <c r="D456" s="69">
        <v>183</v>
      </c>
      <c r="E456" s="69">
        <v>182.5</v>
      </c>
      <c r="F456" s="170">
        <v>365</v>
      </c>
      <c r="G456" s="136">
        <v>182</v>
      </c>
    </row>
    <row r="457" spans="1:7" ht="14.25" customHeight="1" x14ac:dyDescent="0.3">
      <c r="A457" s="137">
        <v>8222</v>
      </c>
      <c r="B457" s="138" t="s">
        <v>2434</v>
      </c>
      <c r="C457" s="139" t="s">
        <v>2371</v>
      </c>
      <c r="D457" s="69">
        <v>274</v>
      </c>
      <c r="E457" s="69">
        <v>273.75</v>
      </c>
      <c r="F457" s="170">
        <v>547.5</v>
      </c>
      <c r="G457" s="136">
        <v>273.5</v>
      </c>
    </row>
    <row r="458" spans="1:7" ht="14.25" customHeight="1" x14ac:dyDescent="0.3">
      <c r="A458" s="137">
        <v>8223</v>
      </c>
      <c r="B458" s="138" t="s">
        <v>2266</v>
      </c>
      <c r="C458" s="139" t="s">
        <v>2267</v>
      </c>
      <c r="D458" s="69">
        <v>274</v>
      </c>
      <c r="E458" s="69">
        <v>273.75</v>
      </c>
      <c r="F458" s="170">
        <v>547.5</v>
      </c>
      <c r="G458" s="136">
        <v>273.5</v>
      </c>
    </row>
    <row r="459" spans="1:7" ht="14.25" customHeight="1" x14ac:dyDescent="0.3">
      <c r="A459" s="137">
        <v>8224</v>
      </c>
      <c r="B459" s="138" t="s">
        <v>2268</v>
      </c>
      <c r="C459" s="139" t="s">
        <v>2269</v>
      </c>
      <c r="D459" s="69">
        <v>274</v>
      </c>
      <c r="E459" s="69">
        <v>273.75</v>
      </c>
      <c r="F459" s="170">
        <v>547.5</v>
      </c>
      <c r="G459" s="136">
        <v>273.5</v>
      </c>
    </row>
    <row r="460" spans="1:7" ht="14.25" customHeight="1" x14ac:dyDescent="0.3">
      <c r="A460" s="137">
        <v>8227</v>
      </c>
      <c r="B460" s="138" t="s">
        <v>2198</v>
      </c>
      <c r="C460" s="139" t="s">
        <v>2199</v>
      </c>
      <c r="D460" s="69">
        <v>183</v>
      </c>
      <c r="E460" s="69">
        <v>136.5</v>
      </c>
      <c r="F460" s="170">
        <v>273</v>
      </c>
      <c r="G460" s="136">
        <v>90</v>
      </c>
    </row>
    <row r="461" spans="1:7" ht="14.25" customHeight="1" x14ac:dyDescent="0.3">
      <c r="A461" s="137">
        <v>8229</v>
      </c>
      <c r="B461" s="138" t="s">
        <v>1899</v>
      </c>
      <c r="C461" s="139" t="s">
        <v>1900</v>
      </c>
      <c r="D461" s="69">
        <v>274</v>
      </c>
      <c r="E461" s="69">
        <v>273.75</v>
      </c>
      <c r="F461" s="170">
        <v>547.5</v>
      </c>
      <c r="G461" s="136">
        <v>273.5</v>
      </c>
    </row>
    <row r="462" spans="1:7" ht="14.25" customHeight="1" x14ac:dyDescent="0.3">
      <c r="A462" s="137">
        <v>8230</v>
      </c>
      <c r="B462" s="138" t="s">
        <v>1901</v>
      </c>
      <c r="C462" s="139" t="s">
        <v>1902</v>
      </c>
      <c r="D462" s="69">
        <v>274</v>
      </c>
      <c r="E462" s="69">
        <v>273.75</v>
      </c>
      <c r="F462" s="170">
        <v>547.5</v>
      </c>
      <c r="G462" s="136">
        <v>273.5</v>
      </c>
    </row>
    <row r="463" spans="1:7" ht="14.25" customHeight="1" x14ac:dyDescent="0.3">
      <c r="A463" s="131">
        <v>8140</v>
      </c>
      <c r="B463" s="131" t="s">
        <v>1448</v>
      </c>
      <c r="C463" s="135" t="s">
        <v>170</v>
      </c>
      <c r="D463" s="69">
        <v>137</v>
      </c>
      <c r="E463" s="69">
        <v>136.5</v>
      </c>
      <c r="F463" s="170">
        <v>273</v>
      </c>
      <c r="G463" s="136">
        <v>136</v>
      </c>
    </row>
    <row r="464" spans="1:7" ht="14.25" customHeight="1" x14ac:dyDescent="0.3">
      <c r="A464" s="131">
        <v>8231</v>
      </c>
      <c r="B464" s="131" t="s">
        <v>1448</v>
      </c>
      <c r="C464" s="135" t="s">
        <v>217</v>
      </c>
      <c r="D464" s="69">
        <v>183</v>
      </c>
      <c r="E464" s="69">
        <v>136.5</v>
      </c>
      <c r="F464" s="170">
        <v>273</v>
      </c>
      <c r="G464" s="136">
        <v>90</v>
      </c>
    </row>
    <row r="465" spans="1:7" ht="14.25" customHeight="1" x14ac:dyDescent="0.3">
      <c r="A465" s="131">
        <v>8232</v>
      </c>
      <c r="B465" s="131" t="s">
        <v>1450</v>
      </c>
      <c r="C465" s="135" t="s">
        <v>218</v>
      </c>
      <c r="D465" s="69">
        <v>137</v>
      </c>
      <c r="E465" s="69">
        <v>136.5</v>
      </c>
      <c r="F465" s="170">
        <v>273</v>
      </c>
      <c r="G465" s="136">
        <v>136</v>
      </c>
    </row>
    <row r="466" spans="1:7" ht="14.25" customHeight="1" x14ac:dyDescent="0.3">
      <c r="A466" s="131">
        <v>8233</v>
      </c>
      <c r="B466" s="131" t="s">
        <v>1488</v>
      </c>
      <c r="C466" s="135" t="s">
        <v>219</v>
      </c>
      <c r="D466" s="69">
        <v>137</v>
      </c>
      <c r="E466" s="69">
        <v>136.5</v>
      </c>
      <c r="F466" s="170">
        <v>273</v>
      </c>
      <c r="G466" s="136">
        <v>136</v>
      </c>
    </row>
    <row r="467" spans="1:7" ht="14.25" customHeight="1" x14ac:dyDescent="0.3">
      <c r="A467" s="131">
        <v>8234</v>
      </c>
      <c r="B467" s="131" t="s">
        <v>1452</v>
      </c>
      <c r="C467" s="135" t="s">
        <v>220</v>
      </c>
      <c r="D467" s="69">
        <v>137</v>
      </c>
      <c r="E467" s="69">
        <v>136.5</v>
      </c>
      <c r="F467" s="170">
        <v>273</v>
      </c>
      <c r="G467" s="136">
        <v>136</v>
      </c>
    </row>
    <row r="468" spans="1:7" ht="14.25" customHeight="1" x14ac:dyDescent="0.3">
      <c r="A468" s="131">
        <v>8235</v>
      </c>
      <c r="B468" s="131" t="s">
        <v>1453</v>
      </c>
      <c r="C468" s="135" t="s">
        <v>221</v>
      </c>
      <c r="D468" s="69">
        <v>137</v>
      </c>
      <c r="E468" s="69">
        <v>136.5</v>
      </c>
      <c r="F468" s="170">
        <v>273</v>
      </c>
      <c r="G468" s="136">
        <v>136</v>
      </c>
    </row>
    <row r="469" spans="1:7" ht="14.25" customHeight="1" x14ac:dyDescent="0.3">
      <c r="A469" s="131">
        <v>8236</v>
      </c>
      <c r="B469" s="131" t="s">
        <v>1490</v>
      </c>
      <c r="C469" s="135" t="s">
        <v>222</v>
      </c>
      <c r="D469" s="69">
        <v>137</v>
      </c>
      <c r="E469" s="69">
        <v>136.5</v>
      </c>
      <c r="F469" s="170">
        <v>273</v>
      </c>
      <c r="G469" s="136">
        <v>136</v>
      </c>
    </row>
    <row r="470" spans="1:7" ht="14.25" customHeight="1" x14ac:dyDescent="0.3">
      <c r="A470" s="137">
        <v>8240</v>
      </c>
      <c r="B470" s="138" t="s">
        <v>2200</v>
      </c>
      <c r="C470" s="139" t="s">
        <v>2201</v>
      </c>
      <c r="D470" s="69">
        <v>274</v>
      </c>
      <c r="E470" s="69">
        <v>273.75</v>
      </c>
      <c r="F470" s="170">
        <v>547.5</v>
      </c>
      <c r="G470" s="136">
        <v>273.5</v>
      </c>
    </row>
    <row r="471" spans="1:7" ht="14.25" customHeight="1" x14ac:dyDescent="0.3">
      <c r="A471" s="137">
        <v>8241</v>
      </c>
      <c r="B471" s="138" t="s">
        <v>2202</v>
      </c>
      <c r="C471" s="139" t="s">
        <v>2203</v>
      </c>
      <c r="D471" s="69">
        <v>274</v>
      </c>
      <c r="E471" s="69">
        <v>273.75</v>
      </c>
      <c r="F471" s="170">
        <v>547.5</v>
      </c>
      <c r="G471" s="136">
        <v>273.5</v>
      </c>
    </row>
    <row r="472" spans="1:7" ht="14.25" customHeight="1" x14ac:dyDescent="0.3">
      <c r="A472" s="137">
        <v>8245</v>
      </c>
      <c r="B472" s="138" t="s">
        <v>2204</v>
      </c>
      <c r="C472" s="139" t="s">
        <v>2205</v>
      </c>
      <c r="D472" s="69">
        <v>137</v>
      </c>
      <c r="E472" s="69">
        <v>136.5</v>
      </c>
      <c r="F472" s="170">
        <v>273</v>
      </c>
      <c r="G472" s="136">
        <v>136</v>
      </c>
    </row>
    <row r="473" spans="1:7" ht="14.25" customHeight="1" x14ac:dyDescent="0.3">
      <c r="A473" s="137">
        <v>8246</v>
      </c>
      <c r="B473" s="138" t="s">
        <v>2206</v>
      </c>
      <c r="C473" s="139" t="s">
        <v>2207</v>
      </c>
      <c r="D473" s="69">
        <v>137</v>
      </c>
      <c r="E473" s="69">
        <v>136.5</v>
      </c>
      <c r="F473" s="170">
        <v>273</v>
      </c>
      <c r="G473" s="136">
        <v>136</v>
      </c>
    </row>
    <row r="474" spans="1:7" ht="14.25" customHeight="1" x14ac:dyDescent="0.3">
      <c r="A474" s="137">
        <v>8249</v>
      </c>
      <c r="B474" s="138" t="s">
        <v>2208</v>
      </c>
      <c r="C474" s="139" t="s">
        <v>2209</v>
      </c>
      <c r="D474" s="69">
        <v>137</v>
      </c>
      <c r="E474" s="69">
        <v>136.5</v>
      </c>
      <c r="F474" s="170">
        <v>273</v>
      </c>
      <c r="G474" s="136">
        <v>136</v>
      </c>
    </row>
    <row r="475" spans="1:7" ht="14.25" customHeight="1" x14ac:dyDescent="0.3">
      <c r="A475" s="137">
        <v>8251</v>
      </c>
      <c r="B475" s="138" t="s">
        <v>1491</v>
      </c>
      <c r="C475" s="139" t="s">
        <v>1687</v>
      </c>
      <c r="D475" s="69">
        <v>183</v>
      </c>
      <c r="E475" s="69">
        <v>182.5</v>
      </c>
      <c r="F475" s="170">
        <v>365</v>
      </c>
      <c r="G475" s="136">
        <v>182</v>
      </c>
    </row>
    <row r="476" spans="1:7" ht="14.25" customHeight="1" x14ac:dyDescent="0.3">
      <c r="A476" s="137">
        <v>8252</v>
      </c>
      <c r="B476" s="138" t="s">
        <v>1492</v>
      </c>
      <c r="C476" s="139" t="s">
        <v>1688</v>
      </c>
      <c r="D476" s="69">
        <v>183</v>
      </c>
      <c r="E476" s="69">
        <v>182.5</v>
      </c>
      <c r="F476" s="170">
        <v>365</v>
      </c>
      <c r="G476" s="136">
        <v>182</v>
      </c>
    </row>
    <row r="477" spans="1:7" ht="14.25" customHeight="1" x14ac:dyDescent="0.3">
      <c r="A477" s="137">
        <v>8261</v>
      </c>
      <c r="B477" s="138" t="s">
        <v>1493</v>
      </c>
      <c r="C477" s="139" t="s">
        <v>1689</v>
      </c>
      <c r="D477" s="69">
        <v>183</v>
      </c>
      <c r="E477" s="69">
        <v>182.5</v>
      </c>
      <c r="F477" s="170">
        <v>365</v>
      </c>
      <c r="G477" s="136">
        <v>182</v>
      </c>
    </row>
    <row r="478" spans="1:7" ht="14.25" customHeight="1" x14ac:dyDescent="0.3">
      <c r="A478" s="137">
        <v>8262</v>
      </c>
      <c r="B478" s="138" t="s">
        <v>1494</v>
      </c>
      <c r="C478" s="139" t="s">
        <v>1690</v>
      </c>
      <c r="D478" s="69">
        <v>183</v>
      </c>
      <c r="E478" s="69">
        <v>182.5</v>
      </c>
      <c r="F478" s="170">
        <v>365</v>
      </c>
      <c r="G478" s="136">
        <v>182</v>
      </c>
    </row>
    <row r="479" spans="1:7" ht="14.25" customHeight="1" x14ac:dyDescent="0.3">
      <c r="A479" s="137">
        <v>8264</v>
      </c>
      <c r="B479" s="138" t="s">
        <v>1496</v>
      </c>
      <c r="C479" s="139" t="s">
        <v>1667</v>
      </c>
      <c r="D479" s="69">
        <v>183</v>
      </c>
      <c r="E479" s="69">
        <v>182.5</v>
      </c>
      <c r="F479" s="170">
        <v>365</v>
      </c>
      <c r="G479" s="136">
        <v>182</v>
      </c>
    </row>
    <row r="480" spans="1:7" ht="14.25" customHeight="1" x14ac:dyDescent="0.3">
      <c r="A480" s="137">
        <v>8265</v>
      </c>
      <c r="B480" s="138" t="s">
        <v>2372</v>
      </c>
      <c r="C480" s="139" t="s">
        <v>2373</v>
      </c>
      <c r="D480" s="69">
        <v>152</v>
      </c>
      <c r="E480" s="69">
        <v>152</v>
      </c>
      <c r="F480" s="170">
        <v>304</v>
      </c>
      <c r="G480" s="136">
        <v>121</v>
      </c>
    </row>
    <row r="481" spans="1:7" ht="14.25" customHeight="1" x14ac:dyDescent="0.3">
      <c r="A481" s="186">
        <v>8266</v>
      </c>
      <c r="B481" s="187" t="s">
        <v>2376</v>
      </c>
      <c r="C481" s="148" t="s">
        <v>2377</v>
      </c>
      <c r="D481" s="188">
        <v>152</v>
      </c>
      <c r="E481" s="188">
        <v>151.5</v>
      </c>
      <c r="F481" s="149">
        <v>303</v>
      </c>
      <c r="G481" s="189">
        <v>151</v>
      </c>
    </row>
    <row r="482" spans="1:7" ht="14.25" customHeight="1" x14ac:dyDescent="0.3">
      <c r="A482" s="137">
        <v>8268</v>
      </c>
      <c r="B482" s="138" t="s">
        <v>2435</v>
      </c>
      <c r="C482" s="139" t="s">
        <v>2386</v>
      </c>
      <c r="D482" s="188">
        <v>152</v>
      </c>
      <c r="E482" s="188">
        <v>151.5</v>
      </c>
      <c r="F482" s="149">
        <v>303</v>
      </c>
      <c r="G482" s="189">
        <v>151</v>
      </c>
    </row>
    <row r="483" spans="1:7" ht="14.25" customHeight="1" x14ac:dyDescent="0.3">
      <c r="A483" s="137">
        <v>8269</v>
      </c>
      <c r="B483" s="138" t="s">
        <v>2436</v>
      </c>
      <c r="C483" s="139" t="s">
        <v>2381</v>
      </c>
      <c r="D483" s="69">
        <v>183</v>
      </c>
      <c r="E483" s="69">
        <v>182.5</v>
      </c>
      <c r="F483" s="170">
        <v>365</v>
      </c>
      <c r="G483" s="136">
        <v>182</v>
      </c>
    </row>
    <row r="484" spans="1:7" ht="14.25" customHeight="1" x14ac:dyDescent="0.3">
      <c r="A484" s="131">
        <v>5451</v>
      </c>
      <c r="B484" s="131" t="s">
        <v>967</v>
      </c>
      <c r="C484" s="135" t="s">
        <v>1691</v>
      </c>
      <c r="D484" s="69">
        <v>137</v>
      </c>
      <c r="E484" s="69">
        <v>136.5</v>
      </c>
      <c r="F484" s="170">
        <v>273</v>
      </c>
      <c r="G484" s="136">
        <v>136</v>
      </c>
    </row>
    <row r="485" spans="1:7" ht="14.25" customHeight="1" x14ac:dyDescent="0.3">
      <c r="A485" s="131">
        <v>5452</v>
      </c>
      <c r="B485" s="131" t="s">
        <v>968</v>
      </c>
      <c r="C485" s="135" t="s">
        <v>1692</v>
      </c>
      <c r="D485" s="69">
        <v>137</v>
      </c>
      <c r="E485" s="69">
        <v>136.5</v>
      </c>
      <c r="F485" s="170">
        <v>273</v>
      </c>
      <c r="G485" s="136">
        <v>136</v>
      </c>
    </row>
    <row r="486" spans="1:7" ht="14.25" customHeight="1" x14ac:dyDescent="0.3">
      <c r="A486" s="131">
        <v>5453</v>
      </c>
      <c r="B486" s="131" t="s">
        <v>969</v>
      </c>
      <c r="C486" s="135" t="s">
        <v>1693</v>
      </c>
      <c r="D486" s="69">
        <v>137</v>
      </c>
      <c r="E486" s="69">
        <v>136.5</v>
      </c>
      <c r="F486" s="170">
        <v>273</v>
      </c>
      <c r="G486" s="136">
        <v>136</v>
      </c>
    </row>
    <row r="487" spans="1:7" ht="14.25" customHeight="1" x14ac:dyDescent="0.3">
      <c r="A487" s="131">
        <v>5453</v>
      </c>
      <c r="B487" s="131" t="s">
        <v>2437</v>
      </c>
      <c r="C487" s="135" t="s">
        <v>970</v>
      </c>
      <c r="D487" s="69">
        <v>137</v>
      </c>
      <c r="E487" s="69">
        <v>136.5</v>
      </c>
      <c r="F487" s="170">
        <v>273</v>
      </c>
      <c r="G487" s="136">
        <v>136</v>
      </c>
    </row>
    <row r="488" spans="1:7" ht="14.25" customHeight="1" x14ac:dyDescent="0.3">
      <c r="A488" s="131">
        <v>5454</v>
      </c>
      <c r="B488" s="131" t="s">
        <v>2438</v>
      </c>
      <c r="C488" s="135" t="s">
        <v>1808</v>
      </c>
      <c r="D488" s="69">
        <v>137</v>
      </c>
      <c r="E488" s="69">
        <v>136.5</v>
      </c>
      <c r="F488" s="170">
        <v>273</v>
      </c>
      <c r="G488" s="136">
        <v>136</v>
      </c>
    </row>
    <row r="489" spans="1:7" ht="14.25" customHeight="1" x14ac:dyDescent="0.3">
      <c r="A489" s="131">
        <v>5455</v>
      </c>
      <c r="B489" s="131" t="s">
        <v>2439</v>
      </c>
      <c r="C489" s="135" t="s">
        <v>1809</v>
      </c>
      <c r="D489" s="69">
        <v>137</v>
      </c>
      <c r="E489" s="69">
        <v>136.5</v>
      </c>
      <c r="F489" s="170">
        <v>273</v>
      </c>
      <c r="G489" s="136">
        <v>136</v>
      </c>
    </row>
    <row r="490" spans="1:7" ht="14.25" customHeight="1" x14ac:dyDescent="0.3">
      <c r="A490" s="137">
        <v>5471</v>
      </c>
      <c r="B490" s="131" t="s">
        <v>971</v>
      </c>
      <c r="C490" s="139" t="s">
        <v>1694</v>
      </c>
      <c r="D490" s="69">
        <v>183</v>
      </c>
      <c r="E490" s="69">
        <v>182.5</v>
      </c>
      <c r="F490" s="170">
        <v>365</v>
      </c>
      <c r="G490" s="136">
        <v>182</v>
      </c>
    </row>
    <row r="491" spans="1:7" ht="14.25" customHeight="1" x14ac:dyDescent="0.3">
      <c r="A491" s="137">
        <v>5472</v>
      </c>
      <c r="B491" s="131" t="s">
        <v>972</v>
      </c>
      <c r="C491" s="139" t="s">
        <v>1695</v>
      </c>
      <c r="D491" s="69">
        <v>183</v>
      </c>
      <c r="E491" s="69">
        <v>182.5</v>
      </c>
      <c r="F491" s="170">
        <v>365</v>
      </c>
      <c r="G491" s="136">
        <v>182</v>
      </c>
    </row>
    <row r="492" spans="1:7" ht="14.25" customHeight="1" x14ac:dyDescent="0.3">
      <c r="A492" s="131">
        <v>5480</v>
      </c>
      <c r="B492" s="131" t="s">
        <v>973</v>
      </c>
      <c r="C492" s="135" t="s">
        <v>1696</v>
      </c>
      <c r="D492" s="69">
        <v>122</v>
      </c>
      <c r="E492" s="69">
        <v>91.5</v>
      </c>
      <c r="F492" s="170">
        <v>183</v>
      </c>
      <c r="G492" s="136">
        <v>61</v>
      </c>
    </row>
    <row r="493" spans="1:7" ht="14.25" customHeight="1" x14ac:dyDescent="0.3">
      <c r="A493" s="131">
        <v>5490</v>
      </c>
      <c r="B493" s="131" t="s">
        <v>975</v>
      </c>
      <c r="C493" s="135" t="s">
        <v>974</v>
      </c>
      <c r="D493" s="69">
        <v>122</v>
      </c>
      <c r="E493" s="69">
        <v>91.5</v>
      </c>
      <c r="F493" s="170">
        <v>183</v>
      </c>
      <c r="G493" s="136">
        <v>61</v>
      </c>
    </row>
    <row r="494" spans="1:7" ht="14.25" customHeight="1" x14ac:dyDescent="0.3">
      <c r="A494" s="131">
        <v>5491</v>
      </c>
      <c r="B494" s="131" t="s">
        <v>978</v>
      </c>
      <c r="C494" s="135" t="s">
        <v>977</v>
      </c>
      <c r="D494" s="69">
        <v>122</v>
      </c>
      <c r="E494" s="69">
        <v>136.5</v>
      </c>
      <c r="F494" s="170">
        <v>273</v>
      </c>
      <c r="G494" s="136">
        <v>151</v>
      </c>
    </row>
    <row r="495" spans="1:7" ht="14.25" customHeight="1" x14ac:dyDescent="0.3">
      <c r="A495" s="131">
        <v>5492</v>
      </c>
      <c r="B495" s="131" t="s">
        <v>980</v>
      </c>
      <c r="C495" s="135" t="s">
        <v>979</v>
      </c>
      <c r="D495" s="69">
        <v>122</v>
      </c>
      <c r="E495" s="69">
        <v>136.5</v>
      </c>
      <c r="F495" s="170">
        <v>273</v>
      </c>
      <c r="G495" s="136">
        <v>151</v>
      </c>
    </row>
    <row r="496" spans="1:7" ht="14.25" customHeight="1" x14ac:dyDescent="0.3">
      <c r="A496" s="131">
        <v>5493</v>
      </c>
      <c r="B496" s="131" t="s">
        <v>982</v>
      </c>
      <c r="C496" s="135" t="s">
        <v>72</v>
      </c>
      <c r="D496" s="69">
        <v>122</v>
      </c>
      <c r="E496" s="69">
        <v>91.5</v>
      </c>
      <c r="F496" s="170">
        <v>183</v>
      </c>
      <c r="G496" s="136">
        <v>61</v>
      </c>
    </row>
    <row r="497" spans="1:7" ht="14.25" customHeight="1" x14ac:dyDescent="0.3">
      <c r="A497" s="131">
        <v>5494</v>
      </c>
      <c r="B497" s="131" t="s">
        <v>983</v>
      </c>
      <c r="C497" s="135" t="s">
        <v>73</v>
      </c>
      <c r="D497" s="69">
        <v>122</v>
      </c>
      <c r="E497" s="69">
        <v>136.5</v>
      </c>
      <c r="F497" s="170">
        <v>273</v>
      </c>
      <c r="G497" s="136">
        <v>151</v>
      </c>
    </row>
    <row r="498" spans="1:7" ht="14.25" customHeight="1" x14ac:dyDescent="0.3">
      <c r="A498" s="131">
        <v>5495</v>
      </c>
      <c r="B498" s="131" t="s">
        <v>985</v>
      </c>
      <c r="C498" s="135" t="s">
        <v>984</v>
      </c>
      <c r="D498" s="69">
        <v>122</v>
      </c>
      <c r="E498" s="69">
        <v>136.5</v>
      </c>
      <c r="F498" s="170">
        <v>273</v>
      </c>
      <c r="G498" s="136">
        <v>151</v>
      </c>
    </row>
    <row r="499" spans="1:7" ht="14.25" customHeight="1" x14ac:dyDescent="0.3">
      <c r="A499" s="131">
        <v>5499</v>
      </c>
      <c r="B499" s="131" t="s">
        <v>987</v>
      </c>
      <c r="C499" s="135" t="s">
        <v>986</v>
      </c>
      <c r="D499" s="69">
        <v>243</v>
      </c>
      <c r="E499" s="69">
        <v>182.5</v>
      </c>
      <c r="F499" s="170">
        <v>365</v>
      </c>
      <c r="G499" s="136">
        <v>122</v>
      </c>
    </row>
    <row r="500" spans="1:7" ht="14.25" customHeight="1" x14ac:dyDescent="0.3">
      <c r="A500" s="131">
        <v>5503</v>
      </c>
      <c r="B500" s="131" t="s">
        <v>989</v>
      </c>
      <c r="C500" s="135" t="s">
        <v>988</v>
      </c>
      <c r="D500" s="69">
        <v>122</v>
      </c>
      <c r="E500" s="69">
        <v>91.5</v>
      </c>
      <c r="F500" s="170">
        <v>183</v>
      </c>
      <c r="G500" s="136">
        <v>61</v>
      </c>
    </row>
    <row r="501" spans="1:7" ht="14.25" customHeight="1" x14ac:dyDescent="0.3">
      <c r="A501" s="131">
        <v>5508</v>
      </c>
      <c r="B501" s="131" t="s">
        <v>991</v>
      </c>
      <c r="C501" s="135" t="s">
        <v>990</v>
      </c>
      <c r="D501" s="69">
        <v>122</v>
      </c>
      <c r="E501" s="69">
        <v>91.5</v>
      </c>
      <c r="F501" s="170">
        <v>183</v>
      </c>
      <c r="G501" s="136">
        <v>61</v>
      </c>
    </row>
    <row r="502" spans="1:7" ht="14.25" customHeight="1" x14ac:dyDescent="0.3">
      <c r="A502" s="131">
        <v>5525</v>
      </c>
      <c r="B502" s="131" t="s">
        <v>993</v>
      </c>
      <c r="C502" s="135" t="s">
        <v>992</v>
      </c>
      <c r="D502" s="69">
        <v>122</v>
      </c>
      <c r="E502" s="69">
        <v>91.5</v>
      </c>
      <c r="F502" s="170">
        <v>183</v>
      </c>
      <c r="G502" s="136">
        <v>61</v>
      </c>
    </row>
    <row r="503" spans="1:7" ht="14.25" customHeight="1" x14ac:dyDescent="0.3">
      <c r="A503" s="131">
        <v>5526</v>
      </c>
      <c r="B503" s="131" t="s">
        <v>995</v>
      </c>
      <c r="C503" s="135" t="s">
        <v>994</v>
      </c>
      <c r="D503" s="69">
        <v>122</v>
      </c>
      <c r="E503" s="69">
        <v>91.5</v>
      </c>
      <c r="F503" s="170">
        <v>183</v>
      </c>
      <c r="G503" s="136">
        <v>61</v>
      </c>
    </row>
    <row r="504" spans="1:7" ht="14.25" customHeight="1" x14ac:dyDescent="0.3">
      <c r="A504" s="131">
        <v>5527</v>
      </c>
      <c r="B504" s="131" t="s">
        <v>996</v>
      </c>
      <c r="C504" s="135" t="s">
        <v>240</v>
      </c>
      <c r="D504" s="69">
        <v>122</v>
      </c>
      <c r="E504" s="69">
        <v>91.5</v>
      </c>
      <c r="F504" s="170">
        <v>183</v>
      </c>
      <c r="G504" s="136">
        <v>61</v>
      </c>
    </row>
    <row r="505" spans="1:7" ht="14.25" customHeight="1" x14ac:dyDescent="0.3">
      <c r="A505" s="131">
        <v>5531</v>
      </c>
      <c r="B505" s="131" t="s">
        <v>998</v>
      </c>
      <c r="C505" s="135" t="s">
        <v>997</v>
      </c>
      <c r="D505" s="69">
        <v>122</v>
      </c>
      <c r="E505" s="69">
        <v>91.5</v>
      </c>
      <c r="F505" s="170">
        <v>183</v>
      </c>
      <c r="G505" s="136">
        <v>61</v>
      </c>
    </row>
    <row r="506" spans="1:7" ht="14.25" customHeight="1" x14ac:dyDescent="0.3">
      <c r="A506" s="131">
        <v>5535</v>
      </c>
      <c r="B506" s="131" t="s">
        <v>999</v>
      </c>
      <c r="C506" s="135" t="s">
        <v>260</v>
      </c>
      <c r="D506" s="69">
        <v>122</v>
      </c>
      <c r="E506" s="69">
        <v>91.5</v>
      </c>
      <c r="F506" s="170">
        <v>183</v>
      </c>
      <c r="G506" s="136">
        <v>61</v>
      </c>
    </row>
    <row r="507" spans="1:7" ht="14.25" customHeight="1" x14ac:dyDescent="0.3">
      <c r="A507" s="131">
        <v>5544</v>
      </c>
      <c r="B507" s="131" t="s">
        <v>1001</v>
      </c>
      <c r="C507" s="135" t="s">
        <v>241</v>
      </c>
      <c r="D507" s="69">
        <v>122</v>
      </c>
      <c r="E507" s="69">
        <v>91.5</v>
      </c>
      <c r="F507" s="170">
        <v>183</v>
      </c>
      <c r="G507" s="136">
        <v>61</v>
      </c>
    </row>
    <row r="508" spans="1:7" ht="14.25" customHeight="1" x14ac:dyDescent="0.3">
      <c r="A508" s="131">
        <v>5546</v>
      </c>
      <c r="B508" s="131" t="s">
        <v>1003</v>
      </c>
      <c r="C508" s="135" t="s">
        <v>1002</v>
      </c>
      <c r="D508" s="69">
        <v>122</v>
      </c>
      <c r="E508" s="69">
        <v>91.5</v>
      </c>
      <c r="F508" s="170">
        <v>183</v>
      </c>
      <c r="G508" s="136">
        <v>61</v>
      </c>
    </row>
    <row r="509" spans="1:7" ht="14.25" customHeight="1" x14ac:dyDescent="0.3">
      <c r="A509" s="131">
        <v>5547</v>
      </c>
      <c r="B509" s="131" t="s">
        <v>1005</v>
      </c>
      <c r="C509" s="135" t="s">
        <v>1004</v>
      </c>
      <c r="D509" s="69">
        <v>122</v>
      </c>
      <c r="E509" s="69">
        <v>91.5</v>
      </c>
      <c r="F509" s="170">
        <v>183</v>
      </c>
      <c r="G509" s="136">
        <v>61</v>
      </c>
    </row>
    <row r="510" spans="1:7" ht="14.25" customHeight="1" x14ac:dyDescent="0.3">
      <c r="A510" s="131">
        <v>5548</v>
      </c>
      <c r="B510" s="131" t="s">
        <v>1006</v>
      </c>
      <c r="C510" s="135" t="s">
        <v>74</v>
      </c>
      <c r="D510" s="69">
        <v>122</v>
      </c>
      <c r="E510" s="69">
        <v>91.5</v>
      </c>
      <c r="F510" s="170">
        <v>183</v>
      </c>
      <c r="G510" s="136">
        <v>61</v>
      </c>
    </row>
    <row r="511" spans="1:7" ht="14.25" customHeight="1" x14ac:dyDescent="0.3">
      <c r="A511" s="131">
        <v>5549</v>
      </c>
      <c r="B511" s="131" t="s">
        <v>1008</v>
      </c>
      <c r="C511" s="135" t="s">
        <v>1007</v>
      </c>
      <c r="D511" s="69">
        <v>122</v>
      </c>
      <c r="E511" s="69">
        <v>136.5</v>
      </c>
      <c r="F511" s="170">
        <v>273</v>
      </c>
      <c r="G511" s="136">
        <v>151</v>
      </c>
    </row>
    <row r="512" spans="1:7" ht="14.25" customHeight="1" x14ac:dyDescent="0.3">
      <c r="A512" s="131">
        <v>5554</v>
      </c>
      <c r="B512" s="131" t="s">
        <v>1009</v>
      </c>
      <c r="C512" s="135" t="s">
        <v>75</v>
      </c>
      <c r="D512" s="69">
        <v>122</v>
      </c>
      <c r="E512" s="69">
        <v>91.5</v>
      </c>
      <c r="F512" s="170">
        <v>183</v>
      </c>
      <c r="G512" s="136">
        <v>61</v>
      </c>
    </row>
    <row r="513" spans="1:8" ht="14.25" customHeight="1" x14ac:dyDescent="0.3">
      <c r="A513" s="131">
        <v>5556</v>
      </c>
      <c r="B513" s="131" t="s">
        <v>1011</v>
      </c>
      <c r="C513" s="135" t="s">
        <v>1010</v>
      </c>
      <c r="D513" s="69">
        <v>122</v>
      </c>
      <c r="E513" s="69">
        <v>136.5</v>
      </c>
      <c r="F513" s="170">
        <v>273</v>
      </c>
      <c r="G513" s="136">
        <v>151</v>
      </c>
    </row>
    <row r="514" spans="1:8" ht="14.25" customHeight="1" x14ac:dyDescent="0.3">
      <c r="A514" s="131">
        <v>5557</v>
      </c>
      <c r="B514" s="131" t="s">
        <v>1013</v>
      </c>
      <c r="C514" s="135" t="s">
        <v>1012</v>
      </c>
      <c r="D514" s="69">
        <v>122</v>
      </c>
      <c r="E514" s="69">
        <v>91.5</v>
      </c>
      <c r="F514" s="170">
        <v>183</v>
      </c>
      <c r="G514" s="136">
        <v>61</v>
      </c>
    </row>
    <row r="515" spans="1:8" ht="14.25" customHeight="1" x14ac:dyDescent="0.3">
      <c r="A515" s="131">
        <v>5560</v>
      </c>
      <c r="B515" s="131" t="s">
        <v>1015</v>
      </c>
      <c r="C515" s="135" t="s">
        <v>1014</v>
      </c>
      <c r="D515" s="69">
        <v>122</v>
      </c>
      <c r="E515" s="69">
        <v>91.5</v>
      </c>
      <c r="F515" s="170">
        <v>183</v>
      </c>
      <c r="G515" s="136">
        <v>61</v>
      </c>
    </row>
    <row r="516" spans="1:8" ht="14.25" customHeight="1" x14ac:dyDescent="0.3">
      <c r="A516" s="131">
        <v>5561</v>
      </c>
      <c r="B516" s="131" t="s">
        <v>1018</v>
      </c>
      <c r="C516" s="135" t="s">
        <v>1017</v>
      </c>
      <c r="D516" s="69">
        <v>122</v>
      </c>
      <c r="E516" s="69">
        <v>136.5</v>
      </c>
      <c r="F516" s="170">
        <v>273</v>
      </c>
      <c r="G516" s="136">
        <v>151</v>
      </c>
    </row>
    <row r="517" spans="1:8" ht="14.25" customHeight="1" x14ac:dyDescent="0.3">
      <c r="A517" s="131">
        <v>5562</v>
      </c>
      <c r="B517" s="131" t="s">
        <v>1020</v>
      </c>
      <c r="C517" s="135" t="s">
        <v>76</v>
      </c>
      <c r="D517" s="69">
        <v>122</v>
      </c>
      <c r="E517" s="69">
        <v>91.5</v>
      </c>
      <c r="F517" s="170">
        <v>183</v>
      </c>
      <c r="G517" s="136">
        <v>61</v>
      </c>
    </row>
    <row r="518" spans="1:8" ht="14.25" customHeight="1" x14ac:dyDescent="0.3">
      <c r="A518" s="131">
        <v>5563</v>
      </c>
      <c r="B518" s="131" t="s">
        <v>1023</v>
      </c>
      <c r="C518" s="135" t="s">
        <v>1022</v>
      </c>
      <c r="D518" s="69">
        <v>122</v>
      </c>
      <c r="E518" s="69">
        <v>136.5</v>
      </c>
      <c r="F518" s="170">
        <v>273</v>
      </c>
      <c r="G518" s="136">
        <v>151</v>
      </c>
    </row>
    <row r="519" spans="1:8" ht="14.25" customHeight="1" x14ac:dyDescent="0.3">
      <c r="A519" s="131">
        <v>5564</v>
      </c>
      <c r="B519" s="131" t="s">
        <v>1026</v>
      </c>
      <c r="C519" s="135" t="s">
        <v>1025</v>
      </c>
      <c r="D519" s="69">
        <v>122</v>
      </c>
      <c r="E519" s="69">
        <v>136.5</v>
      </c>
      <c r="F519" s="170">
        <v>273</v>
      </c>
      <c r="G519" s="136">
        <v>151</v>
      </c>
    </row>
    <row r="520" spans="1:8" ht="14.25" customHeight="1" x14ac:dyDescent="0.3">
      <c r="A520" s="131">
        <v>5568</v>
      </c>
      <c r="B520" s="131" t="s">
        <v>1029</v>
      </c>
      <c r="C520" s="135" t="s">
        <v>1028</v>
      </c>
      <c r="D520" s="69">
        <v>122</v>
      </c>
      <c r="E520" s="69">
        <v>91.5</v>
      </c>
      <c r="F520" s="170">
        <v>183</v>
      </c>
      <c r="G520" s="136">
        <v>61</v>
      </c>
    </row>
    <row r="521" spans="1:8" ht="14.25" customHeight="1" x14ac:dyDescent="0.3">
      <c r="A521" s="186">
        <v>5570</v>
      </c>
      <c r="B521" s="187" t="s">
        <v>1864</v>
      </c>
      <c r="C521" s="148" t="s">
        <v>1865</v>
      </c>
      <c r="D521" s="69">
        <v>122</v>
      </c>
      <c r="E521" s="69">
        <v>122</v>
      </c>
      <c r="F521" s="170">
        <v>244</v>
      </c>
      <c r="G521" s="136">
        <v>122</v>
      </c>
    </row>
    <row r="522" spans="1:8" ht="14.25" customHeight="1" x14ac:dyDescent="0.3">
      <c r="A522" s="137">
        <v>5571</v>
      </c>
      <c r="B522" s="138" t="s">
        <v>1849</v>
      </c>
      <c r="C522" s="139" t="s">
        <v>1850</v>
      </c>
      <c r="D522" s="69">
        <v>122</v>
      </c>
      <c r="E522" s="69">
        <v>136.5</v>
      </c>
      <c r="F522" s="170">
        <v>273</v>
      </c>
      <c r="G522" s="136">
        <v>151</v>
      </c>
    </row>
    <row r="523" spans="1:8" ht="14.25" customHeight="1" x14ac:dyDescent="0.3">
      <c r="A523" s="137">
        <v>5572</v>
      </c>
      <c r="B523" s="138" t="s">
        <v>2274</v>
      </c>
      <c r="C523" s="139" t="s">
        <v>1021</v>
      </c>
      <c r="D523" s="69">
        <v>122</v>
      </c>
      <c r="E523" s="69">
        <v>91.5</v>
      </c>
      <c r="F523" s="170">
        <v>183</v>
      </c>
      <c r="G523" s="136">
        <v>61</v>
      </c>
    </row>
    <row r="524" spans="1:8" ht="14.25" customHeight="1" x14ac:dyDescent="0.3">
      <c r="A524" s="137">
        <v>5573</v>
      </c>
      <c r="B524" s="138" t="s">
        <v>2058</v>
      </c>
      <c r="C524" s="139" t="s">
        <v>2059</v>
      </c>
      <c r="D524" s="69">
        <v>122</v>
      </c>
      <c r="E524" s="69">
        <v>136.5</v>
      </c>
      <c r="F524" s="170">
        <v>273</v>
      </c>
      <c r="G524" s="136">
        <v>151</v>
      </c>
    </row>
    <row r="525" spans="1:8" ht="14.25" customHeight="1" x14ac:dyDescent="0.3">
      <c r="A525" s="131">
        <v>5578</v>
      </c>
      <c r="B525" s="131" t="s">
        <v>1032</v>
      </c>
      <c r="C525" s="135" t="s">
        <v>1031</v>
      </c>
      <c r="D525" s="69">
        <v>122</v>
      </c>
      <c r="E525" s="69">
        <v>91.5</v>
      </c>
      <c r="F525" s="170">
        <v>183</v>
      </c>
      <c r="G525" s="136">
        <v>61</v>
      </c>
    </row>
    <row r="526" spans="1:8" ht="14.25" customHeight="1" x14ac:dyDescent="0.3">
      <c r="A526" s="131">
        <v>5579</v>
      </c>
      <c r="B526" s="131" t="s">
        <v>1034</v>
      </c>
      <c r="C526" s="135" t="s">
        <v>1033</v>
      </c>
      <c r="D526" s="69">
        <v>122</v>
      </c>
      <c r="E526" s="69">
        <v>91.5</v>
      </c>
      <c r="F526" s="170">
        <v>183</v>
      </c>
      <c r="G526" s="136">
        <v>61</v>
      </c>
    </row>
    <row r="527" spans="1:8" ht="14.25" customHeight="1" x14ac:dyDescent="0.3">
      <c r="A527" s="131">
        <v>5580</v>
      </c>
      <c r="B527" s="131" t="s">
        <v>1036</v>
      </c>
      <c r="C527" s="135" t="s">
        <v>1035</v>
      </c>
      <c r="D527" s="69">
        <v>122</v>
      </c>
      <c r="E527" s="69">
        <v>136.5</v>
      </c>
      <c r="F527" s="170">
        <v>273</v>
      </c>
      <c r="G527" s="136">
        <v>151</v>
      </c>
      <c r="H527"/>
    </row>
    <row r="528" spans="1:8" ht="14.25" customHeight="1" x14ac:dyDescent="0.3">
      <c r="A528" s="131">
        <v>5581</v>
      </c>
      <c r="B528" s="131" t="s">
        <v>1038</v>
      </c>
      <c r="C528" s="135" t="s">
        <v>1037</v>
      </c>
      <c r="D528" s="69">
        <v>122</v>
      </c>
      <c r="E528" s="69">
        <v>136.5</v>
      </c>
      <c r="F528" s="170">
        <v>273</v>
      </c>
      <c r="G528" s="136">
        <v>151</v>
      </c>
      <c r="H528"/>
    </row>
    <row r="529" spans="1:8" ht="14.25" customHeight="1" x14ac:dyDescent="0.3">
      <c r="A529" s="131">
        <v>5586</v>
      </c>
      <c r="B529" s="131" t="s">
        <v>1039</v>
      </c>
      <c r="C529" s="135" t="s">
        <v>261</v>
      </c>
      <c r="D529" s="69">
        <v>122</v>
      </c>
      <c r="E529" s="69">
        <v>91.5</v>
      </c>
      <c r="F529" s="170">
        <v>183</v>
      </c>
      <c r="G529" s="136">
        <v>61</v>
      </c>
      <c r="H529"/>
    </row>
    <row r="530" spans="1:8" ht="14.25" customHeight="1" x14ac:dyDescent="0.3">
      <c r="A530" s="131">
        <v>5587</v>
      </c>
      <c r="B530" s="131" t="s">
        <v>1041</v>
      </c>
      <c r="C530" s="135" t="s">
        <v>1040</v>
      </c>
      <c r="D530" s="69">
        <v>122</v>
      </c>
      <c r="E530" s="69">
        <v>136.5</v>
      </c>
      <c r="F530" s="170">
        <v>273</v>
      </c>
      <c r="G530" s="136">
        <v>151</v>
      </c>
    </row>
    <row r="531" spans="1:8" ht="14.25" customHeight="1" x14ac:dyDescent="0.3">
      <c r="A531" s="137">
        <v>85900</v>
      </c>
      <c r="B531" s="138" t="s">
        <v>1855</v>
      </c>
      <c r="C531" s="139" t="s">
        <v>1856</v>
      </c>
      <c r="D531" s="69">
        <v>183</v>
      </c>
      <c r="E531" s="69">
        <v>182.5</v>
      </c>
      <c r="F531" s="170">
        <v>365</v>
      </c>
      <c r="G531" s="136">
        <v>182</v>
      </c>
    </row>
    <row r="532" spans="1:8" ht="14.25" customHeight="1" x14ac:dyDescent="0.3">
      <c r="A532" s="137">
        <v>85910</v>
      </c>
      <c r="B532" s="138" t="s">
        <v>2231</v>
      </c>
      <c r="C532" s="139" t="s">
        <v>2232</v>
      </c>
      <c r="D532" s="69">
        <v>183</v>
      </c>
      <c r="E532" s="69">
        <v>182.5</v>
      </c>
      <c r="F532" s="170">
        <v>365</v>
      </c>
      <c r="G532" s="136">
        <v>182</v>
      </c>
    </row>
    <row r="533" spans="1:8" ht="14.25" customHeight="1" x14ac:dyDescent="0.3">
      <c r="A533" s="137">
        <v>85920</v>
      </c>
      <c r="B533" s="138" t="s">
        <v>2233</v>
      </c>
      <c r="C533" s="139" t="s">
        <v>2234</v>
      </c>
      <c r="D533" s="69">
        <v>183</v>
      </c>
      <c r="E533" s="69">
        <v>182.5</v>
      </c>
      <c r="F533" s="170">
        <v>365</v>
      </c>
      <c r="G533" s="136">
        <v>182</v>
      </c>
    </row>
    <row r="534" spans="1:8" ht="14.25" customHeight="1" x14ac:dyDescent="0.3">
      <c r="A534" s="137">
        <v>85930</v>
      </c>
      <c r="B534" s="138" t="s">
        <v>2235</v>
      </c>
      <c r="C534" s="139" t="s">
        <v>2236</v>
      </c>
      <c r="D534" s="69">
        <v>183</v>
      </c>
      <c r="E534" s="69">
        <v>182.5</v>
      </c>
      <c r="F534" s="170">
        <v>365</v>
      </c>
      <c r="G534" s="136">
        <v>182</v>
      </c>
    </row>
    <row r="535" spans="1:8" ht="14.25" customHeight="1" x14ac:dyDescent="0.3">
      <c r="A535" s="137">
        <v>85940</v>
      </c>
      <c r="B535" s="138" t="s">
        <v>2237</v>
      </c>
      <c r="C535" s="139" t="s">
        <v>2238</v>
      </c>
      <c r="D535" s="69">
        <v>183</v>
      </c>
      <c r="E535" s="69">
        <v>182.5</v>
      </c>
      <c r="F535" s="170">
        <v>365</v>
      </c>
      <c r="G535" s="136">
        <v>182</v>
      </c>
    </row>
    <row r="536" spans="1:8" ht="14.25" customHeight="1" x14ac:dyDescent="0.3">
      <c r="A536" s="137">
        <v>85950</v>
      </c>
      <c r="B536" s="138" t="s">
        <v>2239</v>
      </c>
      <c r="C536" s="139" t="s">
        <v>2240</v>
      </c>
      <c r="D536" s="69">
        <v>75</v>
      </c>
      <c r="E536" s="69">
        <v>91.5</v>
      </c>
      <c r="F536" s="170">
        <v>183</v>
      </c>
      <c r="G536" s="136">
        <v>108</v>
      </c>
    </row>
    <row r="537" spans="1:8" ht="14.25" customHeight="1" x14ac:dyDescent="0.3">
      <c r="A537" s="137">
        <v>85960</v>
      </c>
      <c r="B537" s="138" t="s">
        <v>2241</v>
      </c>
      <c r="C537" s="139" t="s">
        <v>2242</v>
      </c>
      <c r="D537" s="69">
        <v>183</v>
      </c>
      <c r="E537" s="69">
        <v>182.5</v>
      </c>
      <c r="F537" s="170">
        <v>365</v>
      </c>
      <c r="G537" s="136">
        <v>182</v>
      </c>
    </row>
    <row r="538" spans="1:8" ht="14.25" customHeight="1" x14ac:dyDescent="0.3">
      <c r="A538" s="137" t="s">
        <v>2440</v>
      </c>
      <c r="B538" s="138" t="s">
        <v>1642</v>
      </c>
      <c r="C538" s="139" t="s">
        <v>183</v>
      </c>
      <c r="D538" s="69">
        <v>183</v>
      </c>
      <c r="E538" s="69">
        <v>182.5</v>
      </c>
      <c r="F538" s="170">
        <v>365</v>
      </c>
      <c r="G538" s="136">
        <v>182</v>
      </c>
    </row>
    <row r="539" spans="1:8" ht="14.25" customHeight="1" x14ac:dyDescent="0.3">
      <c r="A539" s="137">
        <v>5370</v>
      </c>
      <c r="B539" s="138" t="s">
        <v>2441</v>
      </c>
      <c r="C539" s="139" t="s">
        <v>511</v>
      </c>
      <c r="D539" s="69">
        <v>183</v>
      </c>
      <c r="E539" s="69">
        <v>182.5</v>
      </c>
      <c r="F539" s="170">
        <v>365</v>
      </c>
      <c r="G539" s="136">
        <v>182</v>
      </c>
    </row>
    <row r="540" spans="1:8" ht="14.25" customHeight="1" x14ac:dyDescent="0.3">
      <c r="A540" s="137">
        <v>5375</v>
      </c>
      <c r="B540" s="138" t="s">
        <v>2054</v>
      </c>
      <c r="C540" s="139" t="s">
        <v>2055</v>
      </c>
      <c r="D540" s="69">
        <v>183</v>
      </c>
      <c r="E540" s="69">
        <v>182.5</v>
      </c>
      <c r="F540" s="170">
        <v>365</v>
      </c>
      <c r="G540" s="136">
        <v>182</v>
      </c>
    </row>
    <row r="541" spans="1:8" ht="14.25" customHeight="1" x14ac:dyDescent="0.3">
      <c r="A541" s="137">
        <v>5386</v>
      </c>
      <c r="B541" s="138" t="s">
        <v>2056</v>
      </c>
      <c r="C541" s="139" t="s">
        <v>2057</v>
      </c>
      <c r="D541" s="69">
        <v>183</v>
      </c>
      <c r="E541" s="69">
        <v>182.5</v>
      </c>
      <c r="F541" s="170">
        <v>365</v>
      </c>
      <c r="G541" s="136">
        <v>182</v>
      </c>
    </row>
    <row r="542" spans="1:8" ht="14.25" customHeight="1" x14ac:dyDescent="0.3">
      <c r="A542" s="137">
        <v>8210</v>
      </c>
      <c r="B542" s="138" t="s">
        <v>2442</v>
      </c>
      <c r="C542" s="139" t="s">
        <v>1772</v>
      </c>
      <c r="D542" s="69">
        <v>136.5</v>
      </c>
      <c r="E542" s="69">
        <v>136.5</v>
      </c>
      <c r="F542" s="170">
        <v>273</v>
      </c>
      <c r="G542" s="136">
        <v>136.5</v>
      </c>
    </row>
    <row r="543" spans="1:8" ht="14.25" customHeight="1" x14ac:dyDescent="0.3">
      <c r="A543" s="137">
        <v>8211</v>
      </c>
      <c r="B543" s="138" t="s">
        <v>2443</v>
      </c>
      <c r="C543" s="139" t="s">
        <v>1775</v>
      </c>
      <c r="D543" s="69">
        <v>136.5</v>
      </c>
      <c r="E543" s="69">
        <v>136.5</v>
      </c>
      <c r="F543" s="170">
        <v>273</v>
      </c>
      <c r="G543" s="136">
        <v>136.5</v>
      </c>
    </row>
    <row r="544" spans="1:8" ht="14.25" customHeight="1" x14ac:dyDescent="0.3">
      <c r="A544" s="137">
        <v>3200</v>
      </c>
      <c r="B544" s="138" t="s">
        <v>1971</v>
      </c>
      <c r="C544" s="139" t="s">
        <v>1972</v>
      </c>
      <c r="D544" s="69">
        <v>121</v>
      </c>
      <c r="E544" s="69">
        <v>121</v>
      </c>
      <c r="F544" s="170">
        <v>242</v>
      </c>
      <c r="G544" s="136">
        <v>121</v>
      </c>
    </row>
    <row r="545" spans="1:7" ht="14.25" customHeight="1" x14ac:dyDescent="0.3">
      <c r="A545" s="137">
        <v>3201</v>
      </c>
      <c r="B545" s="138" t="s">
        <v>1905</v>
      </c>
      <c r="C545" s="139" t="s">
        <v>1906</v>
      </c>
      <c r="D545" s="69">
        <v>183</v>
      </c>
      <c r="E545" s="69">
        <v>182.5</v>
      </c>
      <c r="F545" s="170">
        <v>365</v>
      </c>
      <c r="G545" s="136">
        <v>182</v>
      </c>
    </row>
    <row r="546" spans="1:7" ht="14.25" customHeight="1" x14ac:dyDescent="0.3">
      <c r="A546" s="137">
        <v>3202</v>
      </c>
      <c r="B546" s="138" t="s">
        <v>1907</v>
      </c>
      <c r="C546" s="139" t="s">
        <v>1908</v>
      </c>
      <c r="D546" s="69">
        <v>183</v>
      </c>
      <c r="E546" s="69">
        <v>182.5</v>
      </c>
      <c r="F546" s="170">
        <v>365</v>
      </c>
      <c r="G546" s="136">
        <v>182</v>
      </c>
    </row>
    <row r="547" spans="1:7" ht="14.25" customHeight="1" x14ac:dyDescent="0.3">
      <c r="A547" s="131">
        <v>2216</v>
      </c>
      <c r="B547" s="131" t="s">
        <v>440</v>
      </c>
      <c r="C547" s="135" t="s">
        <v>517</v>
      </c>
      <c r="D547" s="69">
        <v>365</v>
      </c>
      <c r="E547" s="69">
        <v>365</v>
      </c>
      <c r="F547" s="170">
        <v>730</v>
      </c>
      <c r="G547" s="136">
        <v>365</v>
      </c>
    </row>
    <row r="548" spans="1:7" ht="14.25" customHeight="1" x14ac:dyDescent="0.3">
      <c r="A548" s="131">
        <v>4803</v>
      </c>
      <c r="B548" s="131" t="s">
        <v>515</v>
      </c>
      <c r="C548" s="135" t="s">
        <v>11</v>
      </c>
      <c r="D548" s="69">
        <v>137</v>
      </c>
      <c r="E548" s="69">
        <v>136.5</v>
      </c>
      <c r="F548" s="170">
        <v>273</v>
      </c>
      <c r="G548" s="136">
        <v>136</v>
      </c>
    </row>
    <row r="549" spans="1:7" ht="14.25" customHeight="1" x14ac:dyDescent="0.3">
      <c r="A549" s="137">
        <v>4811</v>
      </c>
      <c r="B549" s="138" t="s">
        <v>516</v>
      </c>
      <c r="C549" s="139" t="s">
        <v>1697</v>
      </c>
      <c r="D549" s="69">
        <v>183</v>
      </c>
      <c r="E549" s="69">
        <v>182.5</v>
      </c>
      <c r="F549" s="170">
        <v>365</v>
      </c>
      <c r="G549" s="136">
        <v>182</v>
      </c>
    </row>
    <row r="550" spans="1:7" ht="14.25" customHeight="1" x14ac:dyDescent="0.3">
      <c r="A550" s="131">
        <v>4928</v>
      </c>
      <c r="B550" s="131" t="s">
        <v>548</v>
      </c>
      <c r="C550" s="135" t="s">
        <v>31</v>
      </c>
      <c r="D550" s="69">
        <v>183</v>
      </c>
      <c r="E550" s="69">
        <v>182.5</v>
      </c>
      <c r="F550" s="170">
        <v>365</v>
      </c>
      <c r="G550" s="136">
        <v>182</v>
      </c>
    </row>
    <row r="551" spans="1:7" ht="14.25" customHeight="1" x14ac:dyDescent="0.3">
      <c r="A551" s="131">
        <v>4555</v>
      </c>
      <c r="B551" s="131" t="s">
        <v>769</v>
      </c>
      <c r="C551" s="135" t="s">
        <v>768</v>
      </c>
      <c r="D551" s="69">
        <v>183</v>
      </c>
      <c r="E551" s="69">
        <v>182.5</v>
      </c>
      <c r="F551" s="170">
        <v>365</v>
      </c>
      <c r="G551" s="136">
        <v>182</v>
      </c>
    </row>
    <row r="552" spans="1:7" ht="14.25" customHeight="1" x14ac:dyDescent="0.3">
      <c r="A552" s="137">
        <v>4557</v>
      </c>
      <c r="B552" s="138" t="s">
        <v>2018</v>
      </c>
      <c r="C552" s="139" t="s">
        <v>2019</v>
      </c>
      <c r="D552" s="69">
        <v>98</v>
      </c>
      <c r="E552" s="69">
        <v>182.5</v>
      </c>
      <c r="F552" s="170">
        <v>365</v>
      </c>
      <c r="G552" s="136">
        <v>267</v>
      </c>
    </row>
    <row r="553" spans="1:7" ht="14.25" customHeight="1" x14ac:dyDescent="0.3">
      <c r="A553" s="131">
        <v>4558</v>
      </c>
      <c r="B553" s="131" t="s">
        <v>770</v>
      </c>
      <c r="C553" s="135" t="s">
        <v>48</v>
      </c>
      <c r="D553" s="69">
        <v>98</v>
      </c>
      <c r="E553" s="69">
        <v>182.5</v>
      </c>
      <c r="F553" s="170">
        <v>365</v>
      </c>
      <c r="G553" s="136">
        <v>267</v>
      </c>
    </row>
    <row r="554" spans="1:7" ht="14.25" customHeight="1" x14ac:dyDescent="0.3">
      <c r="A554" s="131">
        <v>4560</v>
      </c>
      <c r="B554" s="131" t="s">
        <v>771</v>
      </c>
      <c r="C554" s="135" t="s">
        <v>49</v>
      </c>
      <c r="D554" s="69">
        <v>98</v>
      </c>
      <c r="E554" s="69">
        <v>182.5</v>
      </c>
      <c r="F554" s="170">
        <v>365</v>
      </c>
      <c r="G554" s="136">
        <v>267</v>
      </c>
    </row>
    <row r="555" spans="1:7" ht="14.25" customHeight="1" x14ac:dyDescent="0.3">
      <c r="A555" s="137">
        <v>4625</v>
      </c>
      <c r="B555" s="138" t="s">
        <v>2030</v>
      </c>
      <c r="C555" s="139" t="s">
        <v>2031</v>
      </c>
      <c r="D555" s="69">
        <v>365</v>
      </c>
      <c r="E555" s="69">
        <v>365</v>
      </c>
      <c r="F555" s="170">
        <v>730</v>
      </c>
      <c r="G555" s="136">
        <v>365</v>
      </c>
    </row>
    <row r="556" spans="1:7" ht="14.25" customHeight="1" x14ac:dyDescent="0.3">
      <c r="A556" s="131">
        <v>4627</v>
      </c>
      <c r="B556" s="131" t="s">
        <v>782</v>
      </c>
      <c r="C556" s="135" t="s">
        <v>781</v>
      </c>
      <c r="D556" s="69">
        <v>365</v>
      </c>
      <c r="E556" s="69">
        <v>365</v>
      </c>
      <c r="F556" s="170">
        <v>730</v>
      </c>
      <c r="G556" s="136">
        <v>365</v>
      </c>
    </row>
    <row r="557" spans="1:7" ht="14.25" customHeight="1" x14ac:dyDescent="0.3">
      <c r="A557" s="137">
        <v>5302</v>
      </c>
      <c r="B557" s="138" t="s">
        <v>2052</v>
      </c>
      <c r="C557" s="139" t="s">
        <v>2053</v>
      </c>
      <c r="D557" s="69">
        <v>365</v>
      </c>
      <c r="E557" s="69">
        <v>365</v>
      </c>
      <c r="F557" s="170">
        <v>730</v>
      </c>
      <c r="G557" s="136">
        <v>365</v>
      </c>
    </row>
    <row r="558" spans="1:7" ht="14.25" customHeight="1" x14ac:dyDescent="0.3">
      <c r="A558" s="131">
        <v>5310</v>
      </c>
      <c r="B558" s="131" t="s">
        <v>940</v>
      </c>
      <c r="C558" s="135" t="s">
        <v>71</v>
      </c>
      <c r="D558" s="69">
        <v>365</v>
      </c>
      <c r="E558" s="69">
        <v>365</v>
      </c>
      <c r="F558" s="170">
        <v>730</v>
      </c>
      <c r="G558" s="136">
        <v>365</v>
      </c>
    </row>
    <row r="559" spans="1:7" ht="14.25" customHeight="1" x14ac:dyDescent="0.3">
      <c r="A559" s="131">
        <v>5314</v>
      </c>
      <c r="B559" s="131" t="s">
        <v>944</v>
      </c>
      <c r="C559" s="135" t="s">
        <v>943</v>
      </c>
      <c r="D559" s="69">
        <v>365</v>
      </c>
      <c r="E559" s="69">
        <v>365</v>
      </c>
      <c r="F559" s="170">
        <v>730</v>
      </c>
      <c r="G559" s="136">
        <v>365</v>
      </c>
    </row>
    <row r="560" spans="1:7" ht="14.25" customHeight="1" x14ac:dyDescent="0.3">
      <c r="A560" s="131">
        <v>5923</v>
      </c>
      <c r="B560" s="131" t="s">
        <v>1105</v>
      </c>
      <c r="C560" s="135" t="s">
        <v>80</v>
      </c>
      <c r="D560" s="69">
        <v>84</v>
      </c>
      <c r="E560" s="69">
        <v>182.5</v>
      </c>
      <c r="F560" s="170">
        <v>365</v>
      </c>
      <c r="G560" s="136">
        <v>281</v>
      </c>
    </row>
    <row r="561" spans="1:7" ht="14.25" customHeight="1" x14ac:dyDescent="0.3">
      <c r="A561" s="131">
        <v>6171</v>
      </c>
      <c r="B561" s="131" t="s">
        <v>1134</v>
      </c>
      <c r="C561" s="135" t="s">
        <v>1133</v>
      </c>
      <c r="D561" s="69">
        <v>365</v>
      </c>
      <c r="E561" s="69">
        <v>365</v>
      </c>
      <c r="F561" s="170">
        <v>730</v>
      </c>
      <c r="G561" s="136">
        <v>365</v>
      </c>
    </row>
    <row r="562" spans="1:7" ht="14.25" customHeight="1" x14ac:dyDescent="0.3">
      <c r="A562" s="131">
        <v>6175</v>
      </c>
      <c r="B562" s="131" t="s">
        <v>1136</v>
      </c>
      <c r="C562" s="135" t="s">
        <v>1135</v>
      </c>
      <c r="D562" s="69">
        <v>365</v>
      </c>
      <c r="E562" s="69">
        <v>365</v>
      </c>
      <c r="F562" s="170">
        <v>730</v>
      </c>
      <c r="G562" s="136">
        <v>365</v>
      </c>
    </row>
    <row r="563" spans="1:7" ht="14.25" customHeight="1" x14ac:dyDescent="0.3">
      <c r="A563" s="137">
        <v>6176</v>
      </c>
      <c r="B563" s="138" t="s">
        <v>2106</v>
      </c>
      <c r="C563" s="139" t="s">
        <v>2107</v>
      </c>
      <c r="D563" s="69">
        <v>365</v>
      </c>
      <c r="E563" s="69">
        <v>365</v>
      </c>
      <c r="F563" s="170">
        <v>730</v>
      </c>
      <c r="G563" s="136">
        <v>365</v>
      </c>
    </row>
    <row r="564" spans="1:7" ht="14.25" customHeight="1" x14ac:dyDescent="0.3">
      <c r="A564" s="137">
        <v>4274</v>
      </c>
      <c r="B564" s="138" t="s">
        <v>522</v>
      </c>
      <c r="C564" s="139" t="s">
        <v>523</v>
      </c>
      <c r="D564" s="69">
        <v>365</v>
      </c>
      <c r="E564" s="69">
        <v>365</v>
      </c>
      <c r="F564" s="170">
        <v>730</v>
      </c>
      <c r="G564" s="136">
        <v>365</v>
      </c>
    </row>
    <row r="565" spans="1:7" ht="14.25" customHeight="1" x14ac:dyDescent="0.3">
      <c r="A565" s="131">
        <v>4275</v>
      </c>
      <c r="B565" s="131" t="s">
        <v>525</v>
      </c>
      <c r="C565" s="135" t="s">
        <v>524</v>
      </c>
      <c r="D565" s="69">
        <v>365</v>
      </c>
      <c r="E565" s="69">
        <v>365</v>
      </c>
      <c r="F565" s="170">
        <v>730</v>
      </c>
      <c r="G565" s="136">
        <v>365</v>
      </c>
    </row>
    <row r="566" spans="1:7" ht="14.25" customHeight="1" x14ac:dyDescent="0.3">
      <c r="A566" s="131">
        <v>4826</v>
      </c>
      <c r="B566" s="131" t="s">
        <v>521</v>
      </c>
      <c r="C566" s="135" t="s">
        <v>1698</v>
      </c>
      <c r="D566" s="69">
        <v>365</v>
      </c>
      <c r="E566" s="69">
        <v>365</v>
      </c>
      <c r="F566" s="170">
        <v>730</v>
      </c>
      <c r="G566" s="136">
        <v>365</v>
      </c>
    </row>
    <row r="567" spans="1:7" ht="14.25" customHeight="1" x14ac:dyDescent="0.3">
      <c r="A567" s="137">
        <v>4925</v>
      </c>
      <c r="B567" s="138" t="s">
        <v>2035</v>
      </c>
      <c r="C567" s="139" t="s">
        <v>2036</v>
      </c>
      <c r="D567" s="69">
        <v>365</v>
      </c>
      <c r="E567" s="69">
        <v>365</v>
      </c>
      <c r="F567" s="170">
        <v>730</v>
      </c>
      <c r="G567" s="136">
        <v>365</v>
      </c>
    </row>
    <row r="568" spans="1:7" ht="14.25" customHeight="1" x14ac:dyDescent="0.3">
      <c r="A568" s="131">
        <v>8170</v>
      </c>
      <c r="B568" s="131" t="s">
        <v>1468</v>
      </c>
      <c r="C568" s="135" t="s">
        <v>114</v>
      </c>
      <c r="D568" s="69">
        <v>183</v>
      </c>
      <c r="E568" s="69">
        <v>182.5</v>
      </c>
      <c r="F568" s="170">
        <v>365</v>
      </c>
      <c r="G568" s="136">
        <v>182</v>
      </c>
    </row>
    <row r="569" spans="1:7" ht="14.25" customHeight="1" x14ac:dyDescent="0.3">
      <c r="A569" s="131">
        <v>7723</v>
      </c>
      <c r="B569" s="131" t="s">
        <v>442</v>
      </c>
      <c r="C569" s="135" t="s">
        <v>538</v>
      </c>
      <c r="D569" s="69">
        <v>365</v>
      </c>
      <c r="E569" s="69">
        <v>365</v>
      </c>
      <c r="F569" s="170">
        <v>730</v>
      </c>
      <c r="G569" s="136">
        <v>365</v>
      </c>
    </row>
    <row r="570" spans="1:7" ht="14.25" customHeight="1" x14ac:dyDescent="0.3">
      <c r="A570" s="131">
        <v>7857</v>
      </c>
      <c r="B570" s="131" t="s">
        <v>2444</v>
      </c>
      <c r="C570" s="135" t="s">
        <v>1810</v>
      </c>
      <c r="D570" s="69">
        <v>365</v>
      </c>
      <c r="E570" s="69">
        <v>365</v>
      </c>
      <c r="F570" s="170">
        <v>730</v>
      </c>
      <c r="G570" s="136">
        <v>365</v>
      </c>
    </row>
    <row r="571" spans="1:7" ht="14.25" customHeight="1" x14ac:dyDescent="0.3">
      <c r="A571" s="131">
        <v>2074</v>
      </c>
      <c r="B571" s="131" t="s">
        <v>556</v>
      </c>
      <c r="C571" s="135" t="s">
        <v>341</v>
      </c>
      <c r="D571" s="69">
        <v>183</v>
      </c>
      <c r="E571" s="69">
        <v>182.5</v>
      </c>
      <c r="F571" s="170">
        <v>365</v>
      </c>
      <c r="G571" s="136">
        <v>182</v>
      </c>
    </row>
    <row r="572" spans="1:7" ht="14.25" customHeight="1" x14ac:dyDescent="0.3">
      <c r="A572" s="131">
        <v>7693</v>
      </c>
      <c r="B572" s="131" t="s">
        <v>547</v>
      </c>
      <c r="C572" s="135" t="s">
        <v>30</v>
      </c>
      <c r="D572" s="69">
        <v>183</v>
      </c>
      <c r="E572" s="69">
        <v>182.5</v>
      </c>
      <c r="F572" s="170">
        <v>365</v>
      </c>
      <c r="G572" s="136">
        <v>182</v>
      </c>
    </row>
    <row r="573" spans="1:7" ht="14.25" customHeight="1" x14ac:dyDescent="0.3">
      <c r="A573" s="137">
        <v>7694</v>
      </c>
      <c r="B573" s="138" t="s">
        <v>2164</v>
      </c>
      <c r="C573" s="139" t="s">
        <v>2165</v>
      </c>
      <c r="D573" s="69">
        <v>183</v>
      </c>
      <c r="E573" s="69">
        <v>182.5</v>
      </c>
      <c r="F573" s="170">
        <v>365</v>
      </c>
      <c r="G573" s="136">
        <v>182</v>
      </c>
    </row>
    <row r="574" spans="1:7" ht="14.25" customHeight="1" x14ac:dyDescent="0.3">
      <c r="A574" s="137">
        <v>7695</v>
      </c>
      <c r="B574" s="138" t="s">
        <v>2166</v>
      </c>
      <c r="C574" s="139" t="s">
        <v>2167</v>
      </c>
      <c r="D574" s="69">
        <v>183</v>
      </c>
      <c r="E574" s="69">
        <v>182.5</v>
      </c>
      <c r="F574" s="170">
        <v>365</v>
      </c>
      <c r="G574" s="136">
        <v>182</v>
      </c>
    </row>
    <row r="575" spans="1:7" ht="14.25" customHeight="1" x14ac:dyDescent="0.3">
      <c r="A575" s="137">
        <v>7696</v>
      </c>
      <c r="B575" s="138" t="s">
        <v>2168</v>
      </c>
      <c r="C575" s="139" t="s">
        <v>2169</v>
      </c>
      <c r="D575" s="69">
        <v>183</v>
      </c>
      <c r="E575" s="69">
        <v>182.5</v>
      </c>
      <c r="F575" s="170">
        <v>365</v>
      </c>
      <c r="G575" s="136">
        <v>182</v>
      </c>
    </row>
    <row r="576" spans="1:7" ht="14.25" customHeight="1" x14ac:dyDescent="0.3">
      <c r="A576" s="137">
        <v>7697</v>
      </c>
      <c r="B576" s="138" t="s">
        <v>2170</v>
      </c>
      <c r="C576" s="139" t="s">
        <v>2171</v>
      </c>
      <c r="D576" s="69">
        <v>183</v>
      </c>
      <c r="E576" s="69">
        <v>182.5</v>
      </c>
      <c r="F576" s="170">
        <v>365</v>
      </c>
      <c r="G576" s="136">
        <v>182</v>
      </c>
    </row>
    <row r="577" spans="1:7" ht="14.25" customHeight="1" x14ac:dyDescent="0.3">
      <c r="A577" s="131">
        <v>7866</v>
      </c>
      <c r="B577" s="131" t="s">
        <v>554</v>
      </c>
      <c r="C577" s="135" t="s">
        <v>185</v>
      </c>
      <c r="D577" s="69">
        <v>183</v>
      </c>
      <c r="E577" s="69">
        <v>182.5</v>
      </c>
      <c r="F577" s="170">
        <v>365</v>
      </c>
      <c r="G577" s="136">
        <v>182</v>
      </c>
    </row>
    <row r="578" spans="1:7" ht="14.25" customHeight="1" x14ac:dyDescent="0.3">
      <c r="A578" s="131">
        <v>7867</v>
      </c>
      <c r="B578" s="131" t="s">
        <v>555</v>
      </c>
      <c r="C578" s="135" t="s">
        <v>186</v>
      </c>
      <c r="D578" s="69">
        <v>183</v>
      </c>
      <c r="E578" s="69">
        <v>182.5</v>
      </c>
      <c r="F578" s="170">
        <v>365</v>
      </c>
      <c r="G578" s="136">
        <v>182</v>
      </c>
    </row>
    <row r="579" spans="1:7" ht="14.25" customHeight="1" x14ac:dyDescent="0.3">
      <c r="A579" s="131">
        <v>9165</v>
      </c>
      <c r="B579" s="131" t="s">
        <v>553</v>
      </c>
      <c r="C579" s="135" t="s">
        <v>184</v>
      </c>
      <c r="D579" s="69">
        <v>365</v>
      </c>
      <c r="E579" s="69">
        <v>365</v>
      </c>
      <c r="F579" s="170">
        <v>730</v>
      </c>
      <c r="G579" s="136">
        <v>365</v>
      </c>
    </row>
    <row r="580" spans="1:7" ht="14.25" customHeight="1" x14ac:dyDescent="0.3">
      <c r="A580" s="137">
        <v>9170</v>
      </c>
      <c r="B580" s="138" t="s">
        <v>2253</v>
      </c>
      <c r="C580" s="139" t="s">
        <v>2254</v>
      </c>
      <c r="D580" s="69">
        <v>365</v>
      </c>
      <c r="E580" s="69">
        <v>365</v>
      </c>
      <c r="F580" s="170">
        <v>730</v>
      </c>
      <c r="G580" s="136">
        <v>365</v>
      </c>
    </row>
    <row r="581" spans="1:7" ht="14.25" customHeight="1" x14ac:dyDescent="0.3">
      <c r="A581" s="151" t="s">
        <v>2445</v>
      </c>
      <c r="B581" s="151" t="s">
        <v>2445</v>
      </c>
      <c r="C581" s="152" t="s">
        <v>1699</v>
      </c>
      <c r="D581" s="69">
        <v>122</v>
      </c>
      <c r="E581" s="69">
        <v>136.5</v>
      </c>
      <c r="F581" s="170">
        <v>273</v>
      </c>
      <c r="G581" s="136">
        <v>151</v>
      </c>
    </row>
    <row r="582" spans="1:7" ht="14.25" customHeight="1" x14ac:dyDescent="0.3">
      <c r="A582" s="151" t="s">
        <v>2446</v>
      </c>
      <c r="B582" s="151" t="s">
        <v>2446</v>
      </c>
      <c r="C582" s="152" t="s">
        <v>1700</v>
      </c>
      <c r="D582" s="69">
        <v>122</v>
      </c>
      <c r="E582" s="69">
        <v>136.5</v>
      </c>
      <c r="F582" s="170">
        <v>273</v>
      </c>
      <c r="G582" s="136">
        <v>151</v>
      </c>
    </row>
    <row r="583" spans="1:7" ht="14.25" customHeight="1" x14ac:dyDescent="0.3">
      <c r="A583" s="151" t="s">
        <v>2447</v>
      </c>
      <c r="B583" s="151" t="s">
        <v>2447</v>
      </c>
      <c r="C583" s="152" t="s">
        <v>1701</v>
      </c>
      <c r="D583" s="69">
        <v>122</v>
      </c>
      <c r="E583" s="69">
        <v>136.5</v>
      </c>
      <c r="F583" s="170">
        <v>273</v>
      </c>
      <c r="G583" s="136">
        <v>151</v>
      </c>
    </row>
    <row r="584" spans="1:7" ht="14.25" customHeight="1" x14ac:dyDescent="0.3">
      <c r="A584" s="151" t="s">
        <v>2448</v>
      </c>
      <c r="B584" s="151" t="s">
        <v>2448</v>
      </c>
      <c r="C584" s="152" t="s">
        <v>1702</v>
      </c>
      <c r="D584" s="69">
        <v>122</v>
      </c>
      <c r="E584" s="69">
        <v>136.5</v>
      </c>
      <c r="F584" s="170">
        <v>273</v>
      </c>
      <c r="G584" s="136">
        <v>151</v>
      </c>
    </row>
    <row r="585" spans="1:7" ht="14.25" customHeight="1" x14ac:dyDescent="0.3">
      <c r="A585" s="137" t="s">
        <v>2449</v>
      </c>
      <c r="B585" s="137" t="s">
        <v>2449</v>
      </c>
      <c r="C585" s="139" t="s">
        <v>1668</v>
      </c>
      <c r="D585" s="69">
        <v>122</v>
      </c>
      <c r="E585" s="69">
        <v>136.5</v>
      </c>
      <c r="F585" s="170">
        <v>273</v>
      </c>
      <c r="G585" s="136">
        <v>151</v>
      </c>
    </row>
    <row r="586" spans="1:7" ht="14.25" customHeight="1" x14ac:dyDescent="0.3">
      <c r="A586" s="153" t="s">
        <v>2450</v>
      </c>
      <c r="B586" s="153" t="s">
        <v>2450</v>
      </c>
      <c r="C586" s="135" t="s">
        <v>1703</v>
      </c>
      <c r="D586" s="69">
        <v>122</v>
      </c>
      <c r="E586" s="69">
        <v>136.5</v>
      </c>
      <c r="F586" s="170">
        <v>273</v>
      </c>
      <c r="G586" s="136">
        <v>151</v>
      </c>
    </row>
    <row r="587" spans="1:7" ht="14.25" customHeight="1" x14ac:dyDescent="0.3">
      <c r="A587" s="137">
        <v>2975</v>
      </c>
      <c r="B587" s="138" t="s">
        <v>627</v>
      </c>
      <c r="C587" s="139" t="s">
        <v>1704</v>
      </c>
      <c r="D587" s="69">
        <v>122</v>
      </c>
      <c r="E587" s="69">
        <v>136.5</v>
      </c>
      <c r="F587" s="170">
        <v>273</v>
      </c>
      <c r="G587" s="136">
        <v>151</v>
      </c>
    </row>
    <row r="588" spans="1:7" ht="14.25" customHeight="1" x14ac:dyDescent="0.3">
      <c r="A588" s="137">
        <v>2976</v>
      </c>
      <c r="B588" s="138" t="s">
        <v>628</v>
      </c>
      <c r="C588" s="139" t="s">
        <v>1705</v>
      </c>
      <c r="D588" s="69">
        <v>122</v>
      </c>
      <c r="E588" s="69">
        <v>136.5</v>
      </c>
      <c r="F588" s="170">
        <v>273</v>
      </c>
      <c r="G588" s="136">
        <v>151</v>
      </c>
    </row>
    <row r="589" spans="1:7" ht="14.25" customHeight="1" x14ac:dyDescent="0.3">
      <c r="A589" s="137">
        <v>4042</v>
      </c>
      <c r="B589" s="138" t="s">
        <v>2285</v>
      </c>
      <c r="C589" s="139" t="s">
        <v>2286</v>
      </c>
      <c r="D589" s="69">
        <v>183</v>
      </c>
      <c r="E589" s="69">
        <v>182.5</v>
      </c>
      <c r="F589" s="170">
        <v>365</v>
      </c>
      <c r="G589" s="136">
        <v>182</v>
      </c>
    </row>
    <row r="590" spans="1:7" ht="14.25" customHeight="1" x14ac:dyDescent="0.3">
      <c r="A590" s="137">
        <v>4044</v>
      </c>
      <c r="B590" s="138" t="s">
        <v>2378</v>
      </c>
      <c r="C590" s="139" t="s">
        <v>2379</v>
      </c>
      <c r="D590" s="69">
        <v>183</v>
      </c>
      <c r="E590" s="69">
        <v>182.5</v>
      </c>
      <c r="F590" s="170">
        <v>365</v>
      </c>
      <c r="G590" s="136">
        <v>182</v>
      </c>
    </row>
    <row r="591" spans="1:7" ht="14.25" customHeight="1" x14ac:dyDescent="0.3">
      <c r="A591" s="131">
        <v>4081</v>
      </c>
      <c r="B591" s="131" t="s">
        <v>653</v>
      </c>
      <c r="C591" s="135" t="s">
        <v>652</v>
      </c>
      <c r="D591" s="69">
        <v>183</v>
      </c>
      <c r="E591" s="69">
        <v>182.5</v>
      </c>
      <c r="F591" s="170">
        <v>365</v>
      </c>
      <c r="G591" s="136">
        <v>182</v>
      </c>
    </row>
    <row r="592" spans="1:7" ht="14.25" customHeight="1" x14ac:dyDescent="0.3">
      <c r="A592" s="131">
        <v>4082</v>
      </c>
      <c r="B592" s="131" t="s">
        <v>654</v>
      </c>
      <c r="C592" s="135" t="s">
        <v>248</v>
      </c>
      <c r="D592" s="69">
        <v>183</v>
      </c>
      <c r="E592" s="69">
        <v>182.5</v>
      </c>
      <c r="F592" s="170">
        <v>365</v>
      </c>
      <c r="G592" s="136">
        <v>182</v>
      </c>
    </row>
    <row r="593" spans="1:7" ht="14.25" customHeight="1" x14ac:dyDescent="0.3">
      <c r="A593" s="131">
        <v>4114</v>
      </c>
      <c r="B593" s="131" t="s">
        <v>656</v>
      </c>
      <c r="C593" s="135" t="s">
        <v>655</v>
      </c>
      <c r="D593" s="69">
        <v>122</v>
      </c>
      <c r="E593" s="69">
        <v>182.5</v>
      </c>
      <c r="F593" s="170">
        <v>365</v>
      </c>
      <c r="G593" s="136">
        <v>243</v>
      </c>
    </row>
    <row r="594" spans="1:7" ht="14.25" customHeight="1" x14ac:dyDescent="0.3">
      <c r="A594" s="131">
        <v>4118</v>
      </c>
      <c r="B594" s="131" t="s">
        <v>658</v>
      </c>
      <c r="C594" s="135" t="s">
        <v>657</v>
      </c>
      <c r="D594" s="69">
        <v>122</v>
      </c>
      <c r="E594" s="69">
        <v>136.5</v>
      </c>
      <c r="F594" s="170">
        <v>273</v>
      </c>
      <c r="G594" s="136">
        <v>151</v>
      </c>
    </row>
    <row r="595" spans="1:7" ht="14.25" customHeight="1" x14ac:dyDescent="0.3">
      <c r="A595" s="131">
        <v>4126</v>
      </c>
      <c r="B595" s="131" t="s">
        <v>659</v>
      </c>
      <c r="C595" s="135" t="s">
        <v>187</v>
      </c>
      <c r="D595" s="69">
        <v>183</v>
      </c>
      <c r="E595" s="69">
        <v>182.5</v>
      </c>
      <c r="F595" s="170">
        <v>365</v>
      </c>
      <c r="G595" s="136">
        <v>182</v>
      </c>
    </row>
    <row r="596" spans="1:7" ht="14.25" customHeight="1" x14ac:dyDescent="0.3">
      <c r="A596" s="131">
        <v>4127</v>
      </c>
      <c r="B596" s="131" t="s">
        <v>661</v>
      </c>
      <c r="C596" s="135" t="s">
        <v>188</v>
      </c>
      <c r="D596" s="69">
        <v>183</v>
      </c>
      <c r="E596" s="69">
        <v>182.5</v>
      </c>
      <c r="F596" s="170">
        <v>365</v>
      </c>
      <c r="G596" s="136">
        <v>182</v>
      </c>
    </row>
    <row r="597" spans="1:7" ht="14.25" customHeight="1" x14ac:dyDescent="0.3">
      <c r="A597" s="131">
        <v>4128</v>
      </c>
      <c r="B597" s="131" t="s">
        <v>663</v>
      </c>
      <c r="C597" s="135" t="s">
        <v>189</v>
      </c>
      <c r="D597" s="69">
        <v>183</v>
      </c>
      <c r="E597" s="69">
        <v>182.5</v>
      </c>
      <c r="F597" s="170">
        <v>365</v>
      </c>
      <c r="G597" s="136">
        <v>182</v>
      </c>
    </row>
    <row r="598" spans="1:7" ht="14.25" customHeight="1" x14ac:dyDescent="0.3">
      <c r="A598" s="131">
        <v>4129</v>
      </c>
      <c r="B598" s="131" t="s">
        <v>665</v>
      </c>
      <c r="C598" s="135" t="s">
        <v>190</v>
      </c>
      <c r="D598" s="69">
        <v>183</v>
      </c>
      <c r="E598" s="69">
        <v>182.5</v>
      </c>
      <c r="F598" s="170">
        <v>365</v>
      </c>
      <c r="G598" s="136">
        <v>182</v>
      </c>
    </row>
    <row r="599" spans="1:7" ht="14.25" customHeight="1" x14ac:dyDescent="0.3">
      <c r="A599" s="131">
        <v>4130</v>
      </c>
      <c r="B599" s="131" t="s">
        <v>666</v>
      </c>
      <c r="C599" s="135" t="s">
        <v>235</v>
      </c>
      <c r="D599" s="69">
        <v>183</v>
      </c>
      <c r="E599" s="69">
        <v>182.5</v>
      </c>
      <c r="F599" s="170">
        <v>365</v>
      </c>
      <c r="G599" s="136">
        <v>182</v>
      </c>
    </row>
    <row r="600" spans="1:7" ht="14.25" customHeight="1" x14ac:dyDescent="0.3">
      <c r="A600" s="131">
        <v>4131</v>
      </c>
      <c r="B600" s="131" t="s">
        <v>667</v>
      </c>
      <c r="C600" s="135" t="s">
        <v>191</v>
      </c>
      <c r="D600" s="69">
        <v>183</v>
      </c>
      <c r="E600" s="69">
        <v>182.5</v>
      </c>
      <c r="F600" s="170">
        <v>365</v>
      </c>
      <c r="G600" s="136">
        <v>182</v>
      </c>
    </row>
    <row r="601" spans="1:7" ht="14.25" customHeight="1" x14ac:dyDescent="0.3">
      <c r="A601" s="131">
        <v>4132</v>
      </c>
      <c r="B601" s="131" t="s">
        <v>668</v>
      </c>
      <c r="C601" s="135" t="s">
        <v>236</v>
      </c>
      <c r="D601" s="69">
        <v>183</v>
      </c>
      <c r="E601" s="69">
        <v>182.5</v>
      </c>
      <c r="F601" s="170">
        <v>365</v>
      </c>
      <c r="G601" s="136">
        <v>182</v>
      </c>
    </row>
    <row r="602" spans="1:7" ht="14.25" customHeight="1" x14ac:dyDescent="0.3">
      <c r="A602" s="131">
        <v>4133</v>
      </c>
      <c r="B602" s="131" t="s">
        <v>669</v>
      </c>
      <c r="C602" s="135" t="s">
        <v>292</v>
      </c>
      <c r="D602" s="69">
        <v>183</v>
      </c>
      <c r="E602" s="69">
        <v>182.5</v>
      </c>
      <c r="F602" s="170">
        <v>365</v>
      </c>
      <c r="G602" s="136">
        <v>182</v>
      </c>
    </row>
    <row r="603" spans="1:7" ht="14.25" customHeight="1" x14ac:dyDescent="0.3">
      <c r="A603" s="131">
        <v>4134</v>
      </c>
      <c r="B603" s="131" t="s">
        <v>670</v>
      </c>
      <c r="C603" s="135" t="s">
        <v>293</v>
      </c>
      <c r="D603" s="69">
        <v>183</v>
      </c>
      <c r="E603" s="69">
        <v>182.5</v>
      </c>
      <c r="F603" s="170">
        <v>365</v>
      </c>
      <c r="G603" s="136">
        <v>182</v>
      </c>
    </row>
    <row r="604" spans="1:7" ht="14.25" customHeight="1" x14ac:dyDescent="0.3">
      <c r="A604" s="131">
        <v>4135</v>
      </c>
      <c r="B604" s="131" t="s">
        <v>672</v>
      </c>
      <c r="C604" s="135" t="s">
        <v>671</v>
      </c>
      <c r="D604" s="69">
        <v>183</v>
      </c>
      <c r="E604" s="69">
        <v>182.5</v>
      </c>
      <c r="F604" s="170">
        <v>365</v>
      </c>
      <c r="G604" s="136">
        <v>182</v>
      </c>
    </row>
    <row r="605" spans="1:7" ht="14.25" customHeight="1" x14ac:dyDescent="0.3">
      <c r="A605" s="137">
        <v>4141</v>
      </c>
      <c r="B605" s="138" t="s">
        <v>1976</v>
      </c>
      <c r="C605" s="139" t="s">
        <v>1977</v>
      </c>
      <c r="D605" s="69">
        <v>183</v>
      </c>
      <c r="E605" s="69">
        <v>182.5</v>
      </c>
      <c r="F605" s="170">
        <v>365</v>
      </c>
      <c r="G605" s="136">
        <v>182</v>
      </c>
    </row>
    <row r="606" spans="1:7" ht="14.25" customHeight="1" x14ac:dyDescent="0.3">
      <c r="A606" s="137">
        <v>4142</v>
      </c>
      <c r="B606" s="138" t="s">
        <v>1859</v>
      </c>
      <c r="C606" s="139" t="s">
        <v>1860</v>
      </c>
      <c r="D606" s="139">
        <v>183</v>
      </c>
      <c r="E606" s="139">
        <v>182.5</v>
      </c>
      <c r="F606" s="173">
        <v>365</v>
      </c>
      <c r="G606" s="141">
        <v>182</v>
      </c>
    </row>
    <row r="607" spans="1:7" ht="14.25" customHeight="1" x14ac:dyDescent="0.3">
      <c r="A607" s="137">
        <v>4145</v>
      </c>
      <c r="B607" s="138" t="s">
        <v>1978</v>
      </c>
      <c r="C607" s="139" t="s">
        <v>1979</v>
      </c>
      <c r="D607" s="69">
        <v>183</v>
      </c>
      <c r="E607" s="69">
        <v>182.5</v>
      </c>
      <c r="F607" s="170">
        <v>365</v>
      </c>
      <c r="G607" s="136">
        <v>182</v>
      </c>
    </row>
    <row r="608" spans="1:7" ht="14.25" customHeight="1" x14ac:dyDescent="0.3">
      <c r="A608" s="137">
        <v>4147</v>
      </c>
      <c r="B608" s="138" t="s">
        <v>1884</v>
      </c>
      <c r="C608" s="139" t="s">
        <v>1885</v>
      </c>
      <c r="D608" s="69">
        <v>183</v>
      </c>
      <c r="E608" s="69">
        <v>182.5</v>
      </c>
      <c r="F608" s="170">
        <v>365</v>
      </c>
      <c r="G608" s="136">
        <v>182</v>
      </c>
    </row>
    <row r="609" spans="1:7" ht="14.25" customHeight="1" x14ac:dyDescent="0.3">
      <c r="A609" s="137">
        <v>4149</v>
      </c>
      <c r="B609" s="138" t="s">
        <v>1858</v>
      </c>
      <c r="C609" s="139" t="s">
        <v>1851</v>
      </c>
      <c r="D609" s="69">
        <v>183</v>
      </c>
      <c r="E609" s="69">
        <v>182.5</v>
      </c>
      <c r="F609" s="170">
        <v>365</v>
      </c>
      <c r="G609" s="136">
        <v>182</v>
      </c>
    </row>
    <row r="610" spans="1:7" ht="14.25" customHeight="1" x14ac:dyDescent="0.3">
      <c r="A610" s="137">
        <v>4150</v>
      </c>
      <c r="B610" s="138" t="s">
        <v>1980</v>
      </c>
      <c r="C610" s="139" t="s">
        <v>1981</v>
      </c>
      <c r="D610" s="69">
        <v>183</v>
      </c>
      <c r="E610" s="69">
        <v>182.5</v>
      </c>
      <c r="F610" s="170">
        <v>365</v>
      </c>
      <c r="G610" s="136">
        <v>182</v>
      </c>
    </row>
    <row r="611" spans="1:7" ht="14.25" customHeight="1" x14ac:dyDescent="0.3">
      <c r="A611" s="137">
        <v>4151</v>
      </c>
      <c r="B611" s="138" t="s">
        <v>1982</v>
      </c>
      <c r="C611" s="139" t="s">
        <v>1983</v>
      </c>
      <c r="D611" s="69">
        <v>183</v>
      </c>
      <c r="E611" s="69">
        <v>182.5</v>
      </c>
      <c r="F611" s="170">
        <v>365</v>
      </c>
      <c r="G611" s="136">
        <v>182</v>
      </c>
    </row>
    <row r="612" spans="1:7" ht="14.25" customHeight="1" x14ac:dyDescent="0.3">
      <c r="A612" s="137">
        <v>4152</v>
      </c>
      <c r="B612" s="138" t="s">
        <v>1984</v>
      </c>
      <c r="C612" s="139" t="s">
        <v>1985</v>
      </c>
      <c r="D612" s="69">
        <v>183</v>
      </c>
      <c r="E612" s="69">
        <v>182.5</v>
      </c>
      <c r="F612" s="170">
        <v>365</v>
      </c>
      <c r="G612" s="136">
        <v>182</v>
      </c>
    </row>
    <row r="613" spans="1:7" ht="14.25" customHeight="1" x14ac:dyDescent="0.3">
      <c r="A613" s="137">
        <v>4153</v>
      </c>
      <c r="B613" s="138" t="s">
        <v>1986</v>
      </c>
      <c r="C613" s="139" t="s">
        <v>1987</v>
      </c>
      <c r="D613" s="69">
        <v>183</v>
      </c>
      <c r="E613" s="69">
        <v>182.5</v>
      </c>
      <c r="F613" s="170">
        <v>365</v>
      </c>
      <c r="G613" s="136">
        <v>182</v>
      </c>
    </row>
    <row r="614" spans="1:7" ht="14.25" customHeight="1" x14ac:dyDescent="0.3">
      <c r="A614" s="137">
        <v>4154</v>
      </c>
      <c r="B614" s="138" t="s">
        <v>1988</v>
      </c>
      <c r="C614" s="139" t="s">
        <v>1989</v>
      </c>
      <c r="D614" s="69">
        <v>183</v>
      </c>
      <c r="E614" s="69">
        <v>182.5</v>
      </c>
      <c r="F614" s="170">
        <v>365</v>
      </c>
      <c r="G614" s="136">
        <v>182</v>
      </c>
    </row>
    <row r="615" spans="1:7" ht="14.25" customHeight="1" x14ac:dyDescent="0.3">
      <c r="A615" s="137">
        <v>4155</v>
      </c>
      <c r="B615" s="138" t="s">
        <v>1990</v>
      </c>
      <c r="C615" s="139" t="s">
        <v>1991</v>
      </c>
      <c r="D615" s="69">
        <v>183</v>
      </c>
      <c r="E615" s="69">
        <v>182.5</v>
      </c>
      <c r="F615" s="170">
        <v>365</v>
      </c>
      <c r="G615" s="136">
        <v>182</v>
      </c>
    </row>
    <row r="616" spans="1:7" ht="14.25" customHeight="1" x14ac:dyDescent="0.3">
      <c r="A616" s="137">
        <v>4156</v>
      </c>
      <c r="B616" s="138" t="s">
        <v>1992</v>
      </c>
      <c r="C616" s="139" t="s">
        <v>1993</v>
      </c>
      <c r="D616" s="69">
        <v>183</v>
      </c>
      <c r="E616" s="69">
        <v>182.5</v>
      </c>
      <c r="F616" s="170">
        <v>365</v>
      </c>
      <c r="G616" s="136">
        <v>182</v>
      </c>
    </row>
    <row r="617" spans="1:7" ht="14.25" customHeight="1" x14ac:dyDescent="0.3">
      <c r="A617" s="137">
        <v>4157</v>
      </c>
      <c r="B617" s="138" t="s">
        <v>1994</v>
      </c>
      <c r="C617" s="139" t="s">
        <v>1995</v>
      </c>
      <c r="D617" s="69">
        <v>183</v>
      </c>
      <c r="E617" s="69">
        <v>182.5</v>
      </c>
      <c r="F617" s="170">
        <v>365</v>
      </c>
      <c r="G617" s="136">
        <v>182</v>
      </c>
    </row>
    <row r="618" spans="1:7" ht="14.25" customHeight="1" x14ac:dyDescent="0.3">
      <c r="A618" s="137">
        <v>4158</v>
      </c>
      <c r="B618" s="138" t="s">
        <v>1996</v>
      </c>
      <c r="C618" s="139" t="s">
        <v>1997</v>
      </c>
      <c r="D618" s="69">
        <v>183</v>
      </c>
      <c r="E618" s="69">
        <v>182.5</v>
      </c>
      <c r="F618" s="170">
        <v>365</v>
      </c>
      <c r="G618" s="136">
        <v>182</v>
      </c>
    </row>
    <row r="619" spans="1:7" ht="14.25" customHeight="1" x14ac:dyDescent="0.3">
      <c r="A619" s="137">
        <v>4159</v>
      </c>
      <c r="B619" s="138" t="s">
        <v>1998</v>
      </c>
      <c r="C619" s="139" t="s">
        <v>1999</v>
      </c>
      <c r="D619" s="69">
        <v>183</v>
      </c>
      <c r="E619" s="69">
        <v>182.5</v>
      </c>
      <c r="F619" s="170">
        <v>365</v>
      </c>
      <c r="G619" s="136">
        <v>182</v>
      </c>
    </row>
    <row r="620" spans="1:7" ht="14.25" customHeight="1" x14ac:dyDescent="0.3">
      <c r="A620" s="137">
        <v>5292</v>
      </c>
      <c r="B620" s="138" t="s">
        <v>2047</v>
      </c>
      <c r="C620" s="139" t="s">
        <v>2048</v>
      </c>
      <c r="D620" s="69">
        <v>183</v>
      </c>
      <c r="E620" s="69">
        <v>136.5</v>
      </c>
      <c r="F620" s="170">
        <v>273</v>
      </c>
      <c r="G620" s="136">
        <v>90</v>
      </c>
    </row>
    <row r="621" spans="1:7" ht="14.25" customHeight="1" x14ac:dyDescent="0.3">
      <c r="A621" s="137">
        <v>5293</v>
      </c>
      <c r="B621" s="138" t="s">
        <v>2049</v>
      </c>
      <c r="C621" s="139" t="s">
        <v>2048</v>
      </c>
      <c r="D621" s="69">
        <v>183</v>
      </c>
      <c r="E621" s="69">
        <v>136.5</v>
      </c>
      <c r="F621" s="170">
        <v>273</v>
      </c>
      <c r="G621" s="136">
        <v>90</v>
      </c>
    </row>
    <row r="622" spans="1:7" ht="14.25" customHeight="1" x14ac:dyDescent="0.3">
      <c r="A622" s="137">
        <v>5294</v>
      </c>
      <c r="B622" s="138" t="s">
        <v>2050</v>
      </c>
      <c r="C622" s="139" t="s">
        <v>2051</v>
      </c>
      <c r="D622" s="69">
        <v>183</v>
      </c>
      <c r="E622" s="69">
        <v>136.5</v>
      </c>
      <c r="F622" s="170">
        <v>273</v>
      </c>
      <c r="G622" s="136">
        <v>90</v>
      </c>
    </row>
    <row r="623" spans="1:7" ht="14.25" customHeight="1" x14ac:dyDescent="0.3">
      <c r="A623" s="131">
        <v>5297</v>
      </c>
      <c r="B623" s="131" t="s">
        <v>931</v>
      </c>
      <c r="C623" s="135" t="s">
        <v>70</v>
      </c>
      <c r="D623" s="69">
        <v>183</v>
      </c>
      <c r="E623" s="69">
        <v>136.5</v>
      </c>
      <c r="F623" s="170">
        <v>273</v>
      </c>
      <c r="G623" s="136">
        <v>90</v>
      </c>
    </row>
    <row r="624" spans="1:7" ht="14.25" customHeight="1" x14ac:dyDescent="0.3">
      <c r="A624" s="131">
        <v>5298</v>
      </c>
      <c r="B624" s="131" t="s">
        <v>933</v>
      </c>
      <c r="C624" s="135" t="s">
        <v>932</v>
      </c>
      <c r="D624" s="69">
        <v>183</v>
      </c>
      <c r="E624" s="69">
        <v>136.5</v>
      </c>
      <c r="F624" s="170">
        <v>273</v>
      </c>
      <c r="G624" s="136">
        <v>90</v>
      </c>
    </row>
    <row r="625" spans="1:7" ht="14.25" customHeight="1" x14ac:dyDescent="0.3">
      <c r="A625" s="131">
        <v>5303</v>
      </c>
      <c r="B625" s="131" t="s">
        <v>934</v>
      </c>
      <c r="C625" s="135" t="s">
        <v>345</v>
      </c>
      <c r="D625" s="69">
        <v>122</v>
      </c>
      <c r="E625" s="69">
        <v>136.5</v>
      </c>
      <c r="F625" s="170">
        <v>273</v>
      </c>
      <c r="G625" s="136">
        <v>151</v>
      </c>
    </row>
    <row r="626" spans="1:7" ht="14.25" customHeight="1" x14ac:dyDescent="0.3">
      <c r="A626" s="131">
        <v>5304</v>
      </c>
      <c r="B626" s="131" t="s">
        <v>935</v>
      </c>
      <c r="C626" s="135" t="s">
        <v>346</v>
      </c>
      <c r="D626" s="69">
        <v>122</v>
      </c>
      <c r="E626" s="69">
        <v>136.5</v>
      </c>
      <c r="F626" s="170">
        <v>273</v>
      </c>
      <c r="G626" s="136">
        <v>151</v>
      </c>
    </row>
    <row r="627" spans="1:7" ht="14.25" customHeight="1" x14ac:dyDescent="0.3">
      <c r="A627" s="131">
        <v>5305</v>
      </c>
      <c r="B627" s="131" t="s">
        <v>937</v>
      </c>
      <c r="C627" s="135" t="s">
        <v>936</v>
      </c>
      <c r="D627" s="69">
        <v>122</v>
      </c>
      <c r="E627" s="69">
        <v>136.5</v>
      </c>
      <c r="F627" s="170">
        <v>273</v>
      </c>
      <c r="G627" s="136">
        <v>151</v>
      </c>
    </row>
    <row r="628" spans="1:7" ht="14.25" customHeight="1" x14ac:dyDescent="0.3">
      <c r="A628" s="131">
        <v>5321</v>
      </c>
      <c r="B628" s="131" t="s">
        <v>945</v>
      </c>
      <c r="C628" s="135" t="s">
        <v>351</v>
      </c>
      <c r="D628" s="69">
        <v>122</v>
      </c>
      <c r="E628" s="69">
        <v>136.5</v>
      </c>
      <c r="F628" s="170">
        <v>273</v>
      </c>
      <c r="G628" s="136">
        <v>151</v>
      </c>
    </row>
    <row r="629" spans="1:7" ht="14.25" customHeight="1" x14ac:dyDescent="0.3">
      <c r="A629" s="131">
        <v>5322</v>
      </c>
      <c r="B629" s="131" t="s">
        <v>946</v>
      </c>
      <c r="C629" s="135" t="s">
        <v>352</v>
      </c>
      <c r="D629" s="69">
        <v>122</v>
      </c>
      <c r="E629" s="69">
        <v>136.5</v>
      </c>
      <c r="F629" s="170">
        <v>273</v>
      </c>
      <c r="G629" s="136">
        <v>151</v>
      </c>
    </row>
    <row r="630" spans="1:7" ht="14.25" customHeight="1" x14ac:dyDescent="0.3">
      <c r="A630" s="131">
        <v>5323</v>
      </c>
      <c r="B630" s="131" t="s">
        <v>948</v>
      </c>
      <c r="C630" s="135" t="s">
        <v>947</v>
      </c>
      <c r="D630" s="69">
        <v>122</v>
      </c>
      <c r="E630" s="69">
        <v>136.5</v>
      </c>
      <c r="F630" s="170">
        <v>273</v>
      </c>
      <c r="G630" s="136">
        <v>151</v>
      </c>
    </row>
    <row r="631" spans="1:7" ht="14.25" customHeight="1" x14ac:dyDescent="0.3">
      <c r="A631" s="131">
        <v>5324</v>
      </c>
      <c r="B631" s="131" t="s">
        <v>950</v>
      </c>
      <c r="C631" s="135" t="s">
        <v>949</v>
      </c>
      <c r="D631" s="69">
        <v>122</v>
      </c>
      <c r="E631" s="69">
        <v>136.5</v>
      </c>
      <c r="F631" s="170">
        <v>273</v>
      </c>
      <c r="G631" s="136">
        <v>151</v>
      </c>
    </row>
    <row r="632" spans="1:7" ht="14.25" customHeight="1" x14ac:dyDescent="0.3">
      <c r="A632" s="137">
        <v>5325</v>
      </c>
      <c r="B632" s="131" t="s">
        <v>951</v>
      </c>
      <c r="C632" s="139" t="s">
        <v>366</v>
      </c>
      <c r="D632" s="69">
        <v>122</v>
      </c>
      <c r="E632" s="69">
        <v>136.5</v>
      </c>
      <c r="F632" s="170">
        <v>273</v>
      </c>
      <c r="G632" s="136">
        <v>151</v>
      </c>
    </row>
    <row r="633" spans="1:7" ht="14.25" customHeight="1" x14ac:dyDescent="0.3">
      <c r="A633" s="137">
        <v>5326</v>
      </c>
      <c r="B633" s="138" t="s">
        <v>953</v>
      </c>
      <c r="C633" s="139" t="s">
        <v>1706</v>
      </c>
      <c r="D633" s="69">
        <v>183</v>
      </c>
      <c r="E633" s="69">
        <v>182.5</v>
      </c>
      <c r="F633" s="170">
        <v>365</v>
      </c>
      <c r="G633" s="136">
        <v>182</v>
      </c>
    </row>
    <row r="634" spans="1:7" ht="14.25" customHeight="1" x14ac:dyDescent="0.3">
      <c r="A634" s="137">
        <v>5331</v>
      </c>
      <c r="B634" s="131" t="s">
        <v>954</v>
      </c>
      <c r="C634" s="139" t="s">
        <v>1707</v>
      </c>
      <c r="D634" s="69">
        <v>137</v>
      </c>
      <c r="E634" s="69">
        <v>136.5</v>
      </c>
      <c r="F634" s="170">
        <v>273</v>
      </c>
      <c r="G634" s="136">
        <v>136</v>
      </c>
    </row>
    <row r="635" spans="1:7" ht="14.25" customHeight="1" x14ac:dyDescent="0.3">
      <c r="A635" s="137">
        <v>5332</v>
      </c>
      <c r="B635" s="131" t="s">
        <v>955</v>
      </c>
      <c r="C635" s="139" t="s">
        <v>1708</v>
      </c>
      <c r="D635" s="69">
        <v>137</v>
      </c>
      <c r="E635" s="69">
        <v>136.5</v>
      </c>
      <c r="F635" s="170">
        <v>273</v>
      </c>
      <c r="G635" s="136">
        <v>136</v>
      </c>
    </row>
    <row r="636" spans="1:7" ht="14.25" customHeight="1" x14ac:dyDescent="0.3">
      <c r="A636" s="137">
        <v>5333</v>
      </c>
      <c r="B636" s="138" t="s">
        <v>956</v>
      </c>
      <c r="C636" s="139" t="s">
        <v>1709</v>
      </c>
      <c r="D636" s="69">
        <v>137</v>
      </c>
      <c r="E636" s="69">
        <v>136.5</v>
      </c>
      <c r="F636" s="170">
        <v>273</v>
      </c>
      <c r="G636" s="136">
        <v>136</v>
      </c>
    </row>
    <row r="637" spans="1:7" ht="14.25" customHeight="1" x14ac:dyDescent="0.3">
      <c r="A637" s="131">
        <v>6505</v>
      </c>
      <c r="B637" s="131" t="s">
        <v>1166</v>
      </c>
      <c r="C637" s="135" t="s">
        <v>1165</v>
      </c>
      <c r="D637" s="69">
        <v>122</v>
      </c>
      <c r="E637" s="69">
        <v>136.5</v>
      </c>
      <c r="F637" s="170">
        <v>273</v>
      </c>
      <c r="G637" s="136">
        <v>151</v>
      </c>
    </row>
    <row r="638" spans="1:7" ht="14.25" customHeight="1" x14ac:dyDescent="0.3">
      <c r="A638" s="131">
        <v>6506</v>
      </c>
      <c r="B638" s="131" t="s">
        <v>1168</v>
      </c>
      <c r="C638" s="135" t="s">
        <v>1167</v>
      </c>
      <c r="D638" s="69">
        <v>183</v>
      </c>
      <c r="E638" s="69">
        <v>182.5</v>
      </c>
      <c r="F638" s="170">
        <v>365</v>
      </c>
      <c r="G638" s="136">
        <v>182</v>
      </c>
    </row>
    <row r="639" spans="1:7" ht="14.25" customHeight="1" x14ac:dyDescent="0.3">
      <c r="A639" s="131">
        <v>6509</v>
      </c>
      <c r="B639" s="131" t="s">
        <v>1169</v>
      </c>
      <c r="C639" s="135" t="s">
        <v>266</v>
      </c>
      <c r="D639" s="69">
        <v>122</v>
      </c>
      <c r="E639" s="69">
        <v>136.5</v>
      </c>
      <c r="F639" s="170">
        <v>273</v>
      </c>
      <c r="G639" s="136">
        <v>151</v>
      </c>
    </row>
    <row r="640" spans="1:7" ht="14.25" customHeight="1" x14ac:dyDescent="0.3">
      <c r="A640" s="131">
        <v>6510</v>
      </c>
      <c r="B640" s="131" t="s">
        <v>1171</v>
      </c>
      <c r="C640" s="135" t="s">
        <v>280</v>
      </c>
      <c r="D640" s="69">
        <v>183</v>
      </c>
      <c r="E640" s="69">
        <v>182.5</v>
      </c>
      <c r="F640" s="170">
        <v>365</v>
      </c>
      <c r="G640" s="136">
        <v>182</v>
      </c>
    </row>
    <row r="641" spans="1:10" ht="14.25" customHeight="1" x14ac:dyDescent="0.3">
      <c r="A641" s="131">
        <v>6526</v>
      </c>
      <c r="B641" s="131" t="s">
        <v>1175</v>
      </c>
      <c r="C641" s="135" t="s">
        <v>274</v>
      </c>
      <c r="D641" s="69">
        <v>122</v>
      </c>
      <c r="E641" s="69">
        <v>136.5</v>
      </c>
      <c r="F641" s="170">
        <v>273</v>
      </c>
      <c r="G641" s="136">
        <v>151</v>
      </c>
    </row>
    <row r="642" spans="1:10" ht="14.25" customHeight="1" x14ac:dyDescent="0.3">
      <c r="A642" s="131">
        <v>6527</v>
      </c>
      <c r="B642" s="131" t="s">
        <v>1176</v>
      </c>
      <c r="C642" s="135" t="s">
        <v>275</v>
      </c>
      <c r="D642" s="69">
        <v>183</v>
      </c>
      <c r="E642" s="69">
        <v>182.5</v>
      </c>
      <c r="F642" s="170">
        <v>365</v>
      </c>
      <c r="G642" s="136">
        <v>182</v>
      </c>
    </row>
    <row r="643" spans="1:10" ht="14.25" customHeight="1" x14ac:dyDescent="0.3">
      <c r="A643" s="131">
        <v>6528</v>
      </c>
      <c r="B643" s="131" t="s">
        <v>1178</v>
      </c>
      <c r="C643" s="135" t="s">
        <v>1177</v>
      </c>
      <c r="D643" s="69">
        <v>122</v>
      </c>
      <c r="E643" s="69">
        <v>136.5</v>
      </c>
      <c r="F643" s="170">
        <v>273</v>
      </c>
      <c r="G643" s="136">
        <v>151</v>
      </c>
    </row>
    <row r="644" spans="1:10" ht="14.25" customHeight="1" x14ac:dyDescent="0.3">
      <c r="A644" s="131">
        <v>6529</v>
      </c>
      <c r="B644" s="131" t="s">
        <v>1181</v>
      </c>
      <c r="C644" s="135" t="s">
        <v>1180</v>
      </c>
      <c r="D644" s="69">
        <v>122</v>
      </c>
      <c r="E644" s="69">
        <v>136.5</v>
      </c>
      <c r="F644" s="170">
        <v>273</v>
      </c>
      <c r="G644" s="136">
        <v>151</v>
      </c>
    </row>
    <row r="645" spans="1:10" ht="14.25" customHeight="1" x14ac:dyDescent="0.3">
      <c r="A645" s="137">
        <v>6530</v>
      </c>
      <c r="B645" s="138" t="s">
        <v>1182</v>
      </c>
      <c r="C645" s="139" t="s">
        <v>1183</v>
      </c>
      <c r="D645" s="69">
        <v>122</v>
      </c>
      <c r="E645" s="69">
        <v>136.5</v>
      </c>
      <c r="F645" s="170">
        <v>273</v>
      </c>
      <c r="G645" s="136">
        <v>151</v>
      </c>
    </row>
    <row r="646" spans="1:10" ht="14.25" customHeight="1" x14ac:dyDescent="0.3">
      <c r="A646" s="137">
        <v>6531</v>
      </c>
      <c r="B646" s="138" t="s">
        <v>1184</v>
      </c>
      <c r="C646" s="139" t="s">
        <v>1185</v>
      </c>
      <c r="D646" s="69">
        <v>183</v>
      </c>
      <c r="E646" s="69">
        <v>182.5</v>
      </c>
      <c r="F646" s="170">
        <v>365</v>
      </c>
      <c r="G646" s="136">
        <v>182</v>
      </c>
    </row>
    <row r="647" spans="1:10" ht="14.25" customHeight="1" x14ac:dyDescent="0.3">
      <c r="A647" s="137">
        <v>6534</v>
      </c>
      <c r="B647" s="138" t="s">
        <v>1186</v>
      </c>
      <c r="C647" s="139" t="s">
        <v>1187</v>
      </c>
      <c r="D647" s="69">
        <v>122</v>
      </c>
      <c r="E647" s="69">
        <v>136.5</v>
      </c>
      <c r="F647" s="170">
        <v>273</v>
      </c>
      <c r="G647" s="136">
        <v>151</v>
      </c>
    </row>
    <row r="648" spans="1:10" ht="14.25" customHeight="1" x14ac:dyDescent="0.3">
      <c r="A648" s="131">
        <v>6538</v>
      </c>
      <c r="B648" s="131" t="s">
        <v>1188</v>
      </c>
      <c r="C648" s="135" t="s">
        <v>276</v>
      </c>
      <c r="D648" s="69">
        <v>122</v>
      </c>
      <c r="E648" s="69">
        <v>136.5</v>
      </c>
      <c r="F648" s="170">
        <v>273</v>
      </c>
      <c r="G648" s="136">
        <v>151</v>
      </c>
    </row>
    <row r="649" spans="1:10" ht="14.25" customHeight="1" x14ac:dyDescent="0.3">
      <c r="A649" s="131">
        <v>6539</v>
      </c>
      <c r="B649" s="131" t="s">
        <v>1189</v>
      </c>
      <c r="C649" s="135" t="s">
        <v>277</v>
      </c>
      <c r="D649" s="69">
        <v>183</v>
      </c>
      <c r="E649" s="69">
        <v>182.5</v>
      </c>
      <c r="F649" s="170">
        <v>365</v>
      </c>
      <c r="G649" s="136">
        <v>182</v>
      </c>
    </row>
    <row r="650" spans="1:10" ht="14.25" customHeight="1" x14ac:dyDescent="0.3">
      <c r="A650" s="131">
        <v>6540</v>
      </c>
      <c r="B650" s="131" t="s">
        <v>1191</v>
      </c>
      <c r="C650" s="135" t="s">
        <v>1190</v>
      </c>
      <c r="D650" s="69">
        <v>122</v>
      </c>
      <c r="E650" s="69">
        <v>136.5</v>
      </c>
      <c r="F650" s="170">
        <v>273</v>
      </c>
      <c r="G650" s="136">
        <v>151</v>
      </c>
    </row>
    <row r="651" spans="1:10" ht="14.25" customHeight="1" x14ac:dyDescent="0.3">
      <c r="A651" s="131">
        <v>6555</v>
      </c>
      <c r="B651" s="131" t="s">
        <v>1200</v>
      </c>
      <c r="C651" s="135" t="s">
        <v>282</v>
      </c>
      <c r="D651" s="69">
        <v>122</v>
      </c>
      <c r="E651" s="69">
        <v>136.5</v>
      </c>
      <c r="F651" s="170">
        <v>273</v>
      </c>
      <c r="G651" s="136">
        <v>151</v>
      </c>
    </row>
    <row r="652" spans="1:10" ht="14.25" customHeight="1" x14ac:dyDescent="0.3">
      <c r="A652" s="131">
        <v>6556</v>
      </c>
      <c r="B652" s="131" t="s">
        <v>1201</v>
      </c>
      <c r="C652" s="135" t="s">
        <v>283</v>
      </c>
      <c r="D652" s="69">
        <v>183</v>
      </c>
      <c r="E652" s="69">
        <v>182.5</v>
      </c>
      <c r="F652" s="170">
        <v>365</v>
      </c>
      <c r="G652" s="136">
        <v>182</v>
      </c>
      <c r="H652" s="142"/>
    </row>
    <row r="653" spans="1:10" ht="14.25" customHeight="1" x14ac:dyDescent="0.3">
      <c r="A653" s="131">
        <v>6557</v>
      </c>
      <c r="B653" s="131" t="s">
        <v>1203</v>
      </c>
      <c r="C653" s="135" t="s">
        <v>1202</v>
      </c>
      <c r="D653" s="69">
        <v>122</v>
      </c>
      <c r="E653" s="69">
        <v>136.5</v>
      </c>
      <c r="F653" s="170">
        <v>273</v>
      </c>
      <c r="G653" s="136">
        <v>151</v>
      </c>
    </row>
    <row r="654" spans="1:10" ht="14.25" customHeight="1" x14ac:dyDescent="0.3">
      <c r="A654" s="131">
        <v>6559</v>
      </c>
      <c r="B654" s="131" t="s">
        <v>1204</v>
      </c>
      <c r="C654" s="135" t="s">
        <v>149</v>
      </c>
      <c r="D654" s="69">
        <v>183</v>
      </c>
      <c r="E654" s="69">
        <v>182.5</v>
      </c>
      <c r="F654" s="170">
        <v>365</v>
      </c>
      <c r="G654" s="136">
        <v>182</v>
      </c>
      <c r="H654" s="143"/>
      <c r="I654" s="144"/>
      <c r="J654" s="144"/>
    </row>
    <row r="655" spans="1:10" ht="14.25" customHeight="1" x14ac:dyDescent="0.3">
      <c r="A655" s="137">
        <v>6577</v>
      </c>
      <c r="B655" s="138" t="s">
        <v>2118</v>
      </c>
      <c r="C655" s="139" t="s">
        <v>2119</v>
      </c>
      <c r="D655" s="69">
        <v>122</v>
      </c>
      <c r="E655" s="69">
        <v>136.5</v>
      </c>
      <c r="F655" s="170">
        <v>273</v>
      </c>
      <c r="G655" s="136">
        <v>151</v>
      </c>
    </row>
    <row r="656" spans="1:10" ht="14.25" customHeight="1" x14ac:dyDescent="0.3">
      <c r="A656" s="137">
        <v>6578</v>
      </c>
      <c r="B656" s="138" t="s">
        <v>2120</v>
      </c>
      <c r="C656" s="139" t="s">
        <v>2121</v>
      </c>
      <c r="D656" s="69">
        <v>122</v>
      </c>
      <c r="E656" s="69">
        <v>136.5</v>
      </c>
      <c r="F656" s="170">
        <v>273</v>
      </c>
      <c r="G656" s="136">
        <v>151</v>
      </c>
      <c r="I656" s="145"/>
    </row>
    <row r="657" spans="1:9" ht="14.25" customHeight="1" x14ac:dyDescent="0.3">
      <c r="A657" s="137">
        <v>6579</v>
      </c>
      <c r="B657" s="138" t="s">
        <v>2122</v>
      </c>
      <c r="C657" s="139" t="s">
        <v>2123</v>
      </c>
      <c r="D657" s="69">
        <v>122</v>
      </c>
      <c r="E657" s="69">
        <v>136.5</v>
      </c>
      <c r="F657" s="170">
        <v>273</v>
      </c>
      <c r="G657" s="136">
        <v>151</v>
      </c>
      <c r="I657" s="143"/>
    </row>
    <row r="658" spans="1:9" ht="14.25" customHeight="1" x14ac:dyDescent="0.3">
      <c r="A658" s="137">
        <v>6587</v>
      </c>
      <c r="B658" s="138" t="s">
        <v>2124</v>
      </c>
      <c r="C658" s="139" t="s">
        <v>2125</v>
      </c>
      <c r="D658" s="69">
        <v>183</v>
      </c>
      <c r="E658" s="69">
        <v>182.5</v>
      </c>
      <c r="F658" s="170">
        <v>365</v>
      </c>
      <c r="G658" s="136">
        <v>182</v>
      </c>
    </row>
    <row r="659" spans="1:9" ht="14.25" customHeight="1" x14ac:dyDescent="0.3">
      <c r="A659" s="137">
        <v>6588</v>
      </c>
      <c r="B659" s="138" t="s">
        <v>1889</v>
      </c>
      <c r="C659" s="139" t="s">
        <v>1890</v>
      </c>
      <c r="D659" s="69">
        <v>183</v>
      </c>
      <c r="E659" s="69">
        <v>182.5</v>
      </c>
      <c r="F659" s="170">
        <v>365</v>
      </c>
      <c r="G659" s="136">
        <v>182</v>
      </c>
    </row>
    <row r="660" spans="1:9" ht="14.25" customHeight="1" x14ac:dyDescent="0.3">
      <c r="A660" s="137">
        <v>6589</v>
      </c>
      <c r="B660" s="138" t="s">
        <v>2126</v>
      </c>
      <c r="C660" s="139" t="s">
        <v>2127</v>
      </c>
      <c r="D660" s="69">
        <v>183</v>
      </c>
      <c r="E660" s="69">
        <v>182.5</v>
      </c>
      <c r="F660" s="170">
        <v>365</v>
      </c>
      <c r="G660" s="136">
        <v>182</v>
      </c>
    </row>
    <row r="661" spans="1:9" ht="14.25" customHeight="1" x14ac:dyDescent="0.3">
      <c r="A661" s="137">
        <v>6590</v>
      </c>
      <c r="B661" s="138" t="s">
        <v>2128</v>
      </c>
      <c r="C661" s="139" t="s">
        <v>2129</v>
      </c>
      <c r="D661" s="69">
        <v>183</v>
      </c>
      <c r="E661" s="69">
        <v>182.5</v>
      </c>
      <c r="F661" s="170">
        <v>365</v>
      </c>
      <c r="G661" s="136">
        <v>182</v>
      </c>
    </row>
    <row r="662" spans="1:9" ht="14.25" customHeight="1" x14ac:dyDescent="0.3">
      <c r="A662" s="137">
        <v>6591</v>
      </c>
      <c r="B662" s="138" t="s">
        <v>2130</v>
      </c>
      <c r="C662" s="139" t="s">
        <v>2131</v>
      </c>
      <c r="D662" s="69">
        <v>183</v>
      </c>
      <c r="E662" s="69">
        <v>182.5</v>
      </c>
      <c r="F662" s="170">
        <v>365</v>
      </c>
      <c r="G662" s="136">
        <v>182</v>
      </c>
    </row>
    <row r="663" spans="1:9" ht="14.25" customHeight="1" x14ac:dyDescent="0.3">
      <c r="A663" s="137">
        <v>6592</v>
      </c>
      <c r="B663" s="138" t="s">
        <v>2132</v>
      </c>
      <c r="C663" s="139" t="s">
        <v>2133</v>
      </c>
      <c r="D663" s="69">
        <v>183</v>
      </c>
      <c r="E663" s="69">
        <v>182.5</v>
      </c>
      <c r="F663" s="170">
        <v>365</v>
      </c>
      <c r="G663" s="136">
        <v>182</v>
      </c>
    </row>
    <row r="664" spans="1:9" ht="14.25" customHeight="1" x14ac:dyDescent="0.3">
      <c r="A664" s="137">
        <v>6600</v>
      </c>
      <c r="B664" s="138" t="s">
        <v>2263</v>
      </c>
      <c r="C664" s="139" t="s">
        <v>2264</v>
      </c>
      <c r="D664" s="69">
        <v>122</v>
      </c>
      <c r="E664" s="69">
        <v>136.5</v>
      </c>
      <c r="F664" s="170">
        <v>273</v>
      </c>
      <c r="G664" s="136">
        <v>151</v>
      </c>
    </row>
    <row r="665" spans="1:9" ht="14.25" customHeight="1" x14ac:dyDescent="0.3">
      <c r="A665" s="131">
        <v>6681</v>
      </c>
      <c r="B665" s="131" t="s">
        <v>1211</v>
      </c>
      <c r="C665" s="135" t="s">
        <v>150</v>
      </c>
      <c r="D665" s="69">
        <v>183</v>
      </c>
      <c r="E665" s="69">
        <v>182.5</v>
      </c>
      <c r="F665" s="170">
        <v>365</v>
      </c>
      <c r="G665" s="136">
        <v>182</v>
      </c>
    </row>
    <row r="666" spans="1:9" ht="14.25" customHeight="1" x14ac:dyDescent="0.3">
      <c r="A666" s="131">
        <v>6682</v>
      </c>
      <c r="B666" s="131" t="s">
        <v>1212</v>
      </c>
      <c r="C666" s="135" t="s">
        <v>151</v>
      </c>
      <c r="D666" s="69">
        <v>183</v>
      </c>
      <c r="E666" s="69">
        <v>182.5</v>
      </c>
      <c r="F666" s="170">
        <v>365</v>
      </c>
      <c r="G666" s="136">
        <v>182</v>
      </c>
    </row>
    <row r="667" spans="1:9" ht="14.25" customHeight="1" x14ac:dyDescent="0.3">
      <c r="A667" s="131">
        <v>6685</v>
      </c>
      <c r="B667" s="131" t="s">
        <v>1213</v>
      </c>
      <c r="C667" s="135" t="s">
        <v>152</v>
      </c>
      <c r="D667" s="69">
        <v>183</v>
      </c>
      <c r="E667" s="69">
        <v>182.5</v>
      </c>
      <c r="F667" s="170">
        <v>365</v>
      </c>
      <c r="G667" s="136">
        <v>182</v>
      </c>
    </row>
    <row r="668" spans="1:9" ht="14.25" customHeight="1" x14ac:dyDescent="0.3">
      <c r="A668" s="131">
        <v>6686</v>
      </c>
      <c r="B668" s="131" t="s">
        <v>1214</v>
      </c>
      <c r="C668" s="135" t="s">
        <v>153</v>
      </c>
      <c r="D668" s="69">
        <v>183</v>
      </c>
      <c r="E668" s="69">
        <v>182.5</v>
      </c>
      <c r="F668" s="170">
        <v>365</v>
      </c>
      <c r="G668" s="136">
        <v>182</v>
      </c>
    </row>
    <row r="669" spans="1:9" ht="14.25" customHeight="1" x14ac:dyDescent="0.3">
      <c r="A669" s="131">
        <v>6687</v>
      </c>
      <c r="B669" s="131" t="s">
        <v>1215</v>
      </c>
      <c r="C669" s="135" t="s">
        <v>154</v>
      </c>
      <c r="D669" s="69">
        <v>183</v>
      </c>
      <c r="E669" s="69">
        <v>182.5</v>
      </c>
      <c r="F669" s="170">
        <v>365</v>
      </c>
      <c r="G669" s="136">
        <v>182</v>
      </c>
    </row>
    <row r="670" spans="1:9" ht="14.25" customHeight="1" x14ac:dyDescent="0.3">
      <c r="A670" s="131">
        <v>6688</v>
      </c>
      <c r="B670" s="131" t="s">
        <v>1216</v>
      </c>
      <c r="C670" s="135" t="s">
        <v>155</v>
      </c>
      <c r="D670" s="69">
        <v>183</v>
      </c>
      <c r="E670" s="69">
        <v>182.5</v>
      </c>
      <c r="F670" s="170">
        <v>365</v>
      </c>
      <c r="G670" s="136">
        <v>182</v>
      </c>
    </row>
    <row r="671" spans="1:9" ht="14.25" customHeight="1" x14ac:dyDescent="0.3">
      <c r="A671" s="131">
        <v>6689</v>
      </c>
      <c r="B671" s="131" t="s">
        <v>1217</v>
      </c>
      <c r="C671" s="135" t="s">
        <v>156</v>
      </c>
      <c r="D671" s="69">
        <v>183</v>
      </c>
      <c r="E671" s="69">
        <v>182.5</v>
      </c>
      <c r="F671" s="170">
        <v>365</v>
      </c>
      <c r="G671" s="136">
        <v>182</v>
      </c>
    </row>
    <row r="672" spans="1:9" ht="14.25" customHeight="1" x14ac:dyDescent="0.3">
      <c r="A672" s="131">
        <v>6690</v>
      </c>
      <c r="B672" s="131" t="s">
        <v>1219</v>
      </c>
      <c r="C672" s="135" t="s">
        <v>1218</v>
      </c>
      <c r="D672" s="69">
        <v>183</v>
      </c>
      <c r="E672" s="69">
        <v>182.5</v>
      </c>
      <c r="F672" s="170">
        <v>365</v>
      </c>
      <c r="G672" s="136">
        <v>182</v>
      </c>
    </row>
    <row r="673" spans="1:7" ht="14.25" customHeight="1" x14ac:dyDescent="0.3">
      <c r="A673" s="131">
        <v>6691</v>
      </c>
      <c r="B673" s="131" t="s">
        <v>1220</v>
      </c>
      <c r="C673" s="135" t="s">
        <v>89</v>
      </c>
      <c r="D673" s="69">
        <v>122</v>
      </c>
      <c r="E673" s="69">
        <v>136.5</v>
      </c>
      <c r="F673" s="170">
        <v>273</v>
      </c>
      <c r="G673" s="136">
        <v>151</v>
      </c>
    </row>
    <row r="674" spans="1:7" ht="14.25" customHeight="1" x14ac:dyDescent="0.3">
      <c r="A674" s="131">
        <v>6694</v>
      </c>
      <c r="B674" s="131" t="s">
        <v>1222</v>
      </c>
      <c r="C674" s="135" t="s">
        <v>1221</v>
      </c>
      <c r="D674" s="69">
        <v>183</v>
      </c>
      <c r="E674" s="69">
        <v>182.5</v>
      </c>
      <c r="F674" s="170">
        <v>365</v>
      </c>
      <c r="G674" s="136">
        <v>182</v>
      </c>
    </row>
    <row r="675" spans="1:7" ht="14.25" customHeight="1" x14ac:dyDescent="0.3">
      <c r="A675" s="131">
        <v>6695</v>
      </c>
      <c r="B675" s="131" t="s">
        <v>1223</v>
      </c>
      <c r="C675" s="135" t="s">
        <v>90</v>
      </c>
      <c r="D675" s="69">
        <v>122</v>
      </c>
      <c r="E675" s="69">
        <v>136.5</v>
      </c>
      <c r="F675" s="170">
        <v>273</v>
      </c>
      <c r="G675" s="136">
        <v>151</v>
      </c>
    </row>
    <row r="676" spans="1:7" ht="14.25" customHeight="1" x14ac:dyDescent="0.3">
      <c r="A676" s="131">
        <v>6700</v>
      </c>
      <c r="B676" s="131" t="s">
        <v>1224</v>
      </c>
      <c r="C676" s="135" t="s">
        <v>271</v>
      </c>
      <c r="D676" s="69">
        <v>122</v>
      </c>
      <c r="E676" s="69">
        <v>136.5</v>
      </c>
      <c r="F676" s="170">
        <v>273</v>
      </c>
      <c r="G676" s="136">
        <v>151</v>
      </c>
    </row>
    <row r="677" spans="1:7" ht="14.25" customHeight="1" x14ac:dyDescent="0.3">
      <c r="A677" s="131">
        <v>6701</v>
      </c>
      <c r="B677" s="131" t="s">
        <v>1225</v>
      </c>
      <c r="C677" s="135" t="s">
        <v>272</v>
      </c>
      <c r="D677" s="69">
        <v>183</v>
      </c>
      <c r="E677" s="69">
        <v>182.5</v>
      </c>
      <c r="F677" s="170">
        <v>365</v>
      </c>
      <c r="G677" s="136">
        <v>182</v>
      </c>
    </row>
    <row r="678" spans="1:7" ht="14.25" customHeight="1" x14ac:dyDescent="0.3">
      <c r="A678" s="131">
        <v>6705</v>
      </c>
      <c r="B678" s="131" t="s">
        <v>1226</v>
      </c>
      <c r="C678" s="135" t="s">
        <v>267</v>
      </c>
      <c r="D678" s="69">
        <v>122</v>
      </c>
      <c r="E678" s="69">
        <v>136.5</v>
      </c>
      <c r="F678" s="170">
        <v>273</v>
      </c>
      <c r="G678" s="136">
        <v>151</v>
      </c>
    </row>
    <row r="679" spans="1:7" ht="14.25" customHeight="1" x14ac:dyDescent="0.3">
      <c r="A679" s="131">
        <v>6706</v>
      </c>
      <c r="B679" s="131" t="s">
        <v>1228</v>
      </c>
      <c r="C679" s="135" t="s">
        <v>2303</v>
      </c>
      <c r="D679" s="69">
        <v>183</v>
      </c>
      <c r="E679" s="69">
        <v>182.5</v>
      </c>
      <c r="F679" s="170">
        <v>365</v>
      </c>
      <c r="G679" s="136">
        <v>182</v>
      </c>
    </row>
    <row r="680" spans="1:7" ht="14.25" customHeight="1" x14ac:dyDescent="0.3">
      <c r="A680" s="131">
        <v>6708</v>
      </c>
      <c r="B680" s="131" t="s">
        <v>1229</v>
      </c>
      <c r="C680" s="135" t="s">
        <v>157</v>
      </c>
      <c r="D680" s="69">
        <v>183</v>
      </c>
      <c r="E680" s="69">
        <v>182.5</v>
      </c>
      <c r="F680" s="170">
        <v>365</v>
      </c>
      <c r="G680" s="136">
        <v>182</v>
      </c>
    </row>
    <row r="681" spans="1:7" ht="14.25" customHeight="1" x14ac:dyDescent="0.3">
      <c r="A681" s="131">
        <v>6709</v>
      </c>
      <c r="B681" s="131" t="s">
        <v>1230</v>
      </c>
      <c r="C681" s="135" t="s">
        <v>158</v>
      </c>
      <c r="D681" s="69">
        <v>183</v>
      </c>
      <c r="E681" s="69">
        <v>182.5</v>
      </c>
      <c r="F681" s="170">
        <v>365</v>
      </c>
      <c r="G681" s="136">
        <v>182</v>
      </c>
    </row>
    <row r="682" spans="1:7" ht="14.25" customHeight="1" x14ac:dyDescent="0.3">
      <c r="A682" s="131">
        <v>6710</v>
      </c>
      <c r="B682" s="131" t="s">
        <v>1231</v>
      </c>
      <c r="C682" s="135" t="s">
        <v>278</v>
      </c>
      <c r="D682" s="69">
        <v>122</v>
      </c>
      <c r="E682" s="69">
        <v>136.5</v>
      </c>
      <c r="F682" s="170">
        <v>273</v>
      </c>
      <c r="G682" s="136">
        <v>151</v>
      </c>
    </row>
    <row r="683" spans="1:7" ht="14.25" customHeight="1" x14ac:dyDescent="0.3">
      <c r="A683" s="131">
        <v>6711</v>
      </c>
      <c r="B683" s="131" t="s">
        <v>1232</v>
      </c>
      <c r="C683" s="135" t="s">
        <v>279</v>
      </c>
      <c r="D683" s="69">
        <v>183</v>
      </c>
      <c r="E683" s="69">
        <v>182.5</v>
      </c>
      <c r="F683" s="170">
        <v>365</v>
      </c>
      <c r="G683" s="136">
        <v>182</v>
      </c>
    </row>
    <row r="684" spans="1:7" ht="14.25" customHeight="1" x14ac:dyDescent="0.3">
      <c r="A684" s="131">
        <v>6712</v>
      </c>
      <c r="B684" s="131" t="s">
        <v>649</v>
      </c>
      <c r="C684" s="135" t="s">
        <v>91</v>
      </c>
      <c r="D684" s="69">
        <v>122</v>
      </c>
      <c r="E684" s="69">
        <v>136.5</v>
      </c>
      <c r="F684" s="170">
        <v>273</v>
      </c>
      <c r="G684" s="136">
        <v>151</v>
      </c>
    </row>
    <row r="685" spans="1:7" ht="14.25" customHeight="1" x14ac:dyDescent="0.3">
      <c r="A685" s="131">
        <v>6718</v>
      </c>
      <c r="B685" s="131" t="s">
        <v>1710</v>
      </c>
      <c r="C685" s="135" t="s">
        <v>404</v>
      </c>
      <c r="D685" s="69">
        <v>122</v>
      </c>
      <c r="E685" s="69">
        <v>136.5</v>
      </c>
      <c r="F685" s="170">
        <v>273</v>
      </c>
      <c r="G685" s="136">
        <v>151</v>
      </c>
    </row>
    <row r="686" spans="1:7" ht="14.25" customHeight="1" x14ac:dyDescent="0.3">
      <c r="A686" s="131">
        <v>6736</v>
      </c>
      <c r="B686" s="131" t="s">
        <v>1233</v>
      </c>
      <c r="C686" s="135" t="s">
        <v>270</v>
      </c>
      <c r="D686" s="69">
        <v>183</v>
      </c>
      <c r="E686" s="69">
        <v>182.5</v>
      </c>
      <c r="F686" s="170">
        <v>365</v>
      </c>
      <c r="G686" s="136">
        <v>182</v>
      </c>
    </row>
    <row r="687" spans="1:7" ht="14.25" customHeight="1" x14ac:dyDescent="0.3">
      <c r="A687" s="131">
        <v>6738</v>
      </c>
      <c r="B687" s="131" t="s">
        <v>1235</v>
      </c>
      <c r="C687" s="135" t="s">
        <v>1234</v>
      </c>
      <c r="D687" s="69">
        <v>183</v>
      </c>
      <c r="E687" s="69">
        <v>182.5</v>
      </c>
      <c r="F687" s="170">
        <v>365</v>
      </c>
      <c r="G687" s="136">
        <v>182</v>
      </c>
    </row>
    <row r="688" spans="1:7" ht="14.25" customHeight="1" x14ac:dyDescent="0.3">
      <c r="A688" s="131">
        <v>6985</v>
      </c>
      <c r="B688" s="131" t="s">
        <v>1259</v>
      </c>
      <c r="C688" s="135" t="s">
        <v>1258</v>
      </c>
      <c r="D688" s="69">
        <v>122</v>
      </c>
      <c r="E688" s="69">
        <v>136.5</v>
      </c>
      <c r="F688" s="170">
        <v>273</v>
      </c>
      <c r="G688" s="136">
        <v>151</v>
      </c>
    </row>
    <row r="689" spans="1:7" ht="14.25" customHeight="1" x14ac:dyDescent="0.3">
      <c r="A689" s="131">
        <v>6986</v>
      </c>
      <c r="B689" s="131" t="s">
        <v>1261</v>
      </c>
      <c r="C689" s="135" t="s">
        <v>1260</v>
      </c>
      <c r="D689" s="69">
        <v>122</v>
      </c>
      <c r="E689" s="69">
        <v>136.5</v>
      </c>
      <c r="F689" s="170">
        <v>273</v>
      </c>
      <c r="G689" s="136">
        <v>151</v>
      </c>
    </row>
    <row r="690" spans="1:7" ht="14.25" customHeight="1" x14ac:dyDescent="0.3">
      <c r="A690" s="131">
        <v>6991</v>
      </c>
      <c r="B690" s="131" t="s">
        <v>1263</v>
      </c>
      <c r="C690" s="135" t="s">
        <v>1262</v>
      </c>
      <c r="D690" s="69">
        <v>122</v>
      </c>
      <c r="E690" s="69">
        <v>136.5</v>
      </c>
      <c r="F690" s="170">
        <v>273</v>
      </c>
      <c r="G690" s="136">
        <v>151</v>
      </c>
    </row>
    <row r="691" spans="1:7" ht="14.25" customHeight="1" x14ac:dyDescent="0.3">
      <c r="A691" s="131">
        <v>6992</v>
      </c>
      <c r="B691" s="131" t="s">
        <v>1265</v>
      </c>
      <c r="C691" s="135" t="s">
        <v>1264</v>
      </c>
      <c r="D691" s="69">
        <v>122</v>
      </c>
      <c r="E691" s="69">
        <v>136.5</v>
      </c>
      <c r="F691" s="170">
        <v>273</v>
      </c>
      <c r="G691" s="136">
        <v>151</v>
      </c>
    </row>
    <row r="692" spans="1:7" ht="14.25" customHeight="1" x14ac:dyDescent="0.3">
      <c r="A692" s="131">
        <v>6993</v>
      </c>
      <c r="B692" s="131" t="s">
        <v>1267</v>
      </c>
      <c r="C692" s="135" t="s">
        <v>1266</v>
      </c>
      <c r="D692" s="69">
        <v>122</v>
      </c>
      <c r="E692" s="69">
        <v>136.5</v>
      </c>
      <c r="F692" s="170">
        <v>273</v>
      </c>
      <c r="G692" s="136">
        <v>151</v>
      </c>
    </row>
    <row r="693" spans="1:7" ht="14.25" customHeight="1" x14ac:dyDescent="0.3">
      <c r="A693" s="131">
        <v>6994</v>
      </c>
      <c r="B693" s="131" t="s">
        <v>1269</v>
      </c>
      <c r="C693" s="135" t="s">
        <v>1268</v>
      </c>
      <c r="D693" s="69">
        <v>122</v>
      </c>
      <c r="E693" s="69">
        <v>136.5</v>
      </c>
      <c r="F693" s="170">
        <v>273</v>
      </c>
      <c r="G693" s="136">
        <v>151</v>
      </c>
    </row>
    <row r="694" spans="1:7" ht="14.25" customHeight="1" x14ac:dyDescent="0.3">
      <c r="A694" s="137">
        <v>7001</v>
      </c>
      <c r="B694" s="131" t="s">
        <v>1271</v>
      </c>
      <c r="C694" s="139" t="s">
        <v>407</v>
      </c>
      <c r="D694" s="69">
        <v>137</v>
      </c>
      <c r="E694" s="69">
        <v>136.5</v>
      </c>
      <c r="F694" s="170">
        <v>273</v>
      </c>
      <c r="G694" s="136">
        <v>136</v>
      </c>
    </row>
    <row r="695" spans="1:7" ht="14.25" customHeight="1" x14ac:dyDescent="0.3">
      <c r="A695" s="137">
        <v>7002</v>
      </c>
      <c r="B695" s="131" t="s">
        <v>1272</v>
      </c>
      <c r="C695" s="139" t="s">
        <v>1711</v>
      </c>
      <c r="D695" s="69">
        <v>137</v>
      </c>
      <c r="E695" s="69">
        <v>136.5</v>
      </c>
      <c r="F695" s="170">
        <v>273</v>
      </c>
      <c r="G695" s="136">
        <v>136</v>
      </c>
    </row>
    <row r="696" spans="1:7" ht="14.25" customHeight="1" x14ac:dyDescent="0.3">
      <c r="A696" s="137">
        <v>7003</v>
      </c>
      <c r="B696" s="131" t="s">
        <v>1273</v>
      </c>
      <c r="C696" s="139" t="s">
        <v>375</v>
      </c>
      <c r="D696" s="69">
        <v>137</v>
      </c>
      <c r="E696" s="69">
        <v>136.5</v>
      </c>
      <c r="F696" s="170">
        <v>273</v>
      </c>
      <c r="G696" s="136">
        <v>136</v>
      </c>
    </row>
    <row r="697" spans="1:7" ht="14.25" customHeight="1" x14ac:dyDescent="0.3">
      <c r="A697" s="137">
        <v>7004</v>
      </c>
      <c r="B697" s="131" t="s">
        <v>1275</v>
      </c>
      <c r="C697" s="139" t="s">
        <v>1712</v>
      </c>
      <c r="D697" s="69">
        <v>137</v>
      </c>
      <c r="E697" s="69">
        <v>136.5</v>
      </c>
      <c r="F697" s="170">
        <v>273</v>
      </c>
      <c r="G697" s="136">
        <v>136</v>
      </c>
    </row>
    <row r="698" spans="1:7" ht="14.25" customHeight="1" x14ac:dyDescent="0.3">
      <c r="A698" s="137">
        <v>7005</v>
      </c>
      <c r="B698" s="131" t="s">
        <v>1277</v>
      </c>
      <c r="C698" s="139" t="s">
        <v>1713</v>
      </c>
      <c r="D698" s="69">
        <v>137</v>
      </c>
      <c r="E698" s="69">
        <v>136.5</v>
      </c>
      <c r="F698" s="170">
        <v>273</v>
      </c>
      <c r="G698" s="136">
        <v>136</v>
      </c>
    </row>
    <row r="699" spans="1:7" ht="14.25" customHeight="1" x14ac:dyDescent="0.3">
      <c r="A699" s="137">
        <v>7006</v>
      </c>
      <c r="B699" s="131" t="s">
        <v>1279</v>
      </c>
      <c r="C699" s="139" t="s">
        <v>1714</v>
      </c>
      <c r="D699" s="69">
        <v>137</v>
      </c>
      <c r="E699" s="69">
        <v>136.5</v>
      </c>
      <c r="F699" s="170">
        <v>273</v>
      </c>
      <c r="G699" s="136">
        <v>136</v>
      </c>
    </row>
    <row r="700" spans="1:7" ht="14.25" customHeight="1" x14ac:dyDescent="0.3">
      <c r="A700" s="131">
        <v>7007</v>
      </c>
      <c r="B700" s="131" t="s">
        <v>1280</v>
      </c>
      <c r="C700" s="135" t="s">
        <v>419</v>
      </c>
      <c r="D700" s="69">
        <v>137</v>
      </c>
      <c r="E700" s="69">
        <v>136.5</v>
      </c>
      <c r="F700" s="170">
        <v>273</v>
      </c>
      <c r="G700" s="136">
        <v>136</v>
      </c>
    </row>
    <row r="701" spans="1:7" ht="14.25" customHeight="1" x14ac:dyDescent="0.3">
      <c r="A701" s="137">
        <v>7008</v>
      </c>
      <c r="B701" s="138" t="s">
        <v>1282</v>
      </c>
      <c r="C701" s="139" t="s">
        <v>420</v>
      </c>
      <c r="D701" s="69">
        <v>137</v>
      </c>
      <c r="E701" s="69">
        <v>136.5</v>
      </c>
      <c r="F701" s="170">
        <v>273</v>
      </c>
      <c r="G701" s="136">
        <v>136</v>
      </c>
    </row>
    <row r="702" spans="1:7" ht="14.25" customHeight="1" x14ac:dyDescent="0.3">
      <c r="A702" s="137">
        <v>7009</v>
      </c>
      <c r="B702" s="137" t="s">
        <v>2451</v>
      </c>
      <c r="C702" s="139" t="s">
        <v>1284</v>
      </c>
      <c r="D702" s="69">
        <v>137</v>
      </c>
      <c r="E702" s="69">
        <v>136.5</v>
      </c>
      <c r="F702" s="170">
        <v>273</v>
      </c>
      <c r="G702" s="136">
        <v>136</v>
      </c>
    </row>
    <row r="703" spans="1:7" ht="14.25" customHeight="1" x14ac:dyDescent="0.3">
      <c r="A703" s="137">
        <v>7010</v>
      </c>
      <c r="B703" s="137" t="s">
        <v>2452</v>
      </c>
      <c r="C703" s="139" t="s">
        <v>1285</v>
      </c>
      <c r="D703" s="69">
        <v>137</v>
      </c>
      <c r="E703" s="69">
        <v>136.5</v>
      </c>
      <c r="F703" s="170">
        <v>273</v>
      </c>
      <c r="G703" s="136">
        <v>136</v>
      </c>
    </row>
    <row r="704" spans="1:7" ht="14.25" customHeight="1" x14ac:dyDescent="0.3">
      <c r="A704" s="131">
        <v>7011</v>
      </c>
      <c r="B704" s="131" t="s">
        <v>1286</v>
      </c>
      <c r="C704" s="135" t="s">
        <v>421</v>
      </c>
      <c r="D704" s="69">
        <v>137</v>
      </c>
      <c r="E704" s="69">
        <v>136.5</v>
      </c>
      <c r="F704" s="170">
        <v>273</v>
      </c>
      <c r="G704" s="136">
        <v>136</v>
      </c>
    </row>
    <row r="705" spans="1:7" ht="14.25" customHeight="1" x14ac:dyDescent="0.3">
      <c r="A705" s="137">
        <v>7012</v>
      </c>
      <c r="B705" s="138" t="s">
        <v>1288</v>
      </c>
      <c r="C705" s="139" t="s">
        <v>428</v>
      </c>
      <c r="D705" s="69">
        <v>137</v>
      </c>
      <c r="E705" s="69">
        <v>136.5</v>
      </c>
      <c r="F705" s="170">
        <v>273</v>
      </c>
      <c r="G705" s="136">
        <v>136</v>
      </c>
    </row>
    <row r="706" spans="1:7" ht="14.25" customHeight="1" x14ac:dyDescent="0.3">
      <c r="A706" s="137">
        <v>7013</v>
      </c>
      <c r="B706" s="138" t="s">
        <v>2453</v>
      </c>
      <c r="C706" s="139" t="s">
        <v>1643</v>
      </c>
      <c r="D706" s="69">
        <v>137</v>
      </c>
      <c r="E706" s="69">
        <v>136.5</v>
      </c>
      <c r="F706" s="170">
        <v>273</v>
      </c>
      <c r="G706" s="136">
        <v>136</v>
      </c>
    </row>
    <row r="707" spans="1:7" ht="14.25" customHeight="1" x14ac:dyDescent="0.3">
      <c r="A707" s="137">
        <v>7014</v>
      </c>
      <c r="B707" s="138" t="s">
        <v>2454</v>
      </c>
      <c r="C707" s="139" t="s">
        <v>1644</v>
      </c>
      <c r="D707" s="69">
        <v>137</v>
      </c>
      <c r="E707" s="69">
        <v>136.5</v>
      </c>
      <c r="F707" s="170">
        <v>273</v>
      </c>
      <c r="G707" s="136">
        <v>136</v>
      </c>
    </row>
    <row r="708" spans="1:7" ht="14.25" customHeight="1" x14ac:dyDescent="0.3">
      <c r="A708" s="137">
        <v>7015</v>
      </c>
      <c r="B708" s="138" t="s">
        <v>2455</v>
      </c>
      <c r="C708" s="139" t="s">
        <v>1811</v>
      </c>
      <c r="D708" s="69">
        <v>137</v>
      </c>
      <c r="E708" s="69">
        <v>136.5</v>
      </c>
      <c r="F708" s="170">
        <v>273</v>
      </c>
      <c r="G708" s="136">
        <v>136</v>
      </c>
    </row>
    <row r="709" spans="1:7" ht="14.25" customHeight="1" x14ac:dyDescent="0.3">
      <c r="A709" s="147">
        <v>7016</v>
      </c>
      <c r="B709" s="138" t="s">
        <v>2456</v>
      </c>
      <c r="C709" s="139" t="s">
        <v>1812</v>
      </c>
      <c r="D709" s="69">
        <v>137</v>
      </c>
      <c r="E709" s="69">
        <v>136.5</v>
      </c>
      <c r="F709" s="170">
        <v>273</v>
      </c>
      <c r="G709" s="136">
        <v>136</v>
      </c>
    </row>
    <row r="710" spans="1:7" ht="14.25" customHeight="1" x14ac:dyDescent="0.3">
      <c r="A710" s="147">
        <v>7017</v>
      </c>
      <c r="B710" s="138" t="s">
        <v>2457</v>
      </c>
      <c r="C710" s="139" t="s">
        <v>1813</v>
      </c>
      <c r="D710" s="69">
        <v>137</v>
      </c>
      <c r="E710" s="69">
        <v>136.5</v>
      </c>
      <c r="F710" s="170">
        <v>273</v>
      </c>
      <c r="G710" s="136">
        <v>136</v>
      </c>
    </row>
    <row r="711" spans="1:7" ht="14.25" customHeight="1" x14ac:dyDescent="0.3">
      <c r="A711" s="137">
        <v>7018</v>
      </c>
      <c r="B711" s="138" t="s">
        <v>2458</v>
      </c>
      <c r="C711" s="139" t="s">
        <v>1814</v>
      </c>
      <c r="D711" s="69">
        <v>137</v>
      </c>
      <c r="E711" s="69">
        <v>136.5</v>
      </c>
      <c r="F711" s="170">
        <v>273</v>
      </c>
      <c r="G711" s="136">
        <v>136</v>
      </c>
    </row>
    <row r="712" spans="1:7" ht="14.25" customHeight="1" x14ac:dyDescent="0.3">
      <c r="A712" s="137">
        <v>7019</v>
      </c>
      <c r="B712" s="138" t="s">
        <v>2459</v>
      </c>
      <c r="C712" s="139" t="s">
        <v>1815</v>
      </c>
      <c r="D712" s="69">
        <v>137</v>
      </c>
      <c r="E712" s="69">
        <v>136.5</v>
      </c>
      <c r="F712" s="170">
        <v>273</v>
      </c>
      <c r="G712" s="136">
        <v>136</v>
      </c>
    </row>
    <row r="713" spans="1:7" ht="14.25" customHeight="1" x14ac:dyDescent="0.3">
      <c r="A713" s="137">
        <v>7020</v>
      </c>
      <c r="B713" s="138" t="s">
        <v>2460</v>
      </c>
      <c r="C713" s="139" t="s">
        <v>1816</v>
      </c>
      <c r="D713" s="69">
        <v>137</v>
      </c>
      <c r="E713" s="69">
        <v>136.5</v>
      </c>
      <c r="F713" s="170">
        <v>273</v>
      </c>
      <c r="G713" s="136">
        <v>136</v>
      </c>
    </row>
    <row r="714" spans="1:7" ht="14.25" customHeight="1" x14ac:dyDescent="0.3">
      <c r="A714" s="137">
        <v>7021</v>
      </c>
      <c r="B714" s="138" t="s">
        <v>2142</v>
      </c>
      <c r="C714" s="139" t="s">
        <v>1888</v>
      </c>
      <c r="D714" s="69">
        <v>137</v>
      </c>
      <c r="E714" s="69">
        <v>136.5</v>
      </c>
      <c r="F714" s="170">
        <v>273</v>
      </c>
      <c r="G714" s="136">
        <v>136</v>
      </c>
    </row>
    <row r="715" spans="1:7" ht="14.25" customHeight="1" x14ac:dyDescent="0.3">
      <c r="A715" s="131">
        <v>7025</v>
      </c>
      <c r="B715" s="131" t="s">
        <v>1289</v>
      </c>
      <c r="C715" s="135" t="s">
        <v>159</v>
      </c>
      <c r="D715" s="69">
        <v>122</v>
      </c>
      <c r="E715" s="69">
        <v>136.5</v>
      </c>
      <c r="F715" s="170">
        <v>273</v>
      </c>
      <c r="G715" s="136">
        <v>151</v>
      </c>
    </row>
    <row r="716" spans="1:7" ht="14.25" customHeight="1" x14ac:dyDescent="0.3">
      <c r="A716" s="131">
        <v>7026</v>
      </c>
      <c r="B716" s="131" t="s">
        <v>1291</v>
      </c>
      <c r="C716" s="135" t="s">
        <v>1290</v>
      </c>
      <c r="D716" s="69">
        <v>122</v>
      </c>
      <c r="E716" s="69">
        <v>136.5</v>
      </c>
      <c r="F716" s="170">
        <v>273</v>
      </c>
      <c r="G716" s="136">
        <v>151</v>
      </c>
    </row>
    <row r="717" spans="1:7" ht="14.25" customHeight="1" x14ac:dyDescent="0.3">
      <c r="A717" s="131">
        <v>7027</v>
      </c>
      <c r="B717" s="131" t="s">
        <v>1293</v>
      </c>
      <c r="C717" s="135" t="s">
        <v>1292</v>
      </c>
      <c r="D717" s="69">
        <v>122</v>
      </c>
      <c r="E717" s="69">
        <v>136.5</v>
      </c>
      <c r="F717" s="170">
        <v>273</v>
      </c>
      <c r="G717" s="136">
        <v>151</v>
      </c>
    </row>
    <row r="718" spans="1:7" ht="14.25" customHeight="1" x14ac:dyDescent="0.3">
      <c r="A718" s="131">
        <v>7028</v>
      </c>
      <c r="B718" s="131" t="s">
        <v>1294</v>
      </c>
      <c r="C718" s="135" t="s">
        <v>205</v>
      </c>
      <c r="D718" s="69">
        <v>122</v>
      </c>
      <c r="E718" s="69">
        <v>136.5</v>
      </c>
      <c r="F718" s="170">
        <v>273</v>
      </c>
      <c r="G718" s="136">
        <v>151</v>
      </c>
    </row>
    <row r="719" spans="1:7" ht="14.25" customHeight="1" x14ac:dyDescent="0.3">
      <c r="A719" s="131">
        <v>7029</v>
      </c>
      <c r="B719" s="131" t="s">
        <v>1295</v>
      </c>
      <c r="C719" s="135" t="s">
        <v>355</v>
      </c>
      <c r="D719" s="69">
        <v>122</v>
      </c>
      <c r="E719" s="69">
        <v>136.5</v>
      </c>
      <c r="F719" s="170">
        <v>273</v>
      </c>
      <c r="G719" s="136">
        <v>151</v>
      </c>
    </row>
    <row r="720" spans="1:7" ht="14.25" customHeight="1" x14ac:dyDescent="0.3">
      <c r="A720" s="137">
        <v>7034</v>
      </c>
      <c r="B720" s="138" t="s">
        <v>2461</v>
      </c>
      <c r="C720" s="139" t="s">
        <v>2143</v>
      </c>
      <c r="D720" s="69">
        <v>137</v>
      </c>
      <c r="E720" s="69">
        <v>136.5</v>
      </c>
      <c r="F720" s="170">
        <v>273</v>
      </c>
      <c r="G720" s="136">
        <v>136</v>
      </c>
    </row>
    <row r="721" spans="1:7" ht="14.25" customHeight="1" x14ac:dyDescent="0.3">
      <c r="A721" s="137">
        <v>7038</v>
      </c>
      <c r="B721" s="138" t="s">
        <v>2144</v>
      </c>
      <c r="C721" s="139" t="s">
        <v>2145</v>
      </c>
      <c r="D721" s="69">
        <v>137</v>
      </c>
      <c r="E721" s="69">
        <v>136.5</v>
      </c>
      <c r="F721" s="170">
        <v>273</v>
      </c>
      <c r="G721" s="136">
        <v>136</v>
      </c>
    </row>
    <row r="722" spans="1:7" ht="14.25" customHeight="1" x14ac:dyDescent="0.3">
      <c r="A722" s="137">
        <v>7040</v>
      </c>
      <c r="B722" s="138" t="s">
        <v>2146</v>
      </c>
      <c r="C722" s="139" t="s">
        <v>2147</v>
      </c>
      <c r="D722" s="69">
        <v>137</v>
      </c>
      <c r="E722" s="69">
        <v>136.5</v>
      </c>
      <c r="F722" s="170">
        <v>273</v>
      </c>
      <c r="G722" s="136">
        <v>136</v>
      </c>
    </row>
    <row r="723" spans="1:7" ht="14.25" customHeight="1" x14ac:dyDescent="0.3">
      <c r="A723" s="137">
        <v>7042</v>
      </c>
      <c r="B723" s="138" t="s">
        <v>2148</v>
      </c>
      <c r="C723" s="139" t="s">
        <v>2149</v>
      </c>
      <c r="D723" s="69">
        <v>137</v>
      </c>
      <c r="E723" s="69">
        <v>136.5</v>
      </c>
      <c r="F723" s="170">
        <v>273</v>
      </c>
      <c r="G723" s="136">
        <v>136</v>
      </c>
    </row>
    <row r="724" spans="1:7" ht="14.25" customHeight="1" x14ac:dyDescent="0.3">
      <c r="A724" s="137">
        <v>7043</v>
      </c>
      <c r="B724" s="138" t="s">
        <v>2150</v>
      </c>
      <c r="C724" s="139" t="s">
        <v>2151</v>
      </c>
      <c r="D724" s="69">
        <v>137</v>
      </c>
      <c r="E724" s="69">
        <v>136.5</v>
      </c>
      <c r="F724" s="170">
        <v>273</v>
      </c>
      <c r="G724" s="136">
        <v>136</v>
      </c>
    </row>
    <row r="725" spans="1:7" ht="14.25" customHeight="1" x14ac:dyDescent="0.3">
      <c r="A725" s="137">
        <v>7044</v>
      </c>
      <c r="B725" s="138" t="s">
        <v>2152</v>
      </c>
      <c r="C725" s="139" t="s">
        <v>2153</v>
      </c>
      <c r="D725" s="69">
        <v>137</v>
      </c>
      <c r="E725" s="69">
        <v>136.5</v>
      </c>
      <c r="F725" s="170">
        <v>273</v>
      </c>
      <c r="G725" s="136">
        <v>136</v>
      </c>
    </row>
    <row r="726" spans="1:7" ht="14.25" customHeight="1" x14ac:dyDescent="0.3">
      <c r="A726" s="137">
        <v>7045</v>
      </c>
      <c r="B726" s="138" t="s">
        <v>2154</v>
      </c>
      <c r="C726" s="139" t="s">
        <v>2155</v>
      </c>
      <c r="D726" s="69">
        <v>137</v>
      </c>
      <c r="E726" s="69">
        <v>136.5</v>
      </c>
      <c r="F726" s="170">
        <v>273</v>
      </c>
      <c r="G726" s="136">
        <v>136</v>
      </c>
    </row>
    <row r="727" spans="1:7" ht="14.25" customHeight="1" x14ac:dyDescent="0.3">
      <c r="A727" s="137">
        <v>7046</v>
      </c>
      <c r="B727" s="138" t="s">
        <v>2156</v>
      </c>
      <c r="C727" s="139" t="s">
        <v>2157</v>
      </c>
      <c r="D727" s="69">
        <v>137</v>
      </c>
      <c r="E727" s="69">
        <v>136.5</v>
      </c>
      <c r="F727" s="170">
        <v>273</v>
      </c>
      <c r="G727" s="136">
        <v>136</v>
      </c>
    </row>
    <row r="728" spans="1:7" ht="14.25" customHeight="1" x14ac:dyDescent="0.3">
      <c r="A728" s="137">
        <v>7047</v>
      </c>
      <c r="B728" s="138" t="s">
        <v>2158</v>
      </c>
      <c r="C728" s="139" t="s">
        <v>2159</v>
      </c>
      <c r="D728" s="69">
        <v>137</v>
      </c>
      <c r="E728" s="69">
        <v>136.5</v>
      </c>
      <c r="F728" s="170">
        <v>273</v>
      </c>
      <c r="G728" s="136">
        <v>136</v>
      </c>
    </row>
    <row r="729" spans="1:7" ht="14.25" customHeight="1" x14ac:dyDescent="0.3">
      <c r="A729" s="137">
        <v>7048</v>
      </c>
      <c r="B729" s="138" t="s">
        <v>2160</v>
      </c>
      <c r="C729" s="139" t="s">
        <v>2161</v>
      </c>
      <c r="D729" s="69">
        <v>137</v>
      </c>
      <c r="E729" s="69">
        <v>136.5</v>
      </c>
      <c r="F729" s="170">
        <v>273</v>
      </c>
      <c r="G729" s="136">
        <v>136</v>
      </c>
    </row>
    <row r="730" spans="1:7" ht="14.25" customHeight="1" x14ac:dyDescent="0.3">
      <c r="A730" s="137">
        <v>7049</v>
      </c>
      <c r="B730" s="138" t="s">
        <v>2162</v>
      </c>
      <c r="C730" s="139" t="s">
        <v>2163</v>
      </c>
      <c r="D730" s="69">
        <v>137</v>
      </c>
      <c r="E730" s="69">
        <v>136.5</v>
      </c>
      <c r="F730" s="170">
        <v>273</v>
      </c>
      <c r="G730" s="136">
        <v>136</v>
      </c>
    </row>
    <row r="731" spans="1:7" ht="14.25" customHeight="1" x14ac:dyDescent="0.3">
      <c r="A731" s="131">
        <v>7140</v>
      </c>
      <c r="B731" s="131" t="s">
        <v>1297</v>
      </c>
      <c r="C731" s="135" t="s">
        <v>1296</v>
      </c>
      <c r="D731" s="69">
        <v>183</v>
      </c>
      <c r="E731" s="69">
        <v>182.5</v>
      </c>
      <c r="F731" s="170">
        <v>365</v>
      </c>
      <c r="G731" s="136">
        <v>182</v>
      </c>
    </row>
    <row r="732" spans="1:7" ht="14.25" customHeight="1" x14ac:dyDescent="0.3">
      <c r="A732" s="131">
        <v>7141</v>
      </c>
      <c r="B732" s="131" t="s">
        <v>1298</v>
      </c>
      <c r="C732" s="135" t="s">
        <v>160</v>
      </c>
      <c r="D732" s="69">
        <v>183</v>
      </c>
      <c r="E732" s="69">
        <v>182.5</v>
      </c>
      <c r="F732" s="170">
        <v>365</v>
      </c>
      <c r="G732" s="136">
        <v>182</v>
      </c>
    </row>
    <row r="733" spans="1:7" ht="14.25" customHeight="1" x14ac:dyDescent="0.3">
      <c r="A733" s="131">
        <v>7142</v>
      </c>
      <c r="B733" s="131" t="s">
        <v>1300</v>
      </c>
      <c r="C733" s="135" t="s">
        <v>1299</v>
      </c>
      <c r="D733" s="69">
        <v>183</v>
      </c>
      <c r="E733" s="69">
        <v>182.5</v>
      </c>
      <c r="F733" s="170">
        <v>365</v>
      </c>
      <c r="G733" s="136">
        <v>182</v>
      </c>
    </row>
    <row r="734" spans="1:7" ht="14.25" customHeight="1" x14ac:dyDescent="0.3">
      <c r="A734" s="131">
        <v>7143</v>
      </c>
      <c r="B734" s="131" t="s">
        <v>1303</v>
      </c>
      <c r="C734" s="135" t="s">
        <v>1302</v>
      </c>
      <c r="D734" s="69">
        <v>183</v>
      </c>
      <c r="E734" s="69">
        <v>182.5</v>
      </c>
      <c r="F734" s="170">
        <v>365</v>
      </c>
      <c r="G734" s="136">
        <v>182</v>
      </c>
    </row>
    <row r="735" spans="1:7" ht="14.25" customHeight="1" x14ac:dyDescent="0.3">
      <c r="A735" s="131">
        <v>7144</v>
      </c>
      <c r="B735" s="131" t="s">
        <v>1304</v>
      </c>
      <c r="C735" s="135" t="s">
        <v>161</v>
      </c>
      <c r="D735" s="69">
        <v>183</v>
      </c>
      <c r="E735" s="69">
        <v>182.5</v>
      </c>
      <c r="F735" s="170">
        <v>365</v>
      </c>
      <c r="G735" s="136">
        <v>182</v>
      </c>
    </row>
    <row r="736" spans="1:7" ht="14.25" customHeight="1" x14ac:dyDescent="0.3">
      <c r="A736" s="131">
        <v>7148</v>
      </c>
      <c r="B736" s="131" t="s">
        <v>1305</v>
      </c>
      <c r="C736" s="135" t="s">
        <v>206</v>
      </c>
      <c r="D736" s="69">
        <v>183</v>
      </c>
      <c r="E736" s="69">
        <v>182.5</v>
      </c>
      <c r="F736" s="170">
        <v>365</v>
      </c>
      <c r="G736" s="136">
        <v>182</v>
      </c>
    </row>
    <row r="737" spans="1:7" ht="14.25" customHeight="1" x14ac:dyDescent="0.3">
      <c r="A737" s="131">
        <v>7149</v>
      </c>
      <c r="B737" s="131" t="s">
        <v>1307</v>
      </c>
      <c r="C737" s="135" t="s">
        <v>1306</v>
      </c>
      <c r="D737" s="69">
        <v>183</v>
      </c>
      <c r="E737" s="69">
        <v>182.5</v>
      </c>
      <c r="F737" s="170">
        <v>365</v>
      </c>
      <c r="G737" s="136">
        <v>182</v>
      </c>
    </row>
    <row r="738" spans="1:7" ht="14.25" customHeight="1" x14ac:dyDescent="0.3">
      <c r="A738" s="131">
        <v>7150</v>
      </c>
      <c r="B738" s="131" t="s">
        <v>1308</v>
      </c>
      <c r="C738" s="135" t="s">
        <v>353</v>
      </c>
      <c r="D738" s="69">
        <v>183</v>
      </c>
      <c r="E738" s="69">
        <v>182.5</v>
      </c>
      <c r="F738" s="170">
        <v>365</v>
      </c>
      <c r="G738" s="136">
        <v>182</v>
      </c>
    </row>
    <row r="739" spans="1:7" ht="14.25" customHeight="1" x14ac:dyDescent="0.3">
      <c r="A739" s="131">
        <v>7151</v>
      </c>
      <c r="B739" s="131" t="s">
        <v>1309</v>
      </c>
      <c r="C739" s="135" t="s">
        <v>162</v>
      </c>
      <c r="D739" s="69">
        <v>183</v>
      </c>
      <c r="E739" s="69">
        <v>182.5</v>
      </c>
      <c r="F739" s="170">
        <v>365</v>
      </c>
      <c r="G739" s="136">
        <v>182</v>
      </c>
    </row>
    <row r="740" spans="1:7" ht="14.25" customHeight="1" x14ac:dyDescent="0.3">
      <c r="A740" s="131">
        <v>7152</v>
      </c>
      <c r="B740" s="131" t="s">
        <v>1310</v>
      </c>
      <c r="C740" s="135" t="s">
        <v>207</v>
      </c>
      <c r="D740" s="69">
        <v>183</v>
      </c>
      <c r="E740" s="69">
        <v>182.5</v>
      </c>
      <c r="F740" s="170">
        <v>365</v>
      </c>
      <c r="G740" s="136">
        <v>182</v>
      </c>
    </row>
    <row r="741" spans="1:7" ht="14.25" customHeight="1" x14ac:dyDescent="0.3">
      <c r="A741" s="131">
        <v>7153</v>
      </c>
      <c r="B741" s="131" t="s">
        <v>1312</v>
      </c>
      <c r="C741" s="135" t="s">
        <v>1311</v>
      </c>
      <c r="D741" s="69">
        <v>183</v>
      </c>
      <c r="E741" s="69">
        <v>182.5</v>
      </c>
      <c r="F741" s="170">
        <v>365</v>
      </c>
      <c r="G741" s="136">
        <v>182</v>
      </c>
    </row>
    <row r="742" spans="1:7" ht="14.25" customHeight="1" x14ac:dyDescent="0.3">
      <c r="A742" s="131">
        <v>7154</v>
      </c>
      <c r="B742" s="131" t="s">
        <v>1313</v>
      </c>
      <c r="C742" s="135" t="s">
        <v>242</v>
      </c>
      <c r="D742" s="69">
        <v>183</v>
      </c>
      <c r="E742" s="69">
        <v>182.5</v>
      </c>
      <c r="F742" s="170">
        <v>365</v>
      </c>
      <c r="G742" s="136">
        <v>182</v>
      </c>
    </row>
    <row r="743" spans="1:7" ht="14.25" customHeight="1" x14ac:dyDescent="0.3">
      <c r="A743" s="131">
        <v>7178</v>
      </c>
      <c r="B743" s="131" t="s">
        <v>1314</v>
      </c>
      <c r="C743" s="135" t="s">
        <v>95</v>
      </c>
      <c r="D743" s="69">
        <v>183</v>
      </c>
      <c r="E743" s="69">
        <v>182.5</v>
      </c>
      <c r="F743" s="170">
        <v>365</v>
      </c>
      <c r="G743" s="136">
        <v>182</v>
      </c>
    </row>
    <row r="744" spans="1:7" ht="14.25" customHeight="1" x14ac:dyDescent="0.3">
      <c r="A744" s="131">
        <v>7751</v>
      </c>
      <c r="B744" s="131" t="s">
        <v>1328</v>
      </c>
      <c r="C744" s="135" t="s">
        <v>1327</v>
      </c>
      <c r="D744" s="69">
        <v>122</v>
      </c>
      <c r="E744" s="69">
        <v>136.5</v>
      </c>
      <c r="F744" s="170">
        <v>273</v>
      </c>
      <c r="G744" s="136">
        <v>151</v>
      </c>
    </row>
    <row r="745" spans="1:7" ht="14.25" customHeight="1" x14ac:dyDescent="0.3">
      <c r="A745" s="137">
        <v>7752</v>
      </c>
      <c r="B745" s="131" t="s">
        <v>1329</v>
      </c>
      <c r="C745" s="139" t="s">
        <v>1715</v>
      </c>
      <c r="D745" s="69">
        <v>137</v>
      </c>
      <c r="E745" s="69">
        <v>136.5</v>
      </c>
      <c r="F745" s="170">
        <v>273</v>
      </c>
      <c r="G745" s="136">
        <v>136</v>
      </c>
    </row>
    <row r="746" spans="1:7" ht="14.25" customHeight="1" x14ac:dyDescent="0.3">
      <c r="A746" s="137">
        <v>7753</v>
      </c>
      <c r="B746" s="131" t="s">
        <v>1330</v>
      </c>
      <c r="C746" s="139" t="s">
        <v>1716</v>
      </c>
      <c r="D746" s="69">
        <v>137</v>
      </c>
      <c r="E746" s="69">
        <v>136.5</v>
      </c>
      <c r="F746" s="170">
        <v>273</v>
      </c>
      <c r="G746" s="136">
        <v>136</v>
      </c>
    </row>
    <row r="747" spans="1:7" ht="14.25" customHeight="1" x14ac:dyDescent="0.3">
      <c r="A747" s="137">
        <v>7754</v>
      </c>
      <c r="B747" s="131" t="s">
        <v>1331</v>
      </c>
      <c r="C747" s="139" t="s">
        <v>1717</v>
      </c>
      <c r="D747" s="69">
        <v>137</v>
      </c>
      <c r="E747" s="69">
        <v>136.5</v>
      </c>
      <c r="F747" s="170">
        <v>273</v>
      </c>
      <c r="G747" s="136">
        <v>136</v>
      </c>
    </row>
    <row r="748" spans="1:7" ht="14.25" customHeight="1" x14ac:dyDescent="0.3">
      <c r="A748" s="131">
        <v>7801</v>
      </c>
      <c r="B748" s="131" t="s">
        <v>1337</v>
      </c>
      <c r="C748" s="135" t="s">
        <v>97</v>
      </c>
      <c r="D748" s="69">
        <v>122</v>
      </c>
      <c r="E748" s="69">
        <v>136.5</v>
      </c>
      <c r="F748" s="170">
        <v>273</v>
      </c>
      <c r="G748" s="136">
        <v>151</v>
      </c>
    </row>
    <row r="749" spans="1:7" ht="14.25" customHeight="1" x14ac:dyDescent="0.3">
      <c r="A749" s="131">
        <v>7808</v>
      </c>
      <c r="B749" s="131" t="s">
        <v>1332</v>
      </c>
      <c r="C749" s="135" t="s">
        <v>1338</v>
      </c>
      <c r="D749" s="69">
        <v>122</v>
      </c>
      <c r="E749" s="69">
        <v>136.5</v>
      </c>
      <c r="F749" s="170">
        <v>273</v>
      </c>
      <c r="G749" s="136">
        <v>151</v>
      </c>
    </row>
    <row r="750" spans="1:7" ht="14.25" customHeight="1" x14ac:dyDescent="0.3">
      <c r="A750" s="131">
        <v>7811</v>
      </c>
      <c r="B750" s="131" t="s">
        <v>1340</v>
      </c>
      <c r="C750" s="135" t="s">
        <v>1339</v>
      </c>
      <c r="D750" s="69">
        <v>122</v>
      </c>
      <c r="E750" s="69">
        <v>136.5</v>
      </c>
      <c r="F750" s="170">
        <v>273</v>
      </c>
      <c r="G750" s="136">
        <v>151</v>
      </c>
    </row>
    <row r="751" spans="1:7" ht="14.25" customHeight="1" x14ac:dyDescent="0.3">
      <c r="A751" s="131">
        <v>7812</v>
      </c>
      <c r="B751" s="131" t="s">
        <v>1333</v>
      </c>
      <c r="C751" s="135" t="s">
        <v>1341</v>
      </c>
      <c r="D751" s="69">
        <v>122</v>
      </c>
      <c r="E751" s="69">
        <v>136.5</v>
      </c>
      <c r="F751" s="170">
        <v>273</v>
      </c>
      <c r="G751" s="136">
        <v>151</v>
      </c>
    </row>
    <row r="752" spans="1:7" ht="14.25" customHeight="1" x14ac:dyDescent="0.3">
      <c r="A752" s="131">
        <v>7813</v>
      </c>
      <c r="B752" s="131" t="s">
        <v>1335</v>
      </c>
      <c r="C752" s="135" t="s">
        <v>1342</v>
      </c>
      <c r="D752" s="69">
        <v>122</v>
      </c>
      <c r="E752" s="69">
        <v>136.5</v>
      </c>
      <c r="F752" s="170">
        <v>273</v>
      </c>
      <c r="G752" s="136">
        <v>151</v>
      </c>
    </row>
    <row r="753" spans="1:7" ht="14.25" customHeight="1" x14ac:dyDescent="0.3">
      <c r="A753" s="131">
        <v>7814</v>
      </c>
      <c r="B753" s="131" t="s">
        <v>1344</v>
      </c>
      <c r="C753" s="135" t="s">
        <v>1343</v>
      </c>
      <c r="D753" s="69">
        <v>122</v>
      </c>
      <c r="E753" s="69">
        <v>136.5</v>
      </c>
      <c r="F753" s="170">
        <v>273</v>
      </c>
      <c r="G753" s="136">
        <v>151</v>
      </c>
    </row>
    <row r="754" spans="1:7" ht="14.25" customHeight="1" x14ac:dyDescent="0.3">
      <c r="A754" s="137">
        <v>7820</v>
      </c>
      <c r="B754" s="131" t="s">
        <v>1336</v>
      </c>
      <c r="C754" s="139" t="s">
        <v>1718</v>
      </c>
      <c r="D754" s="69">
        <v>122</v>
      </c>
      <c r="E754" s="69">
        <v>136.5</v>
      </c>
      <c r="F754" s="170">
        <v>273</v>
      </c>
      <c r="G754" s="136">
        <v>151</v>
      </c>
    </row>
    <row r="755" spans="1:7" ht="14.25" customHeight="1" x14ac:dyDescent="0.3">
      <c r="A755" s="131">
        <v>7839</v>
      </c>
      <c r="B755" s="131" t="s">
        <v>1346</v>
      </c>
      <c r="C755" s="135" t="s">
        <v>1345</v>
      </c>
      <c r="D755" s="69">
        <v>122</v>
      </c>
      <c r="E755" s="69">
        <v>136.5</v>
      </c>
      <c r="F755" s="170">
        <v>273</v>
      </c>
      <c r="G755" s="136">
        <v>151</v>
      </c>
    </row>
    <row r="756" spans="1:7" ht="14.25" customHeight="1" x14ac:dyDescent="0.3">
      <c r="A756" s="131">
        <v>7843</v>
      </c>
      <c r="B756" s="131" t="s">
        <v>1348</v>
      </c>
      <c r="C756" s="135" t="s">
        <v>1347</v>
      </c>
      <c r="D756" s="69">
        <v>122</v>
      </c>
      <c r="E756" s="69">
        <v>136.5</v>
      </c>
      <c r="F756" s="170">
        <v>273</v>
      </c>
      <c r="G756" s="136">
        <v>151</v>
      </c>
    </row>
    <row r="757" spans="1:7" ht="14.25" customHeight="1" x14ac:dyDescent="0.3">
      <c r="A757" s="131">
        <v>7844</v>
      </c>
      <c r="B757" s="131" t="s">
        <v>1350</v>
      </c>
      <c r="C757" s="135" t="s">
        <v>1349</v>
      </c>
      <c r="D757" s="69">
        <v>122</v>
      </c>
      <c r="E757" s="69">
        <v>136.5</v>
      </c>
      <c r="F757" s="170">
        <v>273</v>
      </c>
      <c r="G757" s="136">
        <v>151</v>
      </c>
    </row>
    <row r="758" spans="1:7" ht="14.25" customHeight="1" x14ac:dyDescent="0.3">
      <c r="A758" s="131">
        <v>7845</v>
      </c>
      <c r="B758" s="131" t="s">
        <v>1352</v>
      </c>
      <c r="C758" s="135" t="s">
        <v>1351</v>
      </c>
      <c r="D758" s="69">
        <v>122</v>
      </c>
      <c r="E758" s="69">
        <v>136.5</v>
      </c>
      <c r="F758" s="170">
        <v>273</v>
      </c>
      <c r="G758" s="136">
        <v>151</v>
      </c>
    </row>
    <row r="759" spans="1:7" ht="14.25" customHeight="1" x14ac:dyDescent="0.3">
      <c r="A759" s="131">
        <v>7849</v>
      </c>
      <c r="B759" s="131" t="s">
        <v>1354</v>
      </c>
      <c r="C759" s="135" t="s">
        <v>1353</v>
      </c>
      <c r="D759" s="69">
        <v>122</v>
      </c>
      <c r="E759" s="69">
        <v>136.5</v>
      </c>
      <c r="F759" s="170">
        <v>273</v>
      </c>
      <c r="G759" s="136">
        <v>151</v>
      </c>
    </row>
    <row r="760" spans="1:7" ht="14.25" customHeight="1" x14ac:dyDescent="0.3">
      <c r="A760" s="131">
        <v>7869</v>
      </c>
      <c r="B760" s="131" t="s">
        <v>1356</v>
      </c>
      <c r="C760" s="135" t="s">
        <v>1355</v>
      </c>
      <c r="D760" s="69">
        <v>122</v>
      </c>
      <c r="E760" s="69">
        <v>136.5</v>
      </c>
      <c r="F760" s="170">
        <v>273</v>
      </c>
      <c r="G760" s="136">
        <v>151</v>
      </c>
    </row>
    <row r="761" spans="1:7" ht="14.25" customHeight="1" x14ac:dyDescent="0.3">
      <c r="A761" s="131">
        <v>7870</v>
      </c>
      <c r="B761" s="131" t="s">
        <v>1357</v>
      </c>
      <c r="C761" s="135" t="s">
        <v>284</v>
      </c>
      <c r="D761" s="69">
        <v>122</v>
      </c>
      <c r="E761" s="69">
        <v>136.5</v>
      </c>
      <c r="F761" s="170">
        <v>273</v>
      </c>
      <c r="G761" s="136">
        <v>151</v>
      </c>
    </row>
    <row r="762" spans="1:7" ht="14.25" customHeight="1" x14ac:dyDescent="0.3">
      <c r="A762" s="131">
        <v>7871</v>
      </c>
      <c r="B762" s="131" t="s">
        <v>1359</v>
      </c>
      <c r="C762" s="135" t="s">
        <v>1358</v>
      </c>
      <c r="D762" s="69">
        <v>183</v>
      </c>
      <c r="E762" s="69">
        <v>182.5</v>
      </c>
      <c r="F762" s="170">
        <v>365</v>
      </c>
      <c r="G762" s="136">
        <v>182</v>
      </c>
    </row>
    <row r="763" spans="1:7" ht="14.25" customHeight="1" x14ac:dyDescent="0.3">
      <c r="A763" s="131">
        <v>7872</v>
      </c>
      <c r="B763" s="131" t="s">
        <v>1360</v>
      </c>
      <c r="C763" s="135" t="s">
        <v>285</v>
      </c>
      <c r="D763" s="69">
        <v>122</v>
      </c>
      <c r="E763" s="69">
        <v>136.5</v>
      </c>
      <c r="F763" s="170">
        <v>273</v>
      </c>
      <c r="G763" s="136">
        <v>151</v>
      </c>
    </row>
    <row r="764" spans="1:7" ht="14.25" customHeight="1" x14ac:dyDescent="0.3">
      <c r="A764" s="131">
        <v>7873</v>
      </c>
      <c r="B764" s="131" t="s">
        <v>1361</v>
      </c>
      <c r="C764" s="135" t="s">
        <v>286</v>
      </c>
      <c r="D764" s="69">
        <v>183</v>
      </c>
      <c r="E764" s="69">
        <v>182.5</v>
      </c>
      <c r="F764" s="170">
        <v>365</v>
      </c>
      <c r="G764" s="136">
        <v>182</v>
      </c>
    </row>
    <row r="765" spans="1:7" ht="14.25" customHeight="1" x14ac:dyDescent="0.3">
      <c r="A765" s="131">
        <v>7874</v>
      </c>
      <c r="B765" s="131" t="s">
        <v>1363</v>
      </c>
      <c r="C765" s="135" t="s">
        <v>287</v>
      </c>
      <c r="D765" s="69">
        <v>183</v>
      </c>
      <c r="E765" s="69">
        <v>182.5</v>
      </c>
      <c r="F765" s="170">
        <v>365</v>
      </c>
      <c r="G765" s="136">
        <v>182</v>
      </c>
    </row>
    <row r="766" spans="1:7" ht="14.25" customHeight="1" x14ac:dyDescent="0.3">
      <c r="A766" s="131">
        <v>7875</v>
      </c>
      <c r="B766" s="131" t="s">
        <v>1198</v>
      </c>
      <c r="C766" s="135" t="s">
        <v>291</v>
      </c>
      <c r="D766" s="69">
        <v>122</v>
      </c>
      <c r="E766" s="69">
        <v>136.5</v>
      </c>
      <c r="F766" s="170">
        <v>273</v>
      </c>
      <c r="G766" s="136">
        <v>151</v>
      </c>
    </row>
    <row r="767" spans="1:7" ht="14.25" customHeight="1" x14ac:dyDescent="0.3">
      <c r="A767" s="131">
        <v>7949</v>
      </c>
      <c r="B767" s="131" t="s">
        <v>2522</v>
      </c>
      <c r="C767" s="135" t="s">
        <v>2523</v>
      </c>
      <c r="D767" s="69">
        <v>122</v>
      </c>
      <c r="E767" s="69">
        <v>136.5</v>
      </c>
      <c r="F767" s="170">
        <v>273</v>
      </c>
      <c r="G767" s="136">
        <v>151</v>
      </c>
    </row>
    <row r="768" spans="1:7" ht="14.25" customHeight="1" x14ac:dyDescent="0.3">
      <c r="A768" s="131">
        <v>7877</v>
      </c>
      <c r="B768" s="131" t="s">
        <v>1196</v>
      </c>
      <c r="C768" s="135" t="s">
        <v>288</v>
      </c>
      <c r="D768" s="69">
        <v>122</v>
      </c>
      <c r="E768" s="69">
        <v>136.5</v>
      </c>
      <c r="F768" s="170">
        <v>273</v>
      </c>
      <c r="G768" s="136">
        <v>151</v>
      </c>
    </row>
    <row r="769" spans="1:7" ht="14.25" customHeight="1" x14ac:dyDescent="0.3">
      <c r="A769" s="131">
        <v>7878</v>
      </c>
      <c r="B769" s="131" t="s">
        <v>1366</v>
      </c>
      <c r="C769" s="135" t="s">
        <v>289</v>
      </c>
      <c r="D769" s="69">
        <v>122</v>
      </c>
      <c r="E769" s="69">
        <v>136.5</v>
      </c>
      <c r="F769" s="170">
        <v>273</v>
      </c>
      <c r="G769" s="136">
        <v>151</v>
      </c>
    </row>
    <row r="770" spans="1:7" ht="14.25" customHeight="1" x14ac:dyDescent="0.3">
      <c r="A770" s="137">
        <v>7888</v>
      </c>
      <c r="B770" s="138" t="s">
        <v>2172</v>
      </c>
      <c r="C770" s="139" t="s">
        <v>2173</v>
      </c>
      <c r="D770" s="69">
        <v>122</v>
      </c>
      <c r="E770" s="69">
        <v>136.5</v>
      </c>
      <c r="F770" s="170">
        <v>273</v>
      </c>
      <c r="G770" s="136">
        <v>151</v>
      </c>
    </row>
    <row r="771" spans="1:7" ht="14.25" customHeight="1" x14ac:dyDescent="0.3">
      <c r="A771" s="131">
        <v>7890</v>
      </c>
      <c r="B771" s="131" t="s">
        <v>1369</v>
      </c>
      <c r="C771" s="135" t="s">
        <v>1368</v>
      </c>
      <c r="D771" s="69">
        <v>122</v>
      </c>
      <c r="E771" s="69">
        <v>136.5</v>
      </c>
      <c r="F771" s="170">
        <v>273</v>
      </c>
      <c r="G771" s="136">
        <v>151</v>
      </c>
    </row>
    <row r="772" spans="1:7" ht="14.25" customHeight="1" x14ac:dyDescent="0.3">
      <c r="A772" s="131">
        <v>7891</v>
      </c>
      <c r="B772" s="131" t="s">
        <v>1371</v>
      </c>
      <c r="C772" s="135" t="s">
        <v>1370</v>
      </c>
      <c r="D772" s="69">
        <v>122</v>
      </c>
      <c r="E772" s="69">
        <v>136.5</v>
      </c>
      <c r="F772" s="170">
        <v>273</v>
      </c>
      <c r="G772" s="136">
        <v>151</v>
      </c>
    </row>
    <row r="773" spans="1:7" ht="14.25" customHeight="1" x14ac:dyDescent="0.3">
      <c r="A773" s="131">
        <v>7892</v>
      </c>
      <c r="B773" s="131" t="s">
        <v>1373</v>
      </c>
      <c r="C773" s="135" t="s">
        <v>1372</v>
      </c>
      <c r="D773" s="69">
        <v>122</v>
      </c>
      <c r="E773" s="69">
        <v>136.5</v>
      </c>
      <c r="F773" s="170">
        <v>273</v>
      </c>
      <c r="G773" s="136">
        <v>151</v>
      </c>
    </row>
    <row r="774" spans="1:7" ht="14.25" customHeight="1" x14ac:dyDescent="0.3">
      <c r="A774" s="131">
        <v>7895</v>
      </c>
      <c r="B774" s="131" t="s">
        <v>1375</v>
      </c>
      <c r="C774" s="135" t="s">
        <v>1374</v>
      </c>
      <c r="D774" s="69">
        <v>122</v>
      </c>
      <c r="E774" s="69">
        <v>136.5</v>
      </c>
      <c r="F774" s="170">
        <v>273</v>
      </c>
      <c r="G774" s="136">
        <v>151</v>
      </c>
    </row>
    <row r="775" spans="1:7" ht="14.25" customHeight="1" x14ac:dyDescent="0.3">
      <c r="A775" s="131">
        <v>7896</v>
      </c>
      <c r="B775" s="131" t="s">
        <v>1377</v>
      </c>
      <c r="C775" s="135" t="s">
        <v>1376</v>
      </c>
      <c r="D775" s="69">
        <v>122</v>
      </c>
      <c r="E775" s="69">
        <v>136.5</v>
      </c>
      <c r="F775" s="170">
        <v>273</v>
      </c>
      <c r="G775" s="136">
        <v>151</v>
      </c>
    </row>
    <row r="776" spans="1:7" ht="14.25" customHeight="1" x14ac:dyDescent="0.3">
      <c r="A776" s="131">
        <v>7897</v>
      </c>
      <c r="B776" s="131" t="s">
        <v>1379</v>
      </c>
      <c r="C776" s="135" t="s">
        <v>163</v>
      </c>
      <c r="D776" s="69">
        <v>122</v>
      </c>
      <c r="E776" s="69">
        <v>136.5</v>
      </c>
      <c r="F776" s="170">
        <v>273</v>
      </c>
      <c r="G776" s="136">
        <v>151</v>
      </c>
    </row>
    <row r="777" spans="1:7" ht="14.25" customHeight="1" x14ac:dyDescent="0.3">
      <c r="A777" s="131">
        <v>7898</v>
      </c>
      <c r="B777" s="131" t="s">
        <v>1380</v>
      </c>
      <c r="C777" s="135" t="s">
        <v>290</v>
      </c>
      <c r="D777" s="69">
        <v>122</v>
      </c>
      <c r="E777" s="69">
        <v>136.5</v>
      </c>
      <c r="F777" s="170">
        <v>273</v>
      </c>
      <c r="G777" s="136">
        <v>151</v>
      </c>
    </row>
    <row r="778" spans="1:7" ht="14.25" customHeight="1" x14ac:dyDescent="0.3">
      <c r="A778" s="131">
        <v>7899</v>
      </c>
      <c r="B778" s="131" t="s">
        <v>1382</v>
      </c>
      <c r="C778" s="135" t="s">
        <v>1381</v>
      </c>
      <c r="D778" s="69">
        <v>122</v>
      </c>
      <c r="E778" s="69">
        <v>136.5</v>
      </c>
      <c r="F778" s="170">
        <v>273</v>
      </c>
      <c r="G778" s="136">
        <v>151</v>
      </c>
    </row>
    <row r="779" spans="1:7" ht="14.25" customHeight="1" x14ac:dyDescent="0.3">
      <c r="A779" s="131">
        <v>7900</v>
      </c>
      <c r="B779" s="131" t="s">
        <v>1383</v>
      </c>
      <c r="C779" s="135" t="s">
        <v>98</v>
      </c>
      <c r="D779" s="69">
        <v>122</v>
      </c>
      <c r="E779" s="69">
        <v>136.5</v>
      </c>
      <c r="F779" s="170">
        <v>273</v>
      </c>
      <c r="G779" s="136">
        <v>151</v>
      </c>
    </row>
    <row r="780" spans="1:7" ht="14.25" customHeight="1" x14ac:dyDescent="0.3">
      <c r="A780" s="131">
        <v>7901</v>
      </c>
      <c r="B780" s="131" t="s">
        <v>1385</v>
      </c>
      <c r="C780" s="135" t="s">
        <v>99</v>
      </c>
      <c r="D780" s="69">
        <v>122</v>
      </c>
      <c r="E780" s="69">
        <v>136.5</v>
      </c>
      <c r="F780" s="170">
        <v>273</v>
      </c>
      <c r="G780" s="136">
        <v>151</v>
      </c>
    </row>
    <row r="781" spans="1:7" ht="14.25" customHeight="1" x14ac:dyDescent="0.3">
      <c r="A781" s="131">
        <v>7902</v>
      </c>
      <c r="B781" s="131" t="s">
        <v>1386</v>
      </c>
      <c r="C781" s="135" t="s">
        <v>100</v>
      </c>
      <c r="D781" s="69">
        <v>183</v>
      </c>
      <c r="E781" s="69">
        <v>182.5</v>
      </c>
      <c r="F781" s="170">
        <v>365</v>
      </c>
      <c r="G781" s="136">
        <v>182</v>
      </c>
    </row>
    <row r="782" spans="1:7" ht="14.25" customHeight="1" x14ac:dyDescent="0.3">
      <c r="A782" s="131">
        <v>7903</v>
      </c>
      <c r="B782" s="131" t="s">
        <v>1387</v>
      </c>
      <c r="C782" s="135" t="s">
        <v>101</v>
      </c>
      <c r="D782" s="69">
        <v>122</v>
      </c>
      <c r="E782" s="69">
        <v>136.5</v>
      </c>
      <c r="F782" s="170">
        <v>273</v>
      </c>
      <c r="G782" s="136">
        <v>151</v>
      </c>
    </row>
    <row r="783" spans="1:7" ht="14.25" customHeight="1" x14ac:dyDescent="0.3">
      <c r="A783" s="131">
        <v>7904</v>
      </c>
      <c r="B783" s="131" t="s">
        <v>1388</v>
      </c>
      <c r="C783" s="135" t="s">
        <v>102</v>
      </c>
      <c r="D783" s="69">
        <v>183</v>
      </c>
      <c r="E783" s="69">
        <v>182.5</v>
      </c>
      <c r="F783" s="170">
        <v>365</v>
      </c>
      <c r="G783" s="136">
        <v>182</v>
      </c>
    </row>
    <row r="784" spans="1:7" ht="14.25" customHeight="1" x14ac:dyDescent="0.3">
      <c r="A784" s="131">
        <v>7905</v>
      </c>
      <c r="B784" s="131" t="s">
        <v>1389</v>
      </c>
      <c r="C784" s="135" t="s">
        <v>103</v>
      </c>
      <c r="D784" s="69">
        <v>183</v>
      </c>
      <c r="E784" s="69">
        <v>182.5</v>
      </c>
      <c r="F784" s="170">
        <v>365</v>
      </c>
      <c r="G784" s="136">
        <v>182</v>
      </c>
    </row>
    <row r="785" spans="1:7" ht="14.25" customHeight="1" x14ac:dyDescent="0.3">
      <c r="A785" s="131">
        <v>7906</v>
      </c>
      <c r="B785" s="131" t="s">
        <v>1391</v>
      </c>
      <c r="C785" s="135" t="s">
        <v>1390</v>
      </c>
      <c r="D785" s="69">
        <v>183</v>
      </c>
      <c r="E785" s="69">
        <v>182.5</v>
      </c>
      <c r="F785" s="170">
        <v>365</v>
      </c>
      <c r="G785" s="136">
        <v>182</v>
      </c>
    </row>
    <row r="786" spans="1:7" ht="14.25" customHeight="1" x14ac:dyDescent="0.3">
      <c r="A786" s="131">
        <v>7907</v>
      </c>
      <c r="B786" s="131" t="s">
        <v>1392</v>
      </c>
      <c r="C786" s="135" t="s">
        <v>164</v>
      </c>
      <c r="D786" s="69">
        <v>183</v>
      </c>
      <c r="E786" s="69">
        <v>182.5</v>
      </c>
      <c r="F786" s="170">
        <v>365</v>
      </c>
      <c r="G786" s="136">
        <v>182</v>
      </c>
    </row>
    <row r="787" spans="1:7" ht="14.25" customHeight="1" x14ac:dyDescent="0.3">
      <c r="A787" s="131">
        <v>7908</v>
      </c>
      <c r="B787" s="131" t="s">
        <v>1393</v>
      </c>
      <c r="C787" s="135" t="s">
        <v>165</v>
      </c>
      <c r="D787" s="69">
        <v>183</v>
      </c>
      <c r="E787" s="69">
        <v>182.5</v>
      </c>
      <c r="F787" s="170">
        <v>365</v>
      </c>
      <c r="G787" s="136">
        <v>182</v>
      </c>
    </row>
    <row r="788" spans="1:7" ht="14.25" customHeight="1" x14ac:dyDescent="0.3">
      <c r="A788" s="131">
        <v>7909</v>
      </c>
      <c r="B788" s="131" t="s">
        <v>1395</v>
      </c>
      <c r="C788" s="135" t="s">
        <v>1394</v>
      </c>
      <c r="D788" s="69">
        <v>122</v>
      </c>
      <c r="E788" s="69">
        <v>136.5</v>
      </c>
      <c r="F788" s="170">
        <v>273</v>
      </c>
      <c r="G788" s="136">
        <v>151</v>
      </c>
    </row>
    <row r="789" spans="1:7" ht="14.25" customHeight="1" x14ac:dyDescent="0.3">
      <c r="A789" s="131">
        <v>7911</v>
      </c>
      <c r="B789" s="131" t="s">
        <v>1396</v>
      </c>
      <c r="C789" s="135" t="s">
        <v>166</v>
      </c>
      <c r="D789" s="69">
        <v>183</v>
      </c>
      <c r="E789" s="69">
        <v>182.5</v>
      </c>
      <c r="F789" s="170">
        <v>365</v>
      </c>
      <c r="G789" s="136">
        <v>182</v>
      </c>
    </row>
    <row r="790" spans="1:7" ht="14.25" customHeight="1" x14ac:dyDescent="0.3">
      <c r="A790" s="131">
        <v>7913</v>
      </c>
      <c r="B790" s="131" t="s">
        <v>1398</v>
      </c>
      <c r="C790" s="135" t="s">
        <v>1397</v>
      </c>
      <c r="D790" s="69">
        <v>183</v>
      </c>
      <c r="E790" s="69">
        <v>182.5</v>
      </c>
      <c r="F790" s="170">
        <v>365</v>
      </c>
      <c r="G790" s="136">
        <v>182</v>
      </c>
    </row>
    <row r="791" spans="1:7" ht="14.25" customHeight="1" x14ac:dyDescent="0.3">
      <c r="A791" s="131">
        <v>7914</v>
      </c>
      <c r="B791" s="131" t="s">
        <v>1400</v>
      </c>
      <c r="C791" s="135" t="s">
        <v>1399</v>
      </c>
      <c r="D791" s="69">
        <v>122</v>
      </c>
      <c r="E791" s="69">
        <v>136.5</v>
      </c>
      <c r="F791" s="170">
        <v>273</v>
      </c>
      <c r="G791" s="136">
        <v>151</v>
      </c>
    </row>
    <row r="792" spans="1:7" ht="14.25" customHeight="1" x14ac:dyDescent="0.3">
      <c r="A792" s="137">
        <v>7915</v>
      </c>
      <c r="B792" s="131" t="s">
        <v>1401</v>
      </c>
      <c r="C792" s="139" t="s">
        <v>1719</v>
      </c>
      <c r="D792" s="69">
        <v>137</v>
      </c>
      <c r="E792" s="69">
        <v>136.5</v>
      </c>
      <c r="F792" s="170">
        <v>273</v>
      </c>
      <c r="G792" s="136">
        <v>136</v>
      </c>
    </row>
    <row r="793" spans="1:7" ht="14.25" customHeight="1" x14ac:dyDescent="0.3">
      <c r="A793" s="137">
        <v>7916</v>
      </c>
      <c r="B793" s="138" t="s">
        <v>2462</v>
      </c>
      <c r="C793" s="139" t="s">
        <v>1817</v>
      </c>
      <c r="D793" s="69">
        <v>137</v>
      </c>
      <c r="E793" s="69">
        <v>136.5</v>
      </c>
      <c r="F793" s="170">
        <v>273</v>
      </c>
      <c r="G793" s="136">
        <v>136</v>
      </c>
    </row>
    <row r="794" spans="1:7" ht="14.25" customHeight="1" x14ac:dyDescent="0.3">
      <c r="A794" s="137">
        <v>7917</v>
      </c>
      <c r="B794" s="138" t="s">
        <v>2174</v>
      </c>
      <c r="C794" s="139" t="s">
        <v>2175</v>
      </c>
      <c r="D794" s="69">
        <v>137</v>
      </c>
      <c r="E794" s="69">
        <v>136.5</v>
      </c>
      <c r="F794" s="170">
        <v>273</v>
      </c>
      <c r="G794" s="136">
        <v>136</v>
      </c>
    </row>
    <row r="795" spans="1:7" ht="14.25" customHeight="1" x14ac:dyDescent="0.3">
      <c r="A795" s="137">
        <v>7920</v>
      </c>
      <c r="B795" s="138" t="s">
        <v>1403</v>
      </c>
      <c r="C795" s="139" t="s">
        <v>1720</v>
      </c>
      <c r="D795" s="69">
        <v>122</v>
      </c>
      <c r="E795" s="69">
        <v>136.5</v>
      </c>
      <c r="F795" s="170">
        <v>273</v>
      </c>
      <c r="G795" s="136">
        <v>151</v>
      </c>
    </row>
    <row r="796" spans="1:7" ht="14.25" customHeight="1" x14ac:dyDescent="0.3">
      <c r="A796" s="137">
        <v>7921</v>
      </c>
      <c r="B796" s="131" t="s">
        <v>1404</v>
      </c>
      <c r="C796" s="139" t="s">
        <v>1721</v>
      </c>
      <c r="D796" s="69">
        <v>122</v>
      </c>
      <c r="E796" s="69">
        <v>136.5</v>
      </c>
      <c r="F796" s="170">
        <v>273</v>
      </c>
      <c r="G796" s="136">
        <v>151</v>
      </c>
    </row>
    <row r="797" spans="1:7" ht="14.25" customHeight="1" x14ac:dyDescent="0.3">
      <c r="A797" s="137">
        <v>7922</v>
      </c>
      <c r="B797" s="138" t="s">
        <v>2463</v>
      </c>
      <c r="C797" s="139" t="s">
        <v>1818</v>
      </c>
      <c r="D797" s="69">
        <v>183</v>
      </c>
      <c r="E797" s="69">
        <v>182.5</v>
      </c>
      <c r="F797" s="170">
        <v>365</v>
      </c>
      <c r="G797" s="136">
        <v>182</v>
      </c>
    </row>
    <row r="798" spans="1:7" ht="14.25" customHeight="1" x14ac:dyDescent="0.3">
      <c r="A798" s="137">
        <v>7925</v>
      </c>
      <c r="B798" s="138" t="s">
        <v>2464</v>
      </c>
      <c r="C798" s="139" t="s">
        <v>2176</v>
      </c>
      <c r="D798" s="69">
        <v>183</v>
      </c>
      <c r="E798" s="69">
        <v>182.5</v>
      </c>
      <c r="F798" s="170">
        <v>365</v>
      </c>
      <c r="G798" s="136">
        <v>182</v>
      </c>
    </row>
    <row r="799" spans="1:7" ht="14.25" customHeight="1" x14ac:dyDescent="0.3">
      <c r="A799" s="137">
        <v>7926</v>
      </c>
      <c r="B799" s="138" t="s">
        <v>2177</v>
      </c>
      <c r="C799" s="139" t="s">
        <v>2178</v>
      </c>
      <c r="D799" s="69">
        <v>183</v>
      </c>
      <c r="E799" s="69">
        <v>182.5</v>
      </c>
      <c r="F799" s="170">
        <v>365</v>
      </c>
      <c r="G799" s="136">
        <v>182</v>
      </c>
    </row>
    <row r="800" spans="1:7" ht="14.25" customHeight="1" x14ac:dyDescent="0.3">
      <c r="A800" s="137">
        <v>7927</v>
      </c>
      <c r="B800" s="138" t="s">
        <v>2179</v>
      </c>
      <c r="C800" s="139" t="s">
        <v>2180</v>
      </c>
      <c r="D800" s="69">
        <v>183</v>
      </c>
      <c r="E800" s="69">
        <v>182.5</v>
      </c>
      <c r="F800" s="170">
        <v>365</v>
      </c>
      <c r="G800" s="136">
        <v>182</v>
      </c>
    </row>
    <row r="801" spans="1:7" ht="14.25" customHeight="1" x14ac:dyDescent="0.3">
      <c r="A801" s="137">
        <v>7941</v>
      </c>
      <c r="B801" s="138" t="s">
        <v>1929</v>
      </c>
      <c r="C801" s="139" t="s">
        <v>1192</v>
      </c>
      <c r="D801" s="69">
        <v>122</v>
      </c>
      <c r="E801" s="69">
        <v>136.5</v>
      </c>
      <c r="F801" s="170">
        <v>273</v>
      </c>
      <c r="G801" s="136">
        <v>151</v>
      </c>
    </row>
    <row r="802" spans="1:7" ht="14.25" customHeight="1" x14ac:dyDescent="0.3">
      <c r="A802" s="137">
        <v>7942</v>
      </c>
      <c r="B802" s="138" t="s">
        <v>2277</v>
      </c>
      <c r="C802" s="139" t="s">
        <v>1193</v>
      </c>
      <c r="D802" s="174">
        <v>183</v>
      </c>
      <c r="E802" s="174">
        <v>182.5</v>
      </c>
      <c r="F802" s="170">
        <v>365</v>
      </c>
      <c r="G802" s="175">
        <v>182</v>
      </c>
    </row>
    <row r="803" spans="1:7" ht="14.25" customHeight="1" x14ac:dyDescent="0.3">
      <c r="A803" s="137">
        <v>7943</v>
      </c>
      <c r="B803" s="138" t="s">
        <v>1918</v>
      </c>
      <c r="C803" s="139" t="s">
        <v>1195</v>
      </c>
      <c r="D803" s="69">
        <v>122</v>
      </c>
      <c r="E803" s="69">
        <v>136.5</v>
      </c>
      <c r="F803" s="170">
        <v>273</v>
      </c>
      <c r="G803" s="136">
        <v>151</v>
      </c>
    </row>
    <row r="804" spans="1:7" ht="14.25" customHeight="1" x14ac:dyDescent="0.3">
      <c r="A804" s="137">
        <v>7944</v>
      </c>
      <c r="B804" s="138" t="s">
        <v>1921</v>
      </c>
      <c r="C804" s="139" t="s">
        <v>1922</v>
      </c>
      <c r="D804" s="69">
        <v>122</v>
      </c>
      <c r="E804" s="69">
        <v>136.5</v>
      </c>
      <c r="F804" s="170">
        <v>273</v>
      </c>
      <c r="G804" s="136">
        <v>151</v>
      </c>
    </row>
    <row r="805" spans="1:7" ht="14.25" customHeight="1" x14ac:dyDescent="0.3">
      <c r="A805" s="186">
        <v>7945</v>
      </c>
      <c r="B805" s="187" t="s">
        <v>1927</v>
      </c>
      <c r="C805" s="148" t="s">
        <v>1928</v>
      </c>
      <c r="D805" s="188">
        <v>122</v>
      </c>
      <c r="E805" s="188">
        <v>136.5</v>
      </c>
      <c r="F805" s="170">
        <v>273</v>
      </c>
      <c r="G805" s="189">
        <v>151</v>
      </c>
    </row>
    <row r="806" spans="1:7" ht="14.25" customHeight="1" x14ac:dyDescent="0.3">
      <c r="A806" s="186">
        <v>7946</v>
      </c>
      <c r="B806" s="187" t="s">
        <v>2350</v>
      </c>
      <c r="C806" s="148" t="s">
        <v>2181</v>
      </c>
      <c r="D806" s="188">
        <v>122</v>
      </c>
      <c r="E806" s="188">
        <v>136.5</v>
      </c>
      <c r="F806" s="170">
        <v>273</v>
      </c>
      <c r="G806" s="189">
        <v>151</v>
      </c>
    </row>
    <row r="807" spans="1:7" ht="14.25" customHeight="1" x14ac:dyDescent="0.3">
      <c r="A807" s="186">
        <v>7947</v>
      </c>
      <c r="B807" s="187" t="s">
        <v>2278</v>
      </c>
      <c r="C807" s="148" t="s">
        <v>2349</v>
      </c>
      <c r="D807" s="188">
        <v>122</v>
      </c>
      <c r="E807" s="188">
        <v>136.5</v>
      </c>
      <c r="F807" s="170">
        <v>273</v>
      </c>
      <c r="G807" s="189">
        <v>151</v>
      </c>
    </row>
    <row r="808" spans="1:7" ht="14.25" customHeight="1" x14ac:dyDescent="0.3">
      <c r="A808" s="131">
        <v>8420</v>
      </c>
      <c r="B808" s="131" t="s">
        <v>1505</v>
      </c>
      <c r="C808" s="135" t="s">
        <v>174</v>
      </c>
      <c r="D808" s="69">
        <v>183</v>
      </c>
      <c r="E808" s="69">
        <v>182.5</v>
      </c>
      <c r="F808" s="170">
        <v>365</v>
      </c>
      <c r="G808" s="136">
        <v>182</v>
      </c>
    </row>
    <row r="809" spans="1:7" ht="14.25" customHeight="1" x14ac:dyDescent="0.3">
      <c r="A809" s="131">
        <v>8421</v>
      </c>
      <c r="B809" s="131" t="s">
        <v>1506</v>
      </c>
      <c r="C809" s="135" t="s">
        <v>175</v>
      </c>
      <c r="D809" s="69">
        <v>183</v>
      </c>
      <c r="E809" s="69">
        <v>182.5</v>
      </c>
      <c r="F809" s="170">
        <v>365</v>
      </c>
      <c r="G809" s="136">
        <v>182</v>
      </c>
    </row>
    <row r="810" spans="1:7" ht="14.25" customHeight="1" x14ac:dyDescent="0.3">
      <c r="A810" s="131">
        <v>8422</v>
      </c>
      <c r="B810" s="131" t="s">
        <v>1508</v>
      </c>
      <c r="C810" s="135" t="s">
        <v>1507</v>
      </c>
      <c r="D810" s="69">
        <v>183</v>
      </c>
      <c r="E810" s="69">
        <v>182.5</v>
      </c>
      <c r="F810" s="170">
        <v>365</v>
      </c>
      <c r="G810" s="136">
        <v>182</v>
      </c>
    </row>
    <row r="811" spans="1:7" ht="14.25" customHeight="1" x14ac:dyDescent="0.3">
      <c r="A811" s="131">
        <v>8424</v>
      </c>
      <c r="B811" s="131" t="s">
        <v>1511</v>
      </c>
      <c r="C811" s="135" t="s">
        <v>1510</v>
      </c>
      <c r="D811" s="69">
        <v>183</v>
      </c>
      <c r="E811" s="69">
        <v>182.5</v>
      </c>
      <c r="F811" s="170">
        <v>365</v>
      </c>
      <c r="G811" s="136">
        <v>182</v>
      </c>
    </row>
    <row r="812" spans="1:7" ht="14.25" customHeight="1" x14ac:dyDescent="0.3">
      <c r="A812" s="131">
        <v>8427</v>
      </c>
      <c r="B812" s="131" t="s">
        <v>1513</v>
      </c>
      <c r="C812" s="135" t="s">
        <v>1512</v>
      </c>
      <c r="D812" s="69">
        <v>183</v>
      </c>
      <c r="E812" s="69">
        <v>182.5</v>
      </c>
      <c r="F812" s="170">
        <v>365</v>
      </c>
      <c r="G812" s="136">
        <v>182</v>
      </c>
    </row>
    <row r="813" spans="1:7" ht="14.25" customHeight="1" x14ac:dyDescent="0.3">
      <c r="A813" s="137">
        <v>5628</v>
      </c>
      <c r="B813" s="138" t="s">
        <v>2393</v>
      </c>
      <c r="C813" s="139" t="s">
        <v>2394</v>
      </c>
      <c r="D813" s="69">
        <v>365</v>
      </c>
      <c r="E813" s="69">
        <v>365</v>
      </c>
      <c r="F813" s="170">
        <v>730</v>
      </c>
      <c r="G813" s="136">
        <v>365</v>
      </c>
    </row>
    <row r="814" spans="1:7" ht="14.25" customHeight="1" x14ac:dyDescent="0.3">
      <c r="A814" s="137">
        <v>5636</v>
      </c>
      <c r="B814" s="138" t="s">
        <v>2261</v>
      </c>
      <c r="C814" s="139" t="s">
        <v>2275</v>
      </c>
      <c r="D814" s="69">
        <v>365</v>
      </c>
      <c r="E814" s="69">
        <v>365</v>
      </c>
      <c r="F814" s="170">
        <v>730</v>
      </c>
      <c r="G814" s="136">
        <v>365</v>
      </c>
    </row>
    <row r="815" spans="1:7" ht="14.25" customHeight="1" x14ac:dyDescent="0.3">
      <c r="A815" s="137">
        <v>5637</v>
      </c>
      <c r="B815" s="138" t="s">
        <v>2062</v>
      </c>
      <c r="C815" s="139" t="s">
        <v>2063</v>
      </c>
      <c r="D815" s="69">
        <v>365</v>
      </c>
      <c r="E815" s="69">
        <v>365</v>
      </c>
      <c r="F815" s="170">
        <v>730</v>
      </c>
      <c r="G815" s="136">
        <v>365</v>
      </c>
    </row>
    <row r="816" spans="1:7" ht="14.25" customHeight="1" x14ac:dyDescent="0.3">
      <c r="A816" s="137">
        <v>5638</v>
      </c>
      <c r="B816" s="138" t="s">
        <v>2064</v>
      </c>
      <c r="C816" s="139" t="s">
        <v>2065</v>
      </c>
      <c r="D816" s="69">
        <v>365</v>
      </c>
      <c r="E816" s="69">
        <v>365</v>
      </c>
      <c r="F816" s="170">
        <v>730</v>
      </c>
      <c r="G816" s="136">
        <v>365</v>
      </c>
    </row>
    <row r="817" spans="1:7" ht="14.25" customHeight="1" x14ac:dyDescent="0.3">
      <c r="A817" s="137">
        <v>5639</v>
      </c>
      <c r="B817" s="138" t="s">
        <v>1866</v>
      </c>
      <c r="C817" s="139" t="s">
        <v>1867</v>
      </c>
      <c r="D817" s="69">
        <v>365</v>
      </c>
      <c r="E817" s="69">
        <v>365</v>
      </c>
      <c r="F817" s="170">
        <v>730</v>
      </c>
      <c r="G817" s="136">
        <v>365</v>
      </c>
    </row>
    <row r="818" spans="1:7" ht="14.25" customHeight="1" x14ac:dyDescent="0.3">
      <c r="A818" s="137">
        <v>56400</v>
      </c>
      <c r="B818" s="138" t="s">
        <v>1060</v>
      </c>
      <c r="C818" s="139" t="s">
        <v>426</v>
      </c>
      <c r="D818" s="69">
        <v>365</v>
      </c>
      <c r="E818" s="69">
        <v>365</v>
      </c>
      <c r="F818" s="170">
        <v>730</v>
      </c>
      <c r="G818" s="136">
        <v>365</v>
      </c>
    </row>
    <row r="819" spans="1:7" ht="14.25" customHeight="1" x14ac:dyDescent="0.3">
      <c r="A819" s="137">
        <v>5641</v>
      </c>
      <c r="B819" s="138" t="s">
        <v>1061</v>
      </c>
      <c r="C819" s="139" t="s">
        <v>427</v>
      </c>
      <c r="D819" s="69">
        <v>365</v>
      </c>
      <c r="E819" s="69">
        <v>365</v>
      </c>
      <c r="F819" s="170">
        <v>730</v>
      </c>
      <c r="G819" s="136">
        <v>365</v>
      </c>
    </row>
    <row r="820" spans="1:7" ht="14.25" customHeight="1" x14ac:dyDescent="0.3">
      <c r="A820" s="137">
        <v>5642</v>
      </c>
      <c r="B820" s="138" t="s">
        <v>1645</v>
      </c>
      <c r="C820" s="139" t="s">
        <v>1646</v>
      </c>
      <c r="D820" s="69">
        <v>365</v>
      </c>
      <c r="E820" s="69">
        <v>365</v>
      </c>
      <c r="F820" s="170">
        <v>730</v>
      </c>
      <c r="G820" s="136">
        <v>365</v>
      </c>
    </row>
    <row r="821" spans="1:7" ht="14.25" customHeight="1" x14ac:dyDescent="0.3">
      <c r="A821" s="137">
        <v>5643</v>
      </c>
      <c r="B821" s="138" t="s">
        <v>2465</v>
      </c>
      <c r="C821" s="139" t="s">
        <v>1627</v>
      </c>
      <c r="D821" s="69">
        <v>365</v>
      </c>
      <c r="E821" s="69">
        <v>365</v>
      </c>
      <c r="F821" s="170">
        <v>730</v>
      </c>
      <c r="G821" s="136">
        <v>365</v>
      </c>
    </row>
    <row r="822" spans="1:7" ht="14.25" customHeight="1" x14ac:dyDescent="0.3">
      <c r="A822" s="137">
        <v>5654</v>
      </c>
      <c r="B822" s="138" t="s">
        <v>2283</v>
      </c>
      <c r="C822" s="139" t="s">
        <v>2284</v>
      </c>
      <c r="D822" s="69">
        <v>365</v>
      </c>
      <c r="E822" s="69">
        <v>365</v>
      </c>
      <c r="F822" s="170">
        <v>730</v>
      </c>
      <c r="G822" s="136">
        <v>365</v>
      </c>
    </row>
    <row r="823" spans="1:7" ht="14.25" customHeight="1" x14ac:dyDescent="0.3">
      <c r="A823" s="137">
        <v>5656</v>
      </c>
      <c r="B823" s="138" t="s">
        <v>2355</v>
      </c>
      <c r="C823" s="139" t="s">
        <v>2329</v>
      </c>
      <c r="D823" s="69">
        <v>365</v>
      </c>
      <c r="E823" s="69">
        <v>365</v>
      </c>
      <c r="F823" s="170">
        <v>730</v>
      </c>
      <c r="G823" s="136">
        <v>365</v>
      </c>
    </row>
    <row r="824" spans="1:7" ht="14.25" customHeight="1" x14ac:dyDescent="0.3">
      <c r="A824" s="137">
        <v>5662</v>
      </c>
      <c r="B824" s="138" t="s">
        <v>2497</v>
      </c>
      <c r="C824" s="139" t="s">
        <v>2501</v>
      </c>
      <c r="D824" s="69">
        <v>365</v>
      </c>
      <c r="E824" s="69">
        <v>365</v>
      </c>
      <c r="F824" s="170">
        <v>730</v>
      </c>
      <c r="G824" s="136">
        <v>365</v>
      </c>
    </row>
    <row r="825" spans="1:7" ht="14.25" customHeight="1" x14ac:dyDescent="0.3">
      <c r="A825" s="137">
        <v>5664</v>
      </c>
      <c r="B825" s="138" t="s">
        <v>2560</v>
      </c>
      <c r="C825" s="139" t="s">
        <v>2561</v>
      </c>
      <c r="D825" s="69">
        <v>365</v>
      </c>
      <c r="E825" s="69">
        <v>365</v>
      </c>
      <c r="F825" s="170">
        <v>730</v>
      </c>
      <c r="G825" s="136">
        <v>365</v>
      </c>
    </row>
    <row r="826" spans="1:7" ht="14.25" customHeight="1" x14ac:dyDescent="0.3">
      <c r="A826" s="137">
        <v>5668</v>
      </c>
      <c r="B826" s="138" t="s">
        <v>2570</v>
      </c>
      <c r="C826" s="139" t="s">
        <v>2571</v>
      </c>
      <c r="D826" s="69">
        <v>365</v>
      </c>
      <c r="E826" s="69">
        <v>365</v>
      </c>
      <c r="F826" s="170">
        <v>730</v>
      </c>
      <c r="G826" s="136">
        <v>365</v>
      </c>
    </row>
    <row r="827" spans="1:7" ht="14.25" customHeight="1" x14ac:dyDescent="0.3">
      <c r="A827" s="137">
        <v>5676</v>
      </c>
      <c r="B827" s="138" t="s">
        <v>2665</v>
      </c>
      <c r="C827" s="139" t="s">
        <v>2666</v>
      </c>
      <c r="D827" s="69">
        <v>365</v>
      </c>
      <c r="E827" s="69">
        <v>365</v>
      </c>
      <c r="F827" s="170">
        <v>730</v>
      </c>
      <c r="G827" s="136">
        <v>365</v>
      </c>
    </row>
    <row r="828" spans="1:7" ht="14.25" customHeight="1" x14ac:dyDescent="0.3">
      <c r="A828" s="137">
        <v>5679</v>
      </c>
      <c r="B828" s="138" t="s">
        <v>2684</v>
      </c>
      <c r="C828" s="139" t="s">
        <v>2683</v>
      </c>
      <c r="D828" s="69">
        <v>365</v>
      </c>
      <c r="E828" s="69">
        <v>365</v>
      </c>
      <c r="F828" s="170">
        <v>730</v>
      </c>
      <c r="G828" s="136">
        <v>365</v>
      </c>
    </row>
    <row r="829" spans="1:7" ht="14.25" customHeight="1" x14ac:dyDescent="0.3">
      <c r="A829" s="137">
        <v>5672</v>
      </c>
      <c r="B829" s="138" t="s">
        <v>2606</v>
      </c>
      <c r="C829" s="139" t="s">
        <v>2608</v>
      </c>
      <c r="D829" s="69">
        <v>365</v>
      </c>
      <c r="E829" s="69">
        <v>365</v>
      </c>
      <c r="F829" s="170">
        <v>730</v>
      </c>
      <c r="G829" s="136">
        <v>365</v>
      </c>
    </row>
    <row r="830" spans="1:7" ht="14.25" customHeight="1" x14ac:dyDescent="0.3">
      <c r="A830" s="137">
        <v>5673</v>
      </c>
      <c r="B830" s="138" t="s">
        <v>2607</v>
      </c>
      <c r="C830" s="139" t="s">
        <v>2609</v>
      </c>
      <c r="D830" s="69">
        <v>365</v>
      </c>
      <c r="E830" s="69">
        <v>365</v>
      </c>
      <c r="F830" s="170">
        <v>730</v>
      </c>
      <c r="G830" s="136">
        <v>365</v>
      </c>
    </row>
    <row r="831" spans="1:7" ht="14.25" customHeight="1" x14ac:dyDescent="0.3">
      <c r="A831" s="196" t="s">
        <v>2685</v>
      </c>
      <c r="B831" s="151" t="s">
        <v>2685</v>
      </c>
      <c r="C831" s="3" t="s">
        <v>2682</v>
      </c>
      <c r="D831" s="69">
        <v>183</v>
      </c>
      <c r="E831" s="69">
        <v>182.5</v>
      </c>
      <c r="F831" s="170">
        <v>365</v>
      </c>
      <c r="G831" s="136">
        <v>182</v>
      </c>
    </row>
    <row r="832" spans="1:7" ht="14.25" customHeight="1" x14ac:dyDescent="0.3">
      <c r="A832" s="138"/>
      <c r="C832" s="139" t="s">
        <v>1722</v>
      </c>
      <c r="D832" s="69">
        <v>183</v>
      </c>
      <c r="E832" s="69">
        <v>182.5</v>
      </c>
      <c r="F832" s="170">
        <v>365</v>
      </c>
      <c r="G832" s="136">
        <v>182</v>
      </c>
    </row>
    <row r="833" spans="1:7" ht="14.25" customHeight="1" x14ac:dyDescent="0.3">
      <c r="A833" s="131">
        <v>4563</v>
      </c>
      <c r="B833" s="131" t="s">
        <v>773</v>
      </c>
      <c r="C833" s="135" t="s">
        <v>772</v>
      </c>
      <c r="D833" s="69">
        <v>183</v>
      </c>
      <c r="E833" s="69">
        <v>182.5</v>
      </c>
      <c r="F833" s="170">
        <v>365</v>
      </c>
      <c r="G833" s="136">
        <v>182</v>
      </c>
    </row>
    <row r="834" spans="1:7" ht="14.25" customHeight="1" x14ac:dyDescent="0.3">
      <c r="A834" s="137">
        <v>4564</v>
      </c>
      <c r="B834" s="138" t="s">
        <v>2020</v>
      </c>
      <c r="C834" s="139" t="s">
        <v>2021</v>
      </c>
      <c r="D834" s="69">
        <v>183</v>
      </c>
      <c r="E834" s="69">
        <v>182.5</v>
      </c>
      <c r="F834" s="170">
        <v>365</v>
      </c>
      <c r="G834" s="136">
        <v>182</v>
      </c>
    </row>
    <row r="835" spans="1:7" ht="14.25" customHeight="1" x14ac:dyDescent="0.3">
      <c r="A835" s="131">
        <v>4566</v>
      </c>
      <c r="B835" s="131" t="s">
        <v>776</v>
      </c>
      <c r="C835" s="135" t="s">
        <v>775</v>
      </c>
      <c r="D835" s="69">
        <v>365</v>
      </c>
      <c r="E835" s="69">
        <v>365</v>
      </c>
      <c r="F835" s="170">
        <v>730</v>
      </c>
      <c r="G835" s="136">
        <v>365</v>
      </c>
    </row>
    <row r="836" spans="1:7" ht="14.25" customHeight="1" x14ac:dyDescent="0.3">
      <c r="A836" s="137">
        <v>4567</v>
      </c>
      <c r="B836" s="138" t="s">
        <v>2022</v>
      </c>
      <c r="C836" s="139" t="s">
        <v>2023</v>
      </c>
      <c r="D836" s="69">
        <v>183</v>
      </c>
      <c r="E836" s="69">
        <v>182.5</v>
      </c>
      <c r="F836" s="170">
        <v>365</v>
      </c>
      <c r="G836" s="136">
        <v>182</v>
      </c>
    </row>
    <row r="837" spans="1:7" ht="14.25" customHeight="1" x14ac:dyDescent="0.3">
      <c r="A837" s="131">
        <v>5367</v>
      </c>
      <c r="B837" s="131" t="s">
        <v>958</v>
      </c>
      <c r="C837" s="135" t="s">
        <v>957</v>
      </c>
      <c r="D837" s="69">
        <v>365</v>
      </c>
      <c r="E837" s="69">
        <v>365</v>
      </c>
      <c r="F837" s="170">
        <v>730</v>
      </c>
      <c r="G837" s="136">
        <v>365</v>
      </c>
    </row>
    <row r="838" spans="1:7" ht="14.25" customHeight="1" x14ac:dyDescent="0.3">
      <c r="A838" s="131">
        <v>5368</v>
      </c>
      <c r="B838" s="131" t="s">
        <v>960</v>
      </c>
      <c r="C838" s="135" t="s">
        <v>959</v>
      </c>
      <c r="D838" s="69">
        <v>183</v>
      </c>
      <c r="E838" s="69">
        <v>182.5</v>
      </c>
      <c r="F838" s="170">
        <v>365</v>
      </c>
      <c r="G838" s="136">
        <v>182</v>
      </c>
    </row>
    <row r="839" spans="1:7" ht="14.25" customHeight="1" x14ac:dyDescent="0.3">
      <c r="A839" s="131">
        <v>5369</v>
      </c>
      <c r="B839" s="131" t="s">
        <v>962</v>
      </c>
      <c r="C839" s="135" t="s">
        <v>961</v>
      </c>
      <c r="D839" s="69">
        <v>183</v>
      </c>
      <c r="E839" s="69">
        <v>182.5</v>
      </c>
      <c r="F839" s="170">
        <v>365</v>
      </c>
      <c r="G839" s="136">
        <v>182</v>
      </c>
    </row>
    <row r="840" spans="1:7" ht="14.25" customHeight="1" x14ac:dyDescent="0.3">
      <c r="A840" s="131">
        <v>5377</v>
      </c>
      <c r="B840" s="131" t="s">
        <v>964</v>
      </c>
      <c r="C840" s="135" t="s">
        <v>963</v>
      </c>
      <c r="D840" s="69">
        <v>365</v>
      </c>
      <c r="E840" s="69">
        <v>365</v>
      </c>
      <c r="F840" s="170">
        <v>730</v>
      </c>
      <c r="G840" s="136">
        <v>365</v>
      </c>
    </row>
    <row r="841" spans="1:7" ht="14.25" customHeight="1" x14ac:dyDescent="0.3">
      <c r="A841" s="131">
        <v>5378</v>
      </c>
      <c r="B841" s="131" t="s">
        <v>966</v>
      </c>
      <c r="C841" s="135" t="s">
        <v>965</v>
      </c>
      <c r="D841" s="69">
        <v>183</v>
      </c>
      <c r="E841" s="69">
        <v>182.5</v>
      </c>
      <c r="F841" s="170">
        <v>365</v>
      </c>
      <c r="G841" s="136">
        <v>182</v>
      </c>
    </row>
    <row r="842" spans="1:7" ht="14.25" customHeight="1" x14ac:dyDescent="0.3">
      <c r="A842" s="131">
        <v>6273</v>
      </c>
      <c r="B842" s="131" t="s">
        <v>1142</v>
      </c>
      <c r="C842" s="135" t="s">
        <v>1141</v>
      </c>
      <c r="D842" s="69">
        <v>183</v>
      </c>
      <c r="E842" s="69">
        <v>182.5</v>
      </c>
      <c r="F842" s="170">
        <v>365</v>
      </c>
      <c r="G842" s="136">
        <v>182</v>
      </c>
    </row>
    <row r="843" spans="1:7" ht="14.25" customHeight="1" x14ac:dyDescent="0.3">
      <c r="A843" s="137">
        <v>6274</v>
      </c>
      <c r="B843" s="138" t="s">
        <v>2112</v>
      </c>
      <c r="C843" s="139" t="s">
        <v>2113</v>
      </c>
      <c r="D843" s="69">
        <v>183</v>
      </c>
      <c r="E843" s="69">
        <v>182.5</v>
      </c>
      <c r="F843" s="170">
        <v>365</v>
      </c>
      <c r="G843" s="136">
        <v>182</v>
      </c>
    </row>
    <row r="844" spans="1:7" ht="14.25" customHeight="1" x14ac:dyDescent="0.3">
      <c r="A844" s="137">
        <v>6276</v>
      </c>
      <c r="B844" s="138" t="s">
        <v>2114</v>
      </c>
      <c r="C844" s="139" t="s">
        <v>2115</v>
      </c>
      <c r="D844" s="69">
        <v>183</v>
      </c>
      <c r="E844" s="69">
        <v>182.5</v>
      </c>
      <c r="F844" s="170">
        <v>365</v>
      </c>
      <c r="G844" s="136">
        <v>182</v>
      </c>
    </row>
    <row r="845" spans="1:7" ht="14.25" customHeight="1" x14ac:dyDescent="0.3">
      <c r="A845" s="137">
        <v>6277</v>
      </c>
      <c r="B845" s="138" t="s">
        <v>1868</v>
      </c>
      <c r="C845" s="139" t="s">
        <v>1932</v>
      </c>
      <c r="D845" s="69">
        <v>183</v>
      </c>
      <c r="E845" s="69">
        <v>182.5</v>
      </c>
      <c r="F845" s="170">
        <v>365</v>
      </c>
      <c r="G845" s="136">
        <v>182</v>
      </c>
    </row>
    <row r="846" spans="1:7" ht="14.25" customHeight="1" x14ac:dyDescent="0.3">
      <c r="A846" s="137">
        <v>6285</v>
      </c>
      <c r="B846" s="138" t="s">
        <v>2565</v>
      </c>
      <c r="C846" s="139" t="s">
        <v>2564</v>
      </c>
      <c r="D846" s="69">
        <v>183</v>
      </c>
      <c r="E846" s="69">
        <v>182.5</v>
      </c>
      <c r="F846" s="170">
        <v>365</v>
      </c>
      <c r="G846" s="136">
        <v>182</v>
      </c>
    </row>
    <row r="847" spans="1:7" ht="14.25" customHeight="1" x14ac:dyDescent="0.3">
      <c r="A847" s="137">
        <v>1007</v>
      </c>
      <c r="B847" s="138" t="s">
        <v>2671</v>
      </c>
      <c r="C847" s="139" t="s">
        <v>2670</v>
      </c>
      <c r="D847" s="69">
        <v>183</v>
      </c>
      <c r="E847" s="69">
        <v>182.5</v>
      </c>
      <c r="F847" s="170">
        <v>365</v>
      </c>
      <c r="G847" s="136">
        <v>182</v>
      </c>
    </row>
    <row r="848" spans="1:7" ht="14.25" customHeight="1" x14ac:dyDescent="0.3">
      <c r="A848" s="131">
        <v>6279</v>
      </c>
      <c r="B848" s="131" t="s">
        <v>2280</v>
      </c>
      <c r="C848" s="135" t="s">
        <v>2281</v>
      </c>
      <c r="D848" s="69">
        <v>183</v>
      </c>
      <c r="E848" s="69">
        <v>182.5</v>
      </c>
      <c r="F848" s="170">
        <v>365</v>
      </c>
      <c r="G848" s="136">
        <v>182</v>
      </c>
    </row>
    <row r="849" spans="1:7" ht="14.25" customHeight="1" x14ac:dyDescent="0.3">
      <c r="A849" s="137">
        <v>6280</v>
      </c>
      <c r="B849" s="138" t="s">
        <v>2388</v>
      </c>
      <c r="C849" s="139" t="s">
        <v>2382</v>
      </c>
      <c r="D849" s="69">
        <v>84</v>
      </c>
      <c r="E849" s="69">
        <v>182.5</v>
      </c>
      <c r="F849" s="170">
        <v>365</v>
      </c>
      <c r="G849" s="136">
        <v>281</v>
      </c>
    </row>
    <row r="850" spans="1:7" ht="14.25" customHeight="1" x14ac:dyDescent="0.3">
      <c r="A850" s="131">
        <v>6871</v>
      </c>
      <c r="B850" s="131" t="s">
        <v>1250</v>
      </c>
      <c r="C850" s="135" t="s">
        <v>2526</v>
      </c>
      <c r="D850" s="69">
        <v>183</v>
      </c>
      <c r="E850" s="69">
        <v>182.5</v>
      </c>
      <c r="F850" s="170">
        <v>365</v>
      </c>
      <c r="G850" s="136">
        <v>182</v>
      </c>
    </row>
    <row r="851" spans="1:7" ht="14.25" customHeight="1" x14ac:dyDescent="0.3">
      <c r="A851" s="146" t="s">
        <v>2490</v>
      </c>
      <c r="B851" s="131" t="s">
        <v>2490</v>
      </c>
      <c r="C851" s="135" t="s">
        <v>2489</v>
      </c>
      <c r="D851" s="69">
        <v>183</v>
      </c>
      <c r="E851" s="69">
        <v>182.5</v>
      </c>
      <c r="F851" s="170">
        <v>365</v>
      </c>
      <c r="G851" s="136">
        <v>182</v>
      </c>
    </row>
    <row r="852" spans="1:7" ht="14.25" customHeight="1" x14ac:dyDescent="0.3">
      <c r="A852" s="131">
        <v>6873</v>
      </c>
      <c r="B852" s="131" t="s">
        <v>2466</v>
      </c>
      <c r="C852" s="135" t="s">
        <v>1819</v>
      </c>
      <c r="D852" s="69">
        <v>183</v>
      </c>
      <c r="E852" s="69">
        <v>182.5</v>
      </c>
      <c r="F852" s="170">
        <v>365</v>
      </c>
      <c r="G852" s="136">
        <v>182</v>
      </c>
    </row>
    <row r="853" spans="1:7" ht="14.25" customHeight="1" x14ac:dyDescent="0.3">
      <c r="A853" s="131">
        <v>7220</v>
      </c>
      <c r="B853" s="131" t="s">
        <v>1316</v>
      </c>
      <c r="C853" s="135" t="s">
        <v>1315</v>
      </c>
      <c r="D853" s="69">
        <v>365</v>
      </c>
      <c r="E853" s="69">
        <v>365</v>
      </c>
      <c r="F853" s="170">
        <v>730</v>
      </c>
      <c r="G853" s="136">
        <v>365</v>
      </c>
    </row>
    <row r="854" spans="1:7" ht="14.25" customHeight="1" x14ac:dyDescent="0.3">
      <c r="A854" s="131">
        <v>8505</v>
      </c>
      <c r="B854" s="131" t="s">
        <v>1519</v>
      </c>
      <c r="C854" s="135" t="s">
        <v>118</v>
      </c>
      <c r="D854" s="69">
        <v>183</v>
      </c>
      <c r="E854" s="69">
        <v>182.5</v>
      </c>
      <c r="F854" s="170">
        <v>365</v>
      </c>
      <c r="G854" s="136">
        <v>182</v>
      </c>
    </row>
    <row r="855" spans="1:7" ht="14.25" customHeight="1" x14ac:dyDescent="0.3">
      <c r="A855" s="131">
        <v>8507</v>
      </c>
      <c r="B855" s="131" t="s">
        <v>1520</v>
      </c>
      <c r="C855" s="135" t="s">
        <v>119</v>
      </c>
      <c r="D855" s="69">
        <v>183</v>
      </c>
      <c r="E855" s="69">
        <v>182.5</v>
      </c>
      <c r="F855" s="170">
        <v>365</v>
      </c>
      <c r="G855" s="136">
        <v>182</v>
      </c>
    </row>
    <row r="856" spans="1:7" ht="14.25" customHeight="1" x14ac:dyDescent="0.3">
      <c r="A856" s="131">
        <v>8515</v>
      </c>
      <c r="B856" s="131" t="s">
        <v>1521</v>
      </c>
      <c r="C856" s="135" t="s">
        <v>223</v>
      </c>
      <c r="D856" s="69">
        <v>273</v>
      </c>
      <c r="E856" s="69">
        <v>270</v>
      </c>
      <c r="F856" s="170">
        <v>540</v>
      </c>
      <c r="G856" s="136">
        <v>267</v>
      </c>
    </row>
    <row r="857" spans="1:7" ht="14.25" customHeight="1" x14ac:dyDescent="0.3">
      <c r="A857" s="131">
        <v>8516</v>
      </c>
      <c r="B857" s="131" t="s">
        <v>1522</v>
      </c>
      <c r="C857" s="135" t="s">
        <v>224</v>
      </c>
      <c r="D857" s="69">
        <v>273</v>
      </c>
      <c r="E857" s="69">
        <v>270</v>
      </c>
      <c r="F857" s="170">
        <v>540</v>
      </c>
      <c r="G857" s="136">
        <v>267</v>
      </c>
    </row>
    <row r="858" spans="1:7" ht="14.25" customHeight="1" x14ac:dyDescent="0.3">
      <c r="A858" s="131">
        <v>8517</v>
      </c>
      <c r="B858" s="131" t="s">
        <v>1523</v>
      </c>
      <c r="C858" s="135" t="s">
        <v>225</v>
      </c>
      <c r="D858" s="69">
        <v>183</v>
      </c>
      <c r="E858" s="69">
        <v>182.5</v>
      </c>
      <c r="F858" s="170">
        <v>365</v>
      </c>
      <c r="G858" s="136">
        <v>182</v>
      </c>
    </row>
    <row r="859" spans="1:7" ht="14.25" customHeight="1" x14ac:dyDescent="0.3">
      <c r="A859" s="131">
        <v>8518</v>
      </c>
      <c r="B859" s="131" t="s">
        <v>1524</v>
      </c>
      <c r="C859" s="135" t="s">
        <v>226</v>
      </c>
      <c r="D859" s="69">
        <v>183</v>
      </c>
      <c r="E859" s="69">
        <v>182.5</v>
      </c>
      <c r="F859" s="170">
        <v>365</v>
      </c>
      <c r="G859" s="136">
        <v>182</v>
      </c>
    </row>
    <row r="860" spans="1:7" ht="14.25" customHeight="1" x14ac:dyDescent="0.3">
      <c r="A860" s="131">
        <v>8519</v>
      </c>
      <c r="B860" s="131" t="s">
        <v>1526</v>
      </c>
      <c r="C860" s="135" t="s">
        <v>227</v>
      </c>
      <c r="D860" s="69">
        <v>183</v>
      </c>
      <c r="E860" s="69">
        <v>182.5</v>
      </c>
      <c r="F860" s="170">
        <v>365</v>
      </c>
      <c r="G860" s="136">
        <v>182</v>
      </c>
    </row>
    <row r="861" spans="1:7" ht="14.25" customHeight="1" x14ac:dyDescent="0.3">
      <c r="A861" s="131">
        <v>8521</v>
      </c>
      <c r="B861" s="131" t="s">
        <v>1528</v>
      </c>
      <c r="C861" s="135" t="s">
        <v>1527</v>
      </c>
      <c r="D861" s="69">
        <v>365</v>
      </c>
      <c r="E861" s="69">
        <v>365</v>
      </c>
      <c r="F861" s="170">
        <v>730</v>
      </c>
      <c r="G861" s="136">
        <v>365</v>
      </c>
    </row>
    <row r="862" spans="1:7" ht="14.25" customHeight="1" x14ac:dyDescent="0.3">
      <c r="A862" s="131">
        <v>8526</v>
      </c>
      <c r="B862" s="131" t="s">
        <v>1531</v>
      </c>
      <c r="C862" s="135" t="s">
        <v>1530</v>
      </c>
      <c r="D862" s="69">
        <v>365</v>
      </c>
      <c r="E862" s="69">
        <v>365</v>
      </c>
      <c r="F862" s="170">
        <v>730</v>
      </c>
      <c r="G862" s="136">
        <v>365</v>
      </c>
    </row>
    <row r="863" spans="1:7" ht="14.25" customHeight="1" x14ac:dyDescent="0.3">
      <c r="A863" s="131">
        <v>8532</v>
      </c>
      <c r="B863" s="131" t="s">
        <v>1533</v>
      </c>
      <c r="C863" s="135" t="s">
        <v>1532</v>
      </c>
      <c r="D863" s="69">
        <v>183</v>
      </c>
      <c r="E863" s="69">
        <v>182.5</v>
      </c>
      <c r="F863" s="170">
        <v>365</v>
      </c>
      <c r="G863" s="136">
        <v>182</v>
      </c>
    </row>
    <row r="864" spans="1:7" ht="14.25" customHeight="1" x14ac:dyDescent="0.3">
      <c r="A864" s="131">
        <v>8541</v>
      </c>
      <c r="B864" s="131" t="s">
        <v>1536</v>
      </c>
      <c r="C864" s="135" t="s">
        <v>120</v>
      </c>
      <c r="D864" s="69">
        <v>183</v>
      </c>
      <c r="E864" s="69">
        <v>182.5</v>
      </c>
      <c r="F864" s="170">
        <v>365</v>
      </c>
      <c r="G864" s="136">
        <v>182</v>
      </c>
    </row>
    <row r="865" spans="1:7" ht="14.25" customHeight="1" x14ac:dyDescent="0.3">
      <c r="A865" s="131">
        <v>8547</v>
      </c>
      <c r="B865" s="131" t="s">
        <v>1538</v>
      </c>
      <c r="C865" s="135" t="s">
        <v>121</v>
      </c>
      <c r="D865" s="69">
        <v>183</v>
      </c>
      <c r="E865" s="69">
        <v>182.5</v>
      </c>
      <c r="F865" s="170">
        <v>365</v>
      </c>
      <c r="G865" s="136">
        <v>182</v>
      </c>
    </row>
    <row r="866" spans="1:7" ht="14.25" customHeight="1" x14ac:dyDescent="0.3">
      <c r="A866" s="131">
        <v>8548</v>
      </c>
      <c r="B866" s="131" t="s">
        <v>1539</v>
      </c>
      <c r="C866" s="135" t="s">
        <v>122</v>
      </c>
      <c r="D866" s="69">
        <v>183</v>
      </c>
      <c r="E866" s="69">
        <v>182.5</v>
      </c>
      <c r="F866" s="170">
        <v>365</v>
      </c>
      <c r="G866" s="136">
        <v>182</v>
      </c>
    </row>
    <row r="867" spans="1:7" ht="14.25" customHeight="1" x14ac:dyDescent="0.3">
      <c r="A867" s="131">
        <v>8566</v>
      </c>
      <c r="B867" s="131" t="s">
        <v>1544</v>
      </c>
      <c r="C867" s="135" t="s">
        <v>126</v>
      </c>
      <c r="D867" s="69">
        <v>183</v>
      </c>
      <c r="E867" s="69">
        <v>182.5</v>
      </c>
      <c r="F867" s="170">
        <v>365</v>
      </c>
      <c r="G867" s="136">
        <v>182</v>
      </c>
    </row>
    <row r="868" spans="1:7" ht="14.25" customHeight="1" x14ac:dyDescent="0.3">
      <c r="A868" s="131">
        <v>8572</v>
      </c>
      <c r="B868" s="131" t="s">
        <v>1547</v>
      </c>
      <c r="C868" s="135" t="s">
        <v>1546</v>
      </c>
      <c r="D868" s="69">
        <v>183</v>
      </c>
      <c r="E868" s="69">
        <v>182.5</v>
      </c>
      <c r="F868" s="170">
        <v>365</v>
      </c>
      <c r="G868" s="136">
        <v>182</v>
      </c>
    </row>
    <row r="869" spans="1:7" ht="14.25" customHeight="1" x14ac:dyDescent="0.3">
      <c r="A869" s="131">
        <v>8579</v>
      </c>
      <c r="B869" s="131" t="s">
        <v>1535</v>
      </c>
      <c r="C869" s="135" t="s">
        <v>176</v>
      </c>
      <c r="D869" s="69">
        <v>183</v>
      </c>
      <c r="E869" s="69">
        <v>182.5</v>
      </c>
      <c r="F869" s="170">
        <v>365</v>
      </c>
      <c r="G869" s="136">
        <v>182</v>
      </c>
    </row>
    <row r="870" spans="1:7" ht="14.25" customHeight="1" x14ac:dyDescent="0.3">
      <c r="A870" s="131">
        <v>8580</v>
      </c>
      <c r="B870" s="131" t="s">
        <v>1548</v>
      </c>
      <c r="C870" s="135" t="s">
        <v>177</v>
      </c>
      <c r="D870" s="69">
        <v>183</v>
      </c>
      <c r="E870" s="69">
        <v>182.5</v>
      </c>
      <c r="F870" s="170">
        <v>365</v>
      </c>
      <c r="G870" s="136">
        <v>182</v>
      </c>
    </row>
    <row r="871" spans="1:7" ht="14.25" customHeight="1" x14ac:dyDescent="0.3">
      <c r="A871" s="131">
        <v>8582</v>
      </c>
      <c r="B871" s="131" t="s">
        <v>1549</v>
      </c>
      <c r="C871" s="135" t="s">
        <v>228</v>
      </c>
      <c r="D871" s="69">
        <v>183</v>
      </c>
      <c r="E871" s="69">
        <v>182.5</v>
      </c>
      <c r="F871" s="170">
        <v>365</v>
      </c>
      <c r="G871" s="136">
        <v>182</v>
      </c>
    </row>
    <row r="872" spans="1:7" ht="14.25" customHeight="1" x14ac:dyDescent="0.3">
      <c r="A872" s="131">
        <v>8621</v>
      </c>
      <c r="B872" s="131" t="s">
        <v>1552</v>
      </c>
      <c r="C872" s="135" t="s">
        <v>1551</v>
      </c>
      <c r="D872" s="69">
        <v>183</v>
      </c>
      <c r="E872" s="69">
        <v>182.5</v>
      </c>
      <c r="F872" s="170">
        <v>365</v>
      </c>
      <c r="G872" s="136">
        <v>182</v>
      </c>
    </row>
    <row r="873" spans="1:7" ht="14.25" customHeight="1" x14ac:dyDescent="0.3">
      <c r="A873" s="131">
        <v>8622</v>
      </c>
      <c r="B873" s="131" t="s">
        <v>1553</v>
      </c>
      <c r="C873" s="135" t="s">
        <v>229</v>
      </c>
      <c r="D873" s="69">
        <v>183</v>
      </c>
      <c r="E873" s="69">
        <v>182.5</v>
      </c>
      <c r="F873" s="170">
        <v>365</v>
      </c>
      <c r="G873" s="136">
        <v>182</v>
      </c>
    </row>
    <row r="874" spans="1:7" ht="14.25" customHeight="1" x14ac:dyDescent="0.3">
      <c r="A874" s="131">
        <v>8623</v>
      </c>
      <c r="B874" s="131" t="s">
        <v>1554</v>
      </c>
      <c r="C874" s="135" t="s">
        <v>230</v>
      </c>
      <c r="D874" s="69">
        <v>183</v>
      </c>
      <c r="E874" s="69">
        <v>182.5</v>
      </c>
      <c r="F874" s="170">
        <v>365</v>
      </c>
      <c r="G874" s="136">
        <v>182</v>
      </c>
    </row>
    <row r="875" spans="1:7" ht="14.25" customHeight="1" x14ac:dyDescent="0.3">
      <c r="A875" s="131">
        <v>8624</v>
      </c>
      <c r="B875" s="131" t="s">
        <v>1556</v>
      </c>
      <c r="C875" s="135" t="s">
        <v>1555</v>
      </c>
      <c r="D875" s="69">
        <v>183</v>
      </c>
      <c r="E875" s="69">
        <v>182.5</v>
      </c>
      <c r="F875" s="170">
        <v>365</v>
      </c>
      <c r="G875" s="136">
        <v>182</v>
      </c>
    </row>
    <row r="876" spans="1:7" ht="14.25" customHeight="1" x14ac:dyDescent="0.3">
      <c r="A876" s="131">
        <v>8625</v>
      </c>
      <c r="B876" s="131" t="s">
        <v>1557</v>
      </c>
      <c r="C876" s="135" t="s">
        <v>231</v>
      </c>
      <c r="D876" s="69">
        <v>183</v>
      </c>
      <c r="E876" s="69">
        <v>182.5</v>
      </c>
      <c r="F876" s="170">
        <v>365</v>
      </c>
      <c r="G876" s="136">
        <v>182</v>
      </c>
    </row>
    <row r="877" spans="1:7" ht="14.25" customHeight="1" x14ac:dyDescent="0.3">
      <c r="A877" s="131">
        <v>8626</v>
      </c>
      <c r="B877" s="131" t="s">
        <v>1559</v>
      </c>
      <c r="C877" s="135" t="s">
        <v>232</v>
      </c>
      <c r="D877" s="69">
        <v>183</v>
      </c>
      <c r="E877" s="69">
        <v>182.5</v>
      </c>
      <c r="F877" s="170">
        <v>365</v>
      </c>
      <c r="G877" s="136">
        <v>182</v>
      </c>
    </row>
    <row r="878" spans="1:7" ht="14.25" customHeight="1" x14ac:dyDescent="0.3">
      <c r="A878" s="137">
        <v>8631</v>
      </c>
      <c r="B878" s="131" t="s">
        <v>1561</v>
      </c>
      <c r="C878" s="139" t="s">
        <v>413</v>
      </c>
      <c r="D878" s="69">
        <v>183</v>
      </c>
      <c r="E878" s="69">
        <v>182.5</v>
      </c>
      <c r="F878" s="170">
        <v>365</v>
      </c>
      <c r="G878" s="136">
        <v>182</v>
      </c>
    </row>
    <row r="879" spans="1:7" ht="14.25" customHeight="1" x14ac:dyDescent="0.3">
      <c r="A879" s="131">
        <v>5640</v>
      </c>
      <c r="B879" s="131" t="s">
        <v>526</v>
      </c>
      <c r="C879" s="135" t="s">
        <v>2657</v>
      </c>
      <c r="D879" s="69">
        <v>183</v>
      </c>
      <c r="E879" s="69">
        <v>182.5</v>
      </c>
      <c r="F879" s="170">
        <v>365</v>
      </c>
      <c r="G879" s="136">
        <v>182</v>
      </c>
    </row>
    <row r="880" spans="1:7" ht="14.25" customHeight="1" x14ac:dyDescent="0.3">
      <c r="A880" s="131">
        <v>653</v>
      </c>
      <c r="B880" s="131" t="s">
        <v>528</v>
      </c>
      <c r="C880" s="135" t="s">
        <v>527</v>
      </c>
      <c r="D880" s="69">
        <v>183</v>
      </c>
      <c r="E880" s="69">
        <v>182.5</v>
      </c>
      <c r="F880" s="170">
        <v>365</v>
      </c>
      <c r="G880" s="136">
        <v>182</v>
      </c>
    </row>
    <row r="881" spans="1:7" ht="14.25" customHeight="1" x14ac:dyDescent="0.3">
      <c r="A881" s="186">
        <v>8831</v>
      </c>
      <c r="B881" s="187" t="s">
        <v>2249</v>
      </c>
      <c r="C881" s="148" t="s">
        <v>2250</v>
      </c>
      <c r="D881" s="188">
        <v>183</v>
      </c>
      <c r="E881" s="188">
        <v>364.5</v>
      </c>
      <c r="F881" s="149">
        <v>729</v>
      </c>
      <c r="G881" s="189">
        <v>546</v>
      </c>
    </row>
    <row r="882" spans="1:7" ht="14.25" customHeight="1" x14ac:dyDescent="0.3">
      <c r="A882" s="186">
        <v>8832</v>
      </c>
      <c r="B882" s="187" t="s">
        <v>2251</v>
      </c>
      <c r="C882" s="148" t="s">
        <v>2252</v>
      </c>
      <c r="D882" s="188">
        <v>183</v>
      </c>
      <c r="E882" s="188">
        <v>364.5</v>
      </c>
      <c r="F882" s="149">
        <v>729</v>
      </c>
      <c r="G882" s="189">
        <v>546</v>
      </c>
    </row>
    <row r="883" spans="1:7" ht="14.25" customHeight="1" x14ac:dyDescent="0.3">
      <c r="A883" s="131">
        <v>4191</v>
      </c>
      <c r="B883" s="131" t="s">
        <v>706</v>
      </c>
      <c r="C883" s="135" t="s">
        <v>705</v>
      </c>
      <c r="D883" s="69">
        <v>84</v>
      </c>
      <c r="E883" s="69">
        <v>182.5</v>
      </c>
      <c r="F883" s="170">
        <v>365</v>
      </c>
      <c r="G883" s="136">
        <v>281</v>
      </c>
    </row>
    <row r="884" spans="1:7" ht="14.25" customHeight="1" x14ac:dyDescent="0.3">
      <c r="A884" s="131">
        <v>4192</v>
      </c>
      <c r="B884" s="131" t="s">
        <v>708</v>
      </c>
      <c r="C884" s="135" t="s">
        <v>707</v>
      </c>
      <c r="D884" s="69">
        <v>84</v>
      </c>
      <c r="E884" s="69">
        <v>182.5</v>
      </c>
      <c r="F884" s="170">
        <v>365</v>
      </c>
      <c r="G884" s="136">
        <v>281</v>
      </c>
    </row>
    <row r="885" spans="1:7" ht="14.25" customHeight="1" x14ac:dyDescent="0.3">
      <c r="A885" s="131">
        <v>4193</v>
      </c>
      <c r="B885" s="131" t="s">
        <v>710</v>
      </c>
      <c r="C885" s="135" t="s">
        <v>709</v>
      </c>
      <c r="D885" s="69">
        <v>84</v>
      </c>
      <c r="E885" s="69">
        <v>182.5</v>
      </c>
      <c r="F885" s="170">
        <v>365</v>
      </c>
      <c r="G885" s="136">
        <v>281</v>
      </c>
    </row>
    <row r="886" spans="1:7" ht="14.25" customHeight="1" x14ac:dyDescent="0.3">
      <c r="A886" s="131">
        <v>4194</v>
      </c>
      <c r="B886" s="131" t="s">
        <v>712</v>
      </c>
      <c r="C886" s="135" t="s">
        <v>250</v>
      </c>
      <c r="D886" s="69">
        <v>84</v>
      </c>
      <c r="E886" s="69">
        <v>182.5</v>
      </c>
      <c r="F886" s="170">
        <v>365</v>
      </c>
      <c r="G886" s="136">
        <v>281</v>
      </c>
    </row>
    <row r="887" spans="1:7" ht="14.25" customHeight="1" x14ac:dyDescent="0.3">
      <c r="A887" s="131">
        <v>4195</v>
      </c>
      <c r="B887" s="131" t="s">
        <v>714</v>
      </c>
      <c r="C887" s="135" t="s">
        <v>713</v>
      </c>
      <c r="D887" s="69">
        <v>84</v>
      </c>
      <c r="E887" s="69">
        <v>182.5</v>
      </c>
      <c r="F887" s="170">
        <v>365</v>
      </c>
      <c r="G887" s="136">
        <v>281</v>
      </c>
    </row>
    <row r="888" spans="1:7" ht="14.25" customHeight="1" x14ac:dyDescent="0.3">
      <c r="A888" s="131">
        <v>4196</v>
      </c>
      <c r="B888" s="131" t="s">
        <v>716</v>
      </c>
      <c r="C888" s="135" t="s">
        <v>715</v>
      </c>
      <c r="D888" s="69">
        <v>84</v>
      </c>
      <c r="E888" s="69">
        <v>182.5</v>
      </c>
      <c r="F888" s="170">
        <v>365</v>
      </c>
      <c r="G888" s="136">
        <v>281</v>
      </c>
    </row>
    <row r="889" spans="1:7" ht="14.25" customHeight="1" x14ac:dyDescent="0.3">
      <c r="A889" s="131">
        <v>4197</v>
      </c>
      <c r="B889" s="131" t="s">
        <v>719</v>
      </c>
      <c r="C889" s="135" t="s">
        <v>718</v>
      </c>
      <c r="D889" s="69">
        <v>84</v>
      </c>
      <c r="E889" s="69">
        <v>182.5</v>
      </c>
      <c r="F889" s="170">
        <v>365</v>
      </c>
      <c r="G889" s="136">
        <v>281</v>
      </c>
    </row>
    <row r="890" spans="1:7" ht="14.25" customHeight="1" x14ac:dyDescent="0.3">
      <c r="A890" s="131">
        <v>4198</v>
      </c>
      <c r="B890" s="131" t="s">
        <v>721</v>
      </c>
      <c r="C890" s="135" t="s">
        <v>720</v>
      </c>
      <c r="D890" s="69">
        <v>84</v>
      </c>
      <c r="E890" s="69">
        <v>182.5</v>
      </c>
      <c r="F890" s="170">
        <v>365</v>
      </c>
      <c r="G890" s="136">
        <v>281</v>
      </c>
    </row>
    <row r="891" spans="1:7" ht="14.25" customHeight="1" x14ac:dyDescent="0.3">
      <c r="A891" s="131">
        <v>4199</v>
      </c>
      <c r="B891" s="131" t="s">
        <v>723</v>
      </c>
      <c r="C891" s="135" t="s">
        <v>722</v>
      </c>
      <c r="D891" s="69">
        <v>84</v>
      </c>
      <c r="E891" s="69">
        <v>182.5</v>
      </c>
      <c r="F891" s="170">
        <v>365</v>
      </c>
      <c r="G891" s="136">
        <v>281</v>
      </c>
    </row>
    <row r="892" spans="1:7" ht="14.25" customHeight="1" x14ac:dyDescent="0.3">
      <c r="A892" s="137">
        <v>4203</v>
      </c>
      <c r="B892" s="138" t="s">
        <v>2000</v>
      </c>
      <c r="C892" s="139" t="s">
        <v>2001</v>
      </c>
      <c r="D892" s="69">
        <v>84</v>
      </c>
      <c r="E892" s="69">
        <v>182.5</v>
      </c>
      <c r="F892" s="170">
        <v>365</v>
      </c>
      <c r="G892" s="136">
        <v>281</v>
      </c>
    </row>
    <row r="893" spans="1:7" ht="14.25" customHeight="1" x14ac:dyDescent="0.3">
      <c r="A893" s="137">
        <v>4204</v>
      </c>
      <c r="B893" s="138" t="s">
        <v>2002</v>
      </c>
      <c r="C893" s="139" t="s">
        <v>2003</v>
      </c>
      <c r="D893" s="69">
        <v>84</v>
      </c>
      <c r="E893" s="69">
        <v>182.5</v>
      </c>
      <c r="F893" s="170">
        <v>365</v>
      </c>
      <c r="G893" s="136">
        <v>281</v>
      </c>
    </row>
    <row r="894" spans="1:7" ht="14.25" customHeight="1" x14ac:dyDescent="0.3">
      <c r="A894" s="131">
        <v>4221</v>
      </c>
      <c r="B894" s="131" t="s">
        <v>725</v>
      </c>
      <c r="C894" s="135" t="s">
        <v>724</v>
      </c>
      <c r="D894" s="69">
        <v>182.5</v>
      </c>
      <c r="E894" s="69">
        <v>182.5</v>
      </c>
      <c r="F894" s="170">
        <v>365</v>
      </c>
      <c r="G894" s="136">
        <v>182.5</v>
      </c>
    </row>
    <row r="895" spans="1:7" ht="14.25" customHeight="1" x14ac:dyDescent="0.3">
      <c r="A895" s="131">
        <v>4222</v>
      </c>
      <c r="B895" s="131" t="s">
        <v>727</v>
      </c>
      <c r="C895" s="135" t="s">
        <v>726</v>
      </c>
      <c r="D895" s="69">
        <v>182.5</v>
      </c>
      <c r="E895" s="69">
        <v>182.5</v>
      </c>
      <c r="F895" s="170">
        <v>365</v>
      </c>
      <c r="G895" s="136">
        <v>182.5</v>
      </c>
    </row>
    <row r="896" spans="1:7" ht="14.25" customHeight="1" x14ac:dyDescent="0.3">
      <c r="A896" s="137">
        <v>4227</v>
      </c>
      <c r="B896" s="138" t="s">
        <v>2006</v>
      </c>
      <c r="C896" s="139" t="s">
        <v>2007</v>
      </c>
      <c r="D896" s="69">
        <v>182.5</v>
      </c>
      <c r="E896" s="69">
        <v>182.5</v>
      </c>
      <c r="F896" s="170">
        <v>365</v>
      </c>
      <c r="G896" s="136">
        <v>182.5</v>
      </c>
    </row>
    <row r="897" spans="1:7" ht="14.25" customHeight="1" x14ac:dyDescent="0.3">
      <c r="A897" s="137">
        <v>4230</v>
      </c>
      <c r="B897" s="138" t="s">
        <v>1615</v>
      </c>
      <c r="C897" s="139" t="s">
        <v>730</v>
      </c>
      <c r="D897" s="69">
        <v>183</v>
      </c>
      <c r="E897" s="69">
        <v>182.5</v>
      </c>
      <c r="F897" s="170">
        <v>365</v>
      </c>
      <c r="G897" s="136">
        <v>182</v>
      </c>
    </row>
    <row r="898" spans="1:7" ht="14.25" customHeight="1" x14ac:dyDescent="0.3">
      <c r="A898" s="131">
        <v>4231</v>
      </c>
      <c r="B898" s="131" t="s">
        <v>731</v>
      </c>
      <c r="C898" s="135" t="s">
        <v>1723</v>
      </c>
      <c r="D898" s="69">
        <v>365</v>
      </c>
      <c r="E898" s="69">
        <v>365</v>
      </c>
      <c r="F898" s="170">
        <v>730</v>
      </c>
      <c r="G898" s="136">
        <v>365</v>
      </c>
    </row>
    <row r="899" spans="1:7" ht="14.25" customHeight="1" x14ac:dyDescent="0.3">
      <c r="A899" s="131">
        <v>4232</v>
      </c>
      <c r="B899" s="131" t="s">
        <v>732</v>
      </c>
      <c r="C899" s="135" t="s">
        <v>1724</v>
      </c>
      <c r="D899" s="69">
        <v>182.5</v>
      </c>
      <c r="E899" s="69">
        <v>182.5</v>
      </c>
      <c r="F899" s="170">
        <v>365</v>
      </c>
      <c r="G899" s="136">
        <v>182.5</v>
      </c>
    </row>
    <row r="900" spans="1:7" ht="14.25" customHeight="1" x14ac:dyDescent="0.3">
      <c r="A900" s="137">
        <v>4233</v>
      </c>
      <c r="B900" s="138" t="s">
        <v>2008</v>
      </c>
      <c r="C900" s="139" t="s">
        <v>2009</v>
      </c>
      <c r="D900" s="69">
        <v>182.5</v>
      </c>
      <c r="E900" s="69">
        <v>182.5</v>
      </c>
      <c r="F900" s="170">
        <v>365</v>
      </c>
      <c r="G900" s="136">
        <v>182.5</v>
      </c>
    </row>
    <row r="901" spans="1:7" ht="14.25" customHeight="1" x14ac:dyDescent="0.3">
      <c r="A901" s="137">
        <v>4236</v>
      </c>
      <c r="B901" s="138" t="s">
        <v>2467</v>
      </c>
      <c r="C901" s="139" t="s">
        <v>1820</v>
      </c>
      <c r="D901" s="69">
        <v>182.5</v>
      </c>
      <c r="E901" s="69">
        <v>182.5</v>
      </c>
      <c r="F901" s="170">
        <v>365</v>
      </c>
      <c r="G901" s="136">
        <v>182.5</v>
      </c>
    </row>
    <row r="902" spans="1:7" ht="14.25" customHeight="1" x14ac:dyDescent="0.3">
      <c r="A902" s="137">
        <v>4242</v>
      </c>
      <c r="B902" s="131" t="s">
        <v>733</v>
      </c>
      <c r="C902" s="139" t="s">
        <v>1725</v>
      </c>
      <c r="D902" s="69">
        <v>183</v>
      </c>
      <c r="E902" s="69">
        <v>182.5</v>
      </c>
      <c r="F902" s="170">
        <v>365</v>
      </c>
      <c r="G902" s="136">
        <v>182</v>
      </c>
    </row>
    <row r="903" spans="1:7" ht="14.25" customHeight="1" x14ac:dyDescent="0.3">
      <c r="A903" s="131">
        <v>4252</v>
      </c>
      <c r="B903" s="131" t="s">
        <v>734</v>
      </c>
      <c r="C903" s="135" t="s">
        <v>1726</v>
      </c>
      <c r="D903" s="69">
        <v>182.5</v>
      </c>
      <c r="E903" s="69">
        <v>182.5</v>
      </c>
      <c r="F903" s="170">
        <v>365</v>
      </c>
      <c r="G903" s="136">
        <v>182.5</v>
      </c>
    </row>
    <row r="904" spans="1:7" ht="14.25" customHeight="1" x14ac:dyDescent="0.3">
      <c r="A904" s="131">
        <v>4253</v>
      </c>
      <c r="B904" s="131" t="s">
        <v>735</v>
      </c>
      <c r="C904" s="135" t="s">
        <v>384</v>
      </c>
      <c r="D904" s="69">
        <v>182.5</v>
      </c>
      <c r="E904" s="69">
        <v>182.5</v>
      </c>
      <c r="F904" s="170">
        <v>365</v>
      </c>
      <c r="G904" s="136">
        <v>182.5</v>
      </c>
    </row>
    <row r="905" spans="1:7" ht="14.25" customHeight="1" x14ac:dyDescent="0.3">
      <c r="A905" s="131">
        <v>4254</v>
      </c>
      <c r="B905" s="131" t="s">
        <v>736</v>
      </c>
      <c r="C905" s="135" t="s">
        <v>1727</v>
      </c>
      <c r="D905" s="69">
        <v>182.5</v>
      </c>
      <c r="E905" s="69">
        <v>182.5</v>
      </c>
      <c r="F905" s="170">
        <v>365</v>
      </c>
      <c r="G905" s="136">
        <v>182.5</v>
      </c>
    </row>
    <row r="906" spans="1:7" ht="14.25" customHeight="1" x14ac:dyDescent="0.3">
      <c r="A906" s="137">
        <v>4261</v>
      </c>
      <c r="B906" s="138" t="s">
        <v>737</v>
      </c>
      <c r="C906" s="139" t="s">
        <v>1728</v>
      </c>
      <c r="D906" s="69">
        <v>84</v>
      </c>
      <c r="E906" s="69">
        <v>182.5</v>
      </c>
      <c r="F906" s="170">
        <v>365</v>
      </c>
      <c r="G906" s="136">
        <v>281</v>
      </c>
    </row>
    <row r="907" spans="1:7" ht="14.25" customHeight="1" x14ac:dyDescent="0.3">
      <c r="A907" s="137">
        <v>4262</v>
      </c>
      <c r="B907" s="138" t="s">
        <v>738</v>
      </c>
      <c r="C907" s="139" t="s">
        <v>2468</v>
      </c>
      <c r="D907" s="69">
        <v>84</v>
      </c>
      <c r="E907" s="69">
        <v>182.5</v>
      </c>
      <c r="F907" s="170">
        <v>365</v>
      </c>
      <c r="G907" s="136">
        <v>281</v>
      </c>
    </row>
    <row r="908" spans="1:7" ht="14.25" customHeight="1" x14ac:dyDescent="0.3">
      <c r="A908" s="137">
        <v>4263</v>
      </c>
      <c r="B908" s="138" t="s">
        <v>739</v>
      </c>
      <c r="C908" s="139" t="s">
        <v>1729</v>
      </c>
      <c r="D908" s="69">
        <v>84</v>
      </c>
      <c r="E908" s="69">
        <v>182.5</v>
      </c>
      <c r="F908" s="170">
        <v>365</v>
      </c>
      <c r="G908" s="136">
        <v>281</v>
      </c>
    </row>
    <row r="909" spans="1:7" ht="14.25" customHeight="1" x14ac:dyDescent="0.3">
      <c r="A909" s="137">
        <v>4370</v>
      </c>
      <c r="B909" s="138" t="s">
        <v>1647</v>
      </c>
      <c r="C909" s="139" t="s">
        <v>1648</v>
      </c>
      <c r="D909" s="69">
        <v>183</v>
      </c>
      <c r="E909" s="69">
        <v>182.5</v>
      </c>
      <c r="F909" s="170">
        <v>365</v>
      </c>
      <c r="G909" s="136">
        <v>182</v>
      </c>
    </row>
    <row r="910" spans="1:7" ht="14.25" customHeight="1" x14ac:dyDescent="0.3">
      <c r="A910" s="137">
        <v>4372</v>
      </c>
      <c r="B910" s="138" t="s">
        <v>1649</v>
      </c>
      <c r="C910" s="139" t="s">
        <v>1650</v>
      </c>
      <c r="D910" s="69">
        <v>183</v>
      </c>
      <c r="E910" s="69">
        <v>182.5</v>
      </c>
      <c r="F910" s="170">
        <v>365</v>
      </c>
      <c r="G910" s="136">
        <v>182</v>
      </c>
    </row>
    <row r="911" spans="1:7" ht="14.25" customHeight="1" x14ac:dyDescent="0.3">
      <c r="A911" s="137">
        <v>4374</v>
      </c>
      <c r="B911" s="138" t="s">
        <v>2469</v>
      </c>
      <c r="C911" s="139" t="s">
        <v>1821</v>
      </c>
      <c r="D911" s="69">
        <v>183</v>
      </c>
      <c r="E911" s="69">
        <v>182.5</v>
      </c>
      <c r="F911" s="170">
        <v>365</v>
      </c>
      <c r="G911" s="136">
        <v>182</v>
      </c>
    </row>
    <row r="912" spans="1:7" ht="14.25" customHeight="1" x14ac:dyDescent="0.3">
      <c r="A912" s="137">
        <v>4375</v>
      </c>
      <c r="B912" s="138" t="s">
        <v>1651</v>
      </c>
      <c r="C912" s="139" t="s">
        <v>1652</v>
      </c>
      <c r="D912" s="69">
        <v>183</v>
      </c>
      <c r="E912" s="69">
        <v>182.5</v>
      </c>
      <c r="F912" s="170">
        <v>365</v>
      </c>
      <c r="G912" s="136">
        <v>182</v>
      </c>
    </row>
    <row r="913" spans="1:7" ht="14.25" customHeight="1" x14ac:dyDescent="0.3">
      <c r="A913" s="137">
        <v>4383</v>
      </c>
      <c r="B913" s="138" t="s">
        <v>1923</v>
      </c>
      <c r="C913" s="139" t="s">
        <v>1924</v>
      </c>
      <c r="D913" s="69">
        <v>182.5</v>
      </c>
      <c r="E913" s="69">
        <v>182.5</v>
      </c>
      <c r="F913" s="170">
        <v>365</v>
      </c>
      <c r="G913" s="136">
        <v>182.5</v>
      </c>
    </row>
    <row r="914" spans="1:7" ht="14.25" customHeight="1" x14ac:dyDescent="0.3">
      <c r="A914" s="137">
        <v>4384</v>
      </c>
      <c r="B914" s="138" t="s">
        <v>1925</v>
      </c>
      <c r="C914" s="139" t="s">
        <v>1926</v>
      </c>
      <c r="D914" s="69">
        <v>182.5</v>
      </c>
      <c r="E914" s="69">
        <v>182.5</v>
      </c>
      <c r="F914" s="170">
        <v>365</v>
      </c>
      <c r="G914" s="136">
        <v>182.5</v>
      </c>
    </row>
    <row r="915" spans="1:7" ht="14.25" customHeight="1" x14ac:dyDescent="0.3">
      <c r="A915" s="137">
        <v>4435</v>
      </c>
      <c r="B915" s="138" t="s">
        <v>746</v>
      </c>
      <c r="C915" s="139" t="s">
        <v>747</v>
      </c>
      <c r="D915" s="69">
        <v>182.5</v>
      </c>
      <c r="E915" s="69">
        <v>182.5</v>
      </c>
      <c r="F915" s="170">
        <v>365</v>
      </c>
      <c r="G915" s="136">
        <v>182.5</v>
      </c>
    </row>
    <row r="916" spans="1:7" ht="14.25" customHeight="1" x14ac:dyDescent="0.3">
      <c r="A916" s="137">
        <v>4436</v>
      </c>
      <c r="B916" s="138" t="s">
        <v>748</v>
      </c>
      <c r="C916" s="139" t="s">
        <v>749</v>
      </c>
      <c r="D916" s="69">
        <v>182.5</v>
      </c>
      <c r="E916" s="69">
        <v>182.5</v>
      </c>
      <c r="F916" s="170">
        <v>365</v>
      </c>
      <c r="G916" s="136">
        <v>182.5</v>
      </c>
    </row>
    <row r="917" spans="1:7" ht="14.25" customHeight="1" x14ac:dyDescent="0.3">
      <c r="A917" s="137">
        <v>4441</v>
      </c>
      <c r="B917" s="138" t="s">
        <v>2470</v>
      </c>
      <c r="C917" s="139" t="s">
        <v>2291</v>
      </c>
      <c r="D917" s="69">
        <v>182.5</v>
      </c>
      <c r="E917" s="69">
        <v>182.5</v>
      </c>
      <c r="F917" s="170">
        <v>365</v>
      </c>
      <c r="G917" s="136">
        <v>182.5</v>
      </c>
    </row>
    <row r="918" spans="1:7" ht="14.25" customHeight="1" x14ac:dyDescent="0.3">
      <c r="A918" s="137">
        <v>4463</v>
      </c>
      <c r="B918" s="138" t="s">
        <v>2384</v>
      </c>
      <c r="C918" s="139" t="s">
        <v>2385</v>
      </c>
      <c r="D918" s="69">
        <v>183</v>
      </c>
      <c r="E918" s="69">
        <v>182.5</v>
      </c>
      <c r="F918" s="170">
        <v>365</v>
      </c>
      <c r="G918" s="136">
        <v>182</v>
      </c>
    </row>
    <row r="919" spans="1:7" ht="14.25" customHeight="1" x14ac:dyDescent="0.3">
      <c r="A919" s="131">
        <v>2872</v>
      </c>
      <c r="B919" s="131" t="s">
        <v>448</v>
      </c>
      <c r="C919" s="135" t="s">
        <v>6</v>
      </c>
      <c r="D919" s="69">
        <v>136.5</v>
      </c>
      <c r="E919" s="69">
        <v>136.5</v>
      </c>
      <c r="F919" s="170">
        <v>273</v>
      </c>
      <c r="G919" s="136">
        <v>136.5</v>
      </c>
    </row>
    <row r="920" spans="1:7" ht="14.25" customHeight="1" x14ac:dyDescent="0.3">
      <c r="A920" s="131">
        <v>3026</v>
      </c>
      <c r="B920" s="131" t="s">
        <v>450</v>
      </c>
      <c r="C920" s="135" t="s">
        <v>8</v>
      </c>
      <c r="D920" s="69">
        <v>136.5</v>
      </c>
      <c r="E920" s="69">
        <v>136.5</v>
      </c>
      <c r="F920" s="170">
        <v>273</v>
      </c>
      <c r="G920" s="136">
        <v>136.5</v>
      </c>
    </row>
    <row r="921" spans="1:7" ht="14.25" customHeight="1" x14ac:dyDescent="0.3">
      <c r="A921" s="131">
        <v>3033</v>
      </c>
      <c r="B921" s="131" t="s">
        <v>494</v>
      </c>
      <c r="C921" s="135" t="s">
        <v>493</v>
      </c>
      <c r="D921" s="69">
        <v>182.5</v>
      </c>
      <c r="E921" s="69">
        <v>182.5</v>
      </c>
      <c r="F921" s="170">
        <v>365</v>
      </c>
      <c r="G921" s="136">
        <v>182.5</v>
      </c>
    </row>
    <row r="922" spans="1:7" ht="14.25" customHeight="1" x14ac:dyDescent="0.3">
      <c r="A922" s="137">
        <v>3066</v>
      </c>
      <c r="B922" s="138" t="s">
        <v>508</v>
      </c>
      <c r="C922" s="139" t="s">
        <v>377</v>
      </c>
      <c r="D922" s="69">
        <v>365</v>
      </c>
      <c r="E922" s="69">
        <v>365</v>
      </c>
      <c r="F922" s="170">
        <v>730</v>
      </c>
      <c r="G922" s="136">
        <v>365</v>
      </c>
    </row>
    <row r="923" spans="1:7" ht="14.25" customHeight="1" x14ac:dyDescent="0.3">
      <c r="A923" s="137">
        <v>3088</v>
      </c>
      <c r="B923" s="138" t="s">
        <v>2471</v>
      </c>
      <c r="C923" s="139" t="s">
        <v>1822</v>
      </c>
      <c r="D923" s="69">
        <v>365</v>
      </c>
      <c r="E923" s="69">
        <v>365</v>
      </c>
      <c r="F923" s="170">
        <v>730</v>
      </c>
      <c r="G923" s="136">
        <v>365</v>
      </c>
    </row>
    <row r="924" spans="1:7" ht="14.25" customHeight="1" x14ac:dyDescent="0.3">
      <c r="A924" s="137">
        <v>3089</v>
      </c>
      <c r="B924" s="138" t="s">
        <v>1965</v>
      </c>
      <c r="C924" s="139" t="s">
        <v>1966</v>
      </c>
      <c r="D924" s="69">
        <v>182.5</v>
      </c>
      <c r="E924" s="69">
        <v>182.5</v>
      </c>
      <c r="F924" s="170">
        <v>365</v>
      </c>
      <c r="G924" s="136">
        <v>182.5</v>
      </c>
    </row>
    <row r="925" spans="1:7" ht="14.25" customHeight="1" x14ac:dyDescent="0.3">
      <c r="A925" s="137">
        <v>3109</v>
      </c>
      <c r="B925" s="138" t="s">
        <v>1967</v>
      </c>
      <c r="C925" s="139" t="s">
        <v>1968</v>
      </c>
      <c r="D925" s="69">
        <v>365</v>
      </c>
      <c r="E925" s="69">
        <v>365</v>
      </c>
      <c r="F925" s="170">
        <v>730</v>
      </c>
      <c r="G925" s="136">
        <v>365</v>
      </c>
    </row>
    <row r="926" spans="1:7" ht="14.25" customHeight="1" x14ac:dyDescent="0.3">
      <c r="A926" s="137">
        <v>3120</v>
      </c>
      <c r="B926" s="138" t="s">
        <v>2472</v>
      </c>
      <c r="C926" s="139" t="s">
        <v>1823</v>
      </c>
      <c r="D926" s="69">
        <v>365</v>
      </c>
      <c r="E926" s="69">
        <v>365</v>
      </c>
      <c r="F926" s="170">
        <v>730</v>
      </c>
      <c r="G926" s="136">
        <v>365</v>
      </c>
    </row>
    <row r="927" spans="1:7" ht="14.25" customHeight="1" x14ac:dyDescent="0.3">
      <c r="A927" s="131">
        <v>3886</v>
      </c>
      <c r="B927" s="131" t="s">
        <v>463</v>
      </c>
      <c r="C927" s="135" t="s">
        <v>462</v>
      </c>
      <c r="D927" s="69">
        <v>365</v>
      </c>
      <c r="E927" s="69">
        <v>365</v>
      </c>
      <c r="F927" s="170">
        <v>730</v>
      </c>
      <c r="G927" s="136">
        <v>365</v>
      </c>
    </row>
    <row r="928" spans="1:7" ht="14.25" customHeight="1" x14ac:dyDescent="0.3">
      <c r="A928" s="137">
        <v>3901</v>
      </c>
      <c r="B928" s="138" t="s">
        <v>472</v>
      </c>
      <c r="C928" s="139" t="s">
        <v>138</v>
      </c>
      <c r="D928" s="69">
        <v>182.5</v>
      </c>
      <c r="E928" s="69">
        <v>182.5</v>
      </c>
      <c r="F928" s="170">
        <v>365</v>
      </c>
      <c r="G928" s="136">
        <v>182.5</v>
      </c>
    </row>
    <row r="929" spans="1:9" ht="14.25" customHeight="1" x14ac:dyDescent="0.3">
      <c r="A929" s="131">
        <v>3911</v>
      </c>
      <c r="B929" s="131" t="s">
        <v>452</v>
      </c>
      <c r="C929" s="135" t="s">
        <v>10</v>
      </c>
      <c r="D929" s="69">
        <v>136.5</v>
      </c>
      <c r="E929" s="69">
        <v>136.5</v>
      </c>
      <c r="F929" s="170">
        <v>273</v>
      </c>
      <c r="G929" s="136">
        <v>136.5</v>
      </c>
    </row>
    <row r="930" spans="1:9" ht="14.25" customHeight="1" x14ac:dyDescent="0.3">
      <c r="A930" s="131">
        <v>3917</v>
      </c>
      <c r="B930" s="131" t="s">
        <v>455</v>
      </c>
      <c r="C930" s="135" t="s">
        <v>15</v>
      </c>
      <c r="D930" s="69">
        <v>136.5</v>
      </c>
      <c r="E930" s="69">
        <v>136.5</v>
      </c>
      <c r="F930" s="170">
        <v>273</v>
      </c>
      <c r="G930" s="136">
        <v>136.5</v>
      </c>
    </row>
    <row r="931" spans="1:9" ht="14.25" customHeight="1" x14ac:dyDescent="0.3">
      <c r="A931" s="131">
        <v>3921</v>
      </c>
      <c r="B931" s="131" t="s">
        <v>477</v>
      </c>
      <c r="C931" s="135" t="s">
        <v>141</v>
      </c>
      <c r="D931" s="69">
        <v>182.5</v>
      </c>
      <c r="E931" s="69">
        <v>182.5</v>
      </c>
      <c r="F931" s="170">
        <v>365</v>
      </c>
      <c r="G931" s="136">
        <v>182.5</v>
      </c>
    </row>
    <row r="932" spans="1:9" ht="14.25" customHeight="1" x14ac:dyDescent="0.3">
      <c r="A932" s="131">
        <v>3923</v>
      </c>
      <c r="B932" s="131" t="s">
        <v>473</v>
      </c>
      <c r="C932" s="135" t="s">
        <v>139</v>
      </c>
      <c r="D932" s="69">
        <v>182.5</v>
      </c>
      <c r="E932" s="69">
        <v>182.5</v>
      </c>
      <c r="F932" s="170">
        <v>365</v>
      </c>
      <c r="G932" s="136">
        <v>182.5</v>
      </c>
    </row>
    <row r="933" spans="1:9" ht="14.25" customHeight="1" x14ac:dyDescent="0.3">
      <c r="A933" s="137">
        <v>3933</v>
      </c>
      <c r="B933" s="138" t="s">
        <v>1974</v>
      </c>
      <c r="C933" s="139" t="s">
        <v>1975</v>
      </c>
      <c r="D933" s="69">
        <v>182.5</v>
      </c>
      <c r="E933" s="69">
        <v>182.5</v>
      </c>
      <c r="F933" s="170">
        <v>365</v>
      </c>
      <c r="G933" s="136">
        <v>182.5</v>
      </c>
    </row>
    <row r="934" spans="1:9" ht="14.25" customHeight="1" x14ac:dyDescent="0.3">
      <c r="A934" s="131">
        <v>3953</v>
      </c>
      <c r="B934" s="131" t="s">
        <v>478</v>
      </c>
      <c r="C934" s="135" t="s">
        <v>142</v>
      </c>
      <c r="D934" s="69">
        <v>182.5</v>
      </c>
      <c r="E934" s="69">
        <v>182.5</v>
      </c>
      <c r="F934" s="170">
        <v>365</v>
      </c>
      <c r="G934" s="136">
        <v>182.5</v>
      </c>
      <c r="I934" s="142" t="s">
        <v>2351</v>
      </c>
    </row>
    <row r="935" spans="1:9" ht="14.25" customHeight="1" x14ac:dyDescent="0.3">
      <c r="A935" s="131">
        <v>3972</v>
      </c>
      <c r="B935" s="131" t="s">
        <v>480</v>
      </c>
      <c r="C935" s="135" t="s">
        <v>479</v>
      </c>
      <c r="D935" s="69">
        <v>182.5</v>
      </c>
      <c r="E935" s="69">
        <v>182.5</v>
      </c>
      <c r="F935" s="170">
        <v>365</v>
      </c>
      <c r="G935" s="136">
        <v>182.5</v>
      </c>
      <c r="I935" s="142" t="s">
        <v>2351</v>
      </c>
    </row>
    <row r="936" spans="1:9" ht="14.25" customHeight="1" x14ac:dyDescent="0.3">
      <c r="A936" s="131">
        <v>3983</v>
      </c>
      <c r="B936" s="131" t="s">
        <v>500</v>
      </c>
      <c r="C936" s="135" t="s">
        <v>234</v>
      </c>
      <c r="D936" s="69">
        <v>182.5</v>
      </c>
      <c r="E936" s="69">
        <v>182.5</v>
      </c>
      <c r="F936" s="170">
        <v>365</v>
      </c>
      <c r="G936" s="136">
        <v>182.5</v>
      </c>
    </row>
    <row r="937" spans="1:9" ht="14.25" customHeight="1" x14ac:dyDescent="0.3">
      <c r="A937" s="131">
        <v>3989</v>
      </c>
      <c r="B937" s="131" t="s">
        <v>496</v>
      </c>
      <c r="C937" s="135" t="s">
        <v>495</v>
      </c>
      <c r="D937" s="69">
        <v>365</v>
      </c>
      <c r="E937" s="69">
        <v>365</v>
      </c>
      <c r="F937" s="170">
        <v>730</v>
      </c>
      <c r="G937" s="136">
        <v>365</v>
      </c>
    </row>
    <row r="938" spans="1:9" ht="14.25" customHeight="1" x14ac:dyDescent="0.3">
      <c r="A938" s="137">
        <v>3993</v>
      </c>
      <c r="B938" s="138" t="s">
        <v>501</v>
      </c>
      <c r="C938" s="139" t="s">
        <v>1824</v>
      </c>
      <c r="D938" s="69">
        <v>365</v>
      </c>
      <c r="E938" s="69">
        <v>365</v>
      </c>
      <c r="F938" s="170">
        <v>730</v>
      </c>
      <c r="G938" s="136">
        <v>365</v>
      </c>
    </row>
    <row r="939" spans="1:9" ht="14.25" customHeight="1" x14ac:dyDescent="0.3">
      <c r="A939" s="137">
        <v>4223</v>
      </c>
      <c r="B939" s="138" t="s">
        <v>506</v>
      </c>
      <c r="C939" s="139" t="s">
        <v>364</v>
      </c>
      <c r="D939" s="69">
        <v>182.5</v>
      </c>
      <c r="E939" s="69">
        <v>182.5</v>
      </c>
      <c r="F939" s="170">
        <v>365</v>
      </c>
      <c r="G939" s="136">
        <v>182.5</v>
      </c>
    </row>
    <row r="940" spans="1:9" ht="14.25" customHeight="1" x14ac:dyDescent="0.3">
      <c r="A940" s="137">
        <v>4237</v>
      </c>
      <c r="B940" s="138" t="s">
        <v>2473</v>
      </c>
      <c r="C940" s="139" t="s">
        <v>513</v>
      </c>
      <c r="D940" s="69">
        <v>182.5</v>
      </c>
      <c r="E940" s="69">
        <v>182.5</v>
      </c>
      <c r="F940" s="170">
        <v>365</v>
      </c>
      <c r="G940" s="136">
        <v>182.5</v>
      </c>
    </row>
    <row r="941" spans="1:9" ht="14.25" customHeight="1" x14ac:dyDescent="0.3">
      <c r="A941" s="137">
        <v>4238</v>
      </c>
      <c r="B941" s="138" t="s">
        <v>509</v>
      </c>
      <c r="C941" s="139" t="s">
        <v>378</v>
      </c>
      <c r="D941" s="69">
        <v>182.5</v>
      </c>
      <c r="E941" s="69">
        <v>182.5</v>
      </c>
      <c r="F941" s="170">
        <v>365</v>
      </c>
      <c r="G941" s="136">
        <v>182.5</v>
      </c>
    </row>
    <row r="942" spans="1:9" ht="14.25" customHeight="1" x14ac:dyDescent="0.3">
      <c r="A942" s="131">
        <v>4239</v>
      </c>
      <c r="B942" s="131" t="s">
        <v>507</v>
      </c>
      <c r="C942" s="135" t="s">
        <v>365</v>
      </c>
      <c r="D942" s="69">
        <v>182.5</v>
      </c>
      <c r="E942" s="69">
        <v>182.5</v>
      </c>
      <c r="F942" s="170">
        <v>365</v>
      </c>
      <c r="G942" s="136">
        <v>182.5</v>
      </c>
    </row>
    <row r="943" spans="1:9" ht="14.25" customHeight="1" x14ac:dyDescent="0.3">
      <c r="A943" s="131">
        <v>4266</v>
      </c>
      <c r="B943" s="131" t="s">
        <v>489</v>
      </c>
      <c r="C943" s="135" t="s">
        <v>181</v>
      </c>
      <c r="D943" s="69">
        <v>365</v>
      </c>
      <c r="E943" s="69">
        <v>365</v>
      </c>
      <c r="F943" s="170">
        <v>730</v>
      </c>
      <c r="G943" s="136">
        <v>365</v>
      </c>
    </row>
    <row r="944" spans="1:9" ht="14.25" customHeight="1" x14ac:dyDescent="0.3">
      <c r="A944" s="131">
        <v>4267</v>
      </c>
      <c r="B944" s="131" t="s">
        <v>490</v>
      </c>
      <c r="C944" s="135" t="s">
        <v>182</v>
      </c>
      <c r="D944" s="69">
        <v>365</v>
      </c>
      <c r="E944" s="69">
        <v>365</v>
      </c>
      <c r="F944" s="170">
        <v>730</v>
      </c>
      <c r="G944" s="136">
        <v>365</v>
      </c>
    </row>
    <row r="945" spans="1:9" ht="14.25" customHeight="1" x14ac:dyDescent="0.3">
      <c r="A945" s="131">
        <v>4293</v>
      </c>
      <c r="B945" s="131" t="s">
        <v>510</v>
      </c>
      <c r="C945" s="135" t="s">
        <v>379</v>
      </c>
      <c r="D945" s="69">
        <v>182.5</v>
      </c>
      <c r="E945" s="69">
        <v>182.5</v>
      </c>
      <c r="F945" s="170">
        <v>365</v>
      </c>
      <c r="G945" s="136">
        <v>182.5</v>
      </c>
      <c r="I945" s="142" t="s">
        <v>2351</v>
      </c>
    </row>
    <row r="946" spans="1:9" ht="14.25" customHeight="1" x14ac:dyDescent="0.3">
      <c r="A946" s="131">
        <v>4606</v>
      </c>
      <c r="B946" s="131" t="s">
        <v>465</v>
      </c>
      <c r="C946" s="135" t="s">
        <v>464</v>
      </c>
      <c r="D946" s="69">
        <v>225</v>
      </c>
      <c r="E946" s="69">
        <v>225</v>
      </c>
      <c r="F946" s="170">
        <v>450</v>
      </c>
      <c r="G946" s="136">
        <v>225</v>
      </c>
      <c r="I946" s="142" t="s">
        <v>2351</v>
      </c>
    </row>
    <row r="947" spans="1:9" ht="14.25" customHeight="1" x14ac:dyDescent="0.3">
      <c r="A947" s="131">
        <v>4640</v>
      </c>
      <c r="B947" s="131" t="s">
        <v>449</v>
      </c>
      <c r="C947" s="135" t="s">
        <v>7</v>
      </c>
      <c r="D947" s="69">
        <v>182.5</v>
      </c>
      <c r="E947" s="69">
        <v>182.5</v>
      </c>
      <c r="F947" s="170">
        <v>365</v>
      </c>
      <c r="G947" s="136">
        <v>182.5</v>
      </c>
    </row>
    <row r="948" spans="1:9" ht="14.25" customHeight="1" x14ac:dyDescent="0.3">
      <c r="A948" s="131">
        <v>4641</v>
      </c>
      <c r="B948" s="131" t="s">
        <v>443</v>
      </c>
      <c r="C948" s="135" t="s">
        <v>3</v>
      </c>
      <c r="D948" s="69">
        <v>365</v>
      </c>
      <c r="E948" s="69">
        <v>365</v>
      </c>
      <c r="F948" s="170">
        <v>730</v>
      </c>
      <c r="G948" s="136">
        <v>365</v>
      </c>
    </row>
    <row r="949" spans="1:9" ht="14.25" customHeight="1" x14ac:dyDescent="0.3">
      <c r="A949" s="137">
        <v>4645</v>
      </c>
      <c r="B949" s="138" t="s">
        <v>470</v>
      </c>
      <c r="C949" s="139" t="s">
        <v>471</v>
      </c>
      <c r="D949" s="69">
        <v>365</v>
      </c>
      <c r="E949" s="69">
        <v>365</v>
      </c>
      <c r="F949" s="170">
        <v>730</v>
      </c>
      <c r="G949" s="136">
        <v>365</v>
      </c>
    </row>
    <row r="950" spans="1:9" ht="14.25" customHeight="1" x14ac:dyDescent="0.3">
      <c r="A950" s="131">
        <v>4673</v>
      </c>
      <c r="B950" s="131" t="s">
        <v>460</v>
      </c>
      <c r="C950" s="135" t="s">
        <v>18</v>
      </c>
      <c r="D950" s="69">
        <v>182.5</v>
      </c>
      <c r="E950" s="69">
        <v>182.5</v>
      </c>
      <c r="F950" s="170">
        <v>365</v>
      </c>
      <c r="G950" s="136">
        <v>182.5</v>
      </c>
    </row>
    <row r="951" spans="1:9" ht="14.25" customHeight="1" x14ac:dyDescent="0.3">
      <c r="A951" s="131">
        <v>4674</v>
      </c>
      <c r="B951" s="131" t="s">
        <v>445</v>
      </c>
      <c r="C951" s="135" t="s">
        <v>5</v>
      </c>
      <c r="D951" s="69">
        <v>182.5</v>
      </c>
      <c r="E951" s="69">
        <v>182.5</v>
      </c>
      <c r="F951" s="170">
        <v>365</v>
      </c>
      <c r="G951" s="136">
        <v>182.5</v>
      </c>
    </row>
    <row r="952" spans="1:9" ht="14.25" customHeight="1" x14ac:dyDescent="0.3">
      <c r="A952" s="131">
        <v>4683</v>
      </c>
      <c r="B952" s="131" t="s">
        <v>447</v>
      </c>
      <c r="C952" s="135" t="s">
        <v>446</v>
      </c>
      <c r="D952" s="69">
        <v>182.5</v>
      </c>
      <c r="E952" s="69">
        <v>182.5</v>
      </c>
      <c r="F952" s="170">
        <v>365</v>
      </c>
      <c r="G952" s="136">
        <v>182.5</v>
      </c>
    </row>
    <row r="953" spans="1:9" ht="14.25" customHeight="1" x14ac:dyDescent="0.3">
      <c r="A953" s="131">
        <v>4687</v>
      </c>
      <c r="B953" s="131" t="s">
        <v>444</v>
      </c>
      <c r="C953" s="135" t="s">
        <v>4</v>
      </c>
      <c r="D953" s="69">
        <v>182.5</v>
      </c>
      <c r="E953" s="69">
        <v>182.5</v>
      </c>
      <c r="F953" s="170">
        <v>365</v>
      </c>
      <c r="G953" s="136">
        <v>182.5</v>
      </c>
    </row>
    <row r="954" spans="1:9" ht="14.25" customHeight="1" x14ac:dyDescent="0.3">
      <c r="A954" s="131">
        <v>4763</v>
      </c>
      <c r="B954" s="131" t="s">
        <v>451</v>
      </c>
      <c r="C954" s="135" t="s">
        <v>9</v>
      </c>
      <c r="D954" s="69">
        <v>225</v>
      </c>
      <c r="E954" s="69">
        <v>225</v>
      </c>
      <c r="F954" s="170">
        <v>450</v>
      </c>
      <c r="G954" s="136">
        <v>225</v>
      </c>
    </row>
    <row r="955" spans="1:9" ht="14.25" customHeight="1" x14ac:dyDescent="0.3">
      <c r="A955" s="131">
        <v>4954</v>
      </c>
      <c r="B955" s="131" t="s">
        <v>459</v>
      </c>
      <c r="C955" s="135" t="s">
        <v>17</v>
      </c>
      <c r="D955" s="69">
        <v>136.5</v>
      </c>
      <c r="E955" s="69">
        <v>136.5</v>
      </c>
      <c r="F955" s="170">
        <v>273</v>
      </c>
      <c r="G955" s="136">
        <v>136.5</v>
      </c>
    </row>
    <row r="956" spans="1:9" ht="14.25" customHeight="1" x14ac:dyDescent="0.3">
      <c r="A956" s="131">
        <v>4964</v>
      </c>
      <c r="B956" s="131" t="s">
        <v>461</v>
      </c>
      <c r="C956" s="135" t="s">
        <v>19</v>
      </c>
      <c r="D956" s="69">
        <v>365</v>
      </c>
      <c r="E956" s="69">
        <v>365</v>
      </c>
      <c r="F956" s="170">
        <v>730</v>
      </c>
      <c r="G956" s="136">
        <v>365</v>
      </c>
    </row>
    <row r="957" spans="1:9" ht="14.25" customHeight="1" x14ac:dyDescent="0.3">
      <c r="A957" s="137">
        <v>4974</v>
      </c>
      <c r="B957" s="138" t="s">
        <v>475</v>
      </c>
      <c r="C957" s="139" t="s">
        <v>476</v>
      </c>
      <c r="D957" s="69">
        <v>182.5</v>
      </c>
      <c r="E957" s="69">
        <v>182.5</v>
      </c>
      <c r="F957" s="170">
        <v>365</v>
      </c>
      <c r="G957" s="136">
        <v>182.5</v>
      </c>
    </row>
    <row r="958" spans="1:9" ht="14.25" customHeight="1" x14ac:dyDescent="0.3">
      <c r="A958" s="131">
        <v>7854</v>
      </c>
      <c r="B958" s="131" t="s">
        <v>474</v>
      </c>
      <c r="C958" s="135" t="s">
        <v>140</v>
      </c>
      <c r="D958" s="69">
        <v>182.5</v>
      </c>
      <c r="E958" s="69">
        <v>182.5</v>
      </c>
      <c r="F958" s="170">
        <v>365</v>
      </c>
      <c r="G958" s="136">
        <v>182.5</v>
      </c>
    </row>
    <row r="959" spans="1:9" ht="14.25" customHeight="1" x14ac:dyDescent="0.3">
      <c r="A959" s="131">
        <v>7864</v>
      </c>
      <c r="B959" s="131" t="s">
        <v>497</v>
      </c>
      <c r="C959" s="135" t="s">
        <v>239</v>
      </c>
      <c r="D959" s="69">
        <v>182.5</v>
      </c>
      <c r="E959" s="69">
        <v>182.5</v>
      </c>
      <c r="F959" s="170">
        <v>365</v>
      </c>
      <c r="G959" s="136">
        <v>182.5</v>
      </c>
    </row>
    <row r="960" spans="1:9" ht="14.25" customHeight="1" x14ac:dyDescent="0.3">
      <c r="A960" s="131">
        <v>7865</v>
      </c>
      <c r="B960" s="131" t="s">
        <v>499</v>
      </c>
      <c r="C960" s="135" t="s">
        <v>498</v>
      </c>
      <c r="D960" s="69">
        <v>182.5</v>
      </c>
      <c r="E960" s="69">
        <v>182.5</v>
      </c>
      <c r="F960" s="170">
        <v>365</v>
      </c>
      <c r="G960" s="136">
        <v>182.5</v>
      </c>
    </row>
    <row r="961" spans="1:8" ht="14.25" customHeight="1" x14ac:dyDescent="0.3">
      <c r="A961" s="131">
        <v>9100</v>
      </c>
      <c r="B961" s="131" t="s">
        <v>456</v>
      </c>
      <c r="C961" s="135" t="s">
        <v>16</v>
      </c>
      <c r="D961" s="69">
        <v>136.5</v>
      </c>
      <c r="E961" s="69">
        <v>136.5</v>
      </c>
      <c r="F961" s="170">
        <v>273</v>
      </c>
      <c r="G961" s="136">
        <v>136.5</v>
      </c>
    </row>
    <row r="962" spans="1:8" ht="14.25" customHeight="1" x14ac:dyDescent="0.3">
      <c r="A962" s="137">
        <v>9200</v>
      </c>
      <c r="B962" s="138" t="s">
        <v>2255</v>
      </c>
      <c r="C962" s="139" t="s">
        <v>2256</v>
      </c>
      <c r="D962" s="69">
        <v>182.5</v>
      </c>
      <c r="E962" s="69">
        <v>182.5</v>
      </c>
      <c r="F962" s="170">
        <v>365</v>
      </c>
      <c r="G962" s="136">
        <v>182.5</v>
      </c>
    </row>
    <row r="963" spans="1:8" ht="14.25" customHeight="1" x14ac:dyDescent="0.3">
      <c r="A963" s="137">
        <v>2284</v>
      </c>
      <c r="B963" s="131" t="s">
        <v>584</v>
      </c>
      <c r="C963" s="139" t="s">
        <v>382</v>
      </c>
      <c r="D963" s="69">
        <v>365</v>
      </c>
      <c r="E963" s="69">
        <v>365</v>
      </c>
      <c r="F963" s="170">
        <v>730</v>
      </c>
      <c r="G963" s="136">
        <v>365</v>
      </c>
    </row>
    <row r="964" spans="1:8" ht="14.25" customHeight="1" x14ac:dyDescent="0.3">
      <c r="A964" s="131">
        <v>2437</v>
      </c>
      <c r="B964" s="131" t="s">
        <v>590</v>
      </c>
      <c r="C964" s="135" t="s">
        <v>589</v>
      </c>
      <c r="D964" s="69">
        <v>365</v>
      </c>
      <c r="E964" s="69">
        <v>365</v>
      </c>
      <c r="F964" s="170">
        <v>730</v>
      </c>
      <c r="G964" s="136">
        <v>365</v>
      </c>
      <c r="H964"/>
    </row>
    <row r="965" spans="1:8" ht="14.25" customHeight="1" x14ac:dyDescent="0.3">
      <c r="A965" s="131">
        <v>2443</v>
      </c>
      <c r="B965" s="131" t="s">
        <v>599</v>
      </c>
      <c r="C965" s="135" t="s">
        <v>598</v>
      </c>
      <c r="D965" s="69">
        <v>365</v>
      </c>
      <c r="E965" s="69">
        <v>365</v>
      </c>
      <c r="F965" s="170">
        <v>730</v>
      </c>
      <c r="G965" s="136">
        <v>365</v>
      </c>
    </row>
    <row r="966" spans="1:8" ht="14.25" customHeight="1" x14ac:dyDescent="0.3">
      <c r="A966" s="131">
        <v>2446</v>
      </c>
      <c r="B966" s="131" t="s">
        <v>604</v>
      </c>
      <c r="C966" s="135" t="s">
        <v>144</v>
      </c>
      <c r="D966" s="69">
        <v>365</v>
      </c>
      <c r="E966" s="69">
        <v>365</v>
      </c>
      <c r="F966" s="170">
        <v>730</v>
      </c>
      <c r="G966" s="136">
        <v>365</v>
      </c>
    </row>
    <row r="967" spans="1:8" ht="14.25" customHeight="1" x14ac:dyDescent="0.3">
      <c r="A967" s="131">
        <v>2449</v>
      </c>
      <c r="B967" s="131" t="s">
        <v>610</v>
      </c>
      <c r="C967" s="135" t="s">
        <v>609</v>
      </c>
      <c r="D967" s="69">
        <v>365</v>
      </c>
      <c r="E967" s="69">
        <v>365</v>
      </c>
      <c r="F967" s="170">
        <v>730</v>
      </c>
      <c r="G967" s="136">
        <v>365</v>
      </c>
    </row>
    <row r="968" spans="1:8" ht="14.25" customHeight="1" x14ac:dyDescent="0.3">
      <c r="A968" s="131">
        <v>4174</v>
      </c>
      <c r="B968" s="131" t="s">
        <v>693</v>
      </c>
      <c r="C968" s="135" t="s">
        <v>692</v>
      </c>
      <c r="D968" s="69">
        <v>365</v>
      </c>
      <c r="E968" s="69">
        <v>365</v>
      </c>
      <c r="F968" s="170">
        <v>730</v>
      </c>
      <c r="G968" s="136">
        <v>365</v>
      </c>
    </row>
    <row r="969" spans="1:8" ht="14.25" customHeight="1" x14ac:dyDescent="0.3">
      <c r="A969" s="131">
        <v>4176</v>
      </c>
      <c r="B969" s="131" t="s">
        <v>697</v>
      </c>
      <c r="C969" s="135" t="s">
        <v>696</v>
      </c>
      <c r="D969" s="69">
        <v>365</v>
      </c>
      <c r="E969" s="69">
        <v>365</v>
      </c>
      <c r="F969" s="170">
        <v>730</v>
      </c>
      <c r="G969" s="136">
        <v>365</v>
      </c>
    </row>
    <row r="970" spans="1:8" ht="14.25" customHeight="1" x14ac:dyDescent="0.3">
      <c r="A970" s="137">
        <v>4177</v>
      </c>
      <c r="B970" s="138" t="s">
        <v>2474</v>
      </c>
      <c r="C970" s="139" t="s">
        <v>1825</v>
      </c>
      <c r="D970" s="69">
        <v>365</v>
      </c>
      <c r="E970" s="69">
        <v>365</v>
      </c>
      <c r="F970" s="170">
        <v>730</v>
      </c>
      <c r="G970" s="136">
        <v>365</v>
      </c>
    </row>
    <row r="971" spans="1:8" ht="14.25" customHeight="1" x14ac:dyDescent="0.3">
      <c r="A971" s="131">
        <v>4832</v>
      </c>
      <c r="B971" s="131" t="s">
        <v>1730</v>
      </c>
      <c r="C971" s="135" t="s">
        <v>296</v>
      </c>
      <c r="D971" s="69">
        <v>365</v>
      </c>
      <c r="E971" s="69">
        <v>365</v>
      </c>
      <c r="F971" s="170">
        <v>730</v>
      </c>
      <c r="G971" s="136">
        <v>365</v>
      </c>
    </row>
    <row r="972" spans="1:8" ht="14.25" customHeight="1" x14ac:dyDescent="0.3">
      <c r="A972" s="131">
        <v>4856</v>
      </c>
      <c r="B972" s="131" t="s">
        <v>834</v>
      </c>
      <c r="C972" s="135" t="s">
        <v>56</v>
      </c>
      <c r="D972" s="69">
        <v>365</v>
      </c>
      <c r="E972" s="69">
        <v>365</v>
      </c>
      <c r="F972" s="170">
        <v>730</v>
      </c>
      <c r="G972" s="136">
        <v>365</v>
      </c>
    </row>
    <row r="973" spans="1:8" ht="14.25" customHeight="1" x14ac:dyDescent="0.3">
      <c r="A973" s="131">
        <v>4863</v>
      </c>
      <c r="B973" s="131" t="s">
        <v>844</v>
      </c>
      <c r="C973" s="135" t="s">
        <v>823</v>
      </c>
      <c r="D973" s="69">
        <v>365</v>
      </c>
      <c r="E973" s="69">
        <v>365</v>
      </c>
      <c r="F973" s="170">
        <v>730</v>
      </c>
      <c r="G973" s="136">
        <v>365</v>
      </c>
    </row>
    <row r="974" spans="1:8" ht="14.25" customHeight="1" x14ac:dyDescent="0.3">
      <c r="A974" s="137">
        <v>5050</v>
      </c>
      <c r="B974" s="138" t="s">
        <v>2039</v>
      </c>
      <c r="C974" s="139" t="s">
        <v>2040</v>
      </c>
      <c r="D974" s="69">
        <v>365</v>
      </c>
      <c r="E974" s="69">
        <v>365</v>
      </c>
      <c r="F974" s="170">
        <v>730</v>
      </c>
      <c r="G974" s="136">
        <v>365</v>
      </c>
    </row>
    <row r="975" spans="1:8" ht="14.25" customHeight="1" x14ac:dyDescent="0.3">
      <c r="A975" s="131">
        <v>5051</v>
      </c>
      <c r="B975" s="131" t="s">
        <v>906</v>
      </c>
      <c r="C975" s="135" t="s">
        <v>905</v>
      </c>
      <c r="D975" s="69">
        <v>365</v>
      </c>
      <c r="E975" s="69">
        <v>365</v>
      </c>
      <c r="F975" s="170">
        <v>730</v>
      </c>
      <c r="G975" s="136">
        <v>365</v>
      </c>
    </row>
    <row r="976" spans="1:8" ht="14.25" customHeight="1" x14ac:dyDescent="0.3">
      <c r="A976" s="137">
        <v>5105</v>
      </c>
      <c r="B976" s="131" t="s">
        <v>907</v>
      </c>
      <c r="C976" s="139" t="s">
        <v>1731</v>
      </c>
      <c r="D976" s="69">
        <v>84</v>
      </c>
      <c r="E976" s="69">
        <v>182.5</v>
      </c>
      <c r="F976" s="170">
        <v>365</v>
      </c>
      <c r="G976" s="136">
        <v>281</v>
      </c>
    </row>
    <row r="977" spans="1:7" ht="14.25" customHeight="1" x14ac:dyDescent="0.3">
      <c r="A977" s="137">
        <v>5176</v>
      </c>
      <c r="B977" s="131" t="s">
        <v>929</v>
      </c>
      <c r="C977" s="139" t="s">
        <v>1732</v>
      </c>
      <c r="D977" s="69">
        <v>84</v>
      </c>
      <c r="E977" s="69">
        <v>182.5</v>
      </c>
      <c r="F977" s="170">
        <v>365</v>
      </c>
      <c r="G977" s="136">
        <v>281</v>
      </c>
    </row>
    <row r="978" spans="1:7" ht="14.25" customHeight="1" x14ac:dyDescent="0.3">
      <c r="A978" s="131">
        <v>5662</v>
      </c>
      <c r="B978" s="131" t="s">
        <v>1065</v>
      </c>
      <c r="C978" s="135" t="s">
        <v>403</v>
      </c>
      <c r="D978" s="69">
        <v>84</v>
      </c>
      <c r="E978" s="69">
        <v>182.5</v>
      </c>
      <c r="F978" s="170">
        <v>365</v>
      </c>
      <c r="G978" s="136">
        <v>281</v>
      </c>
    </row>
    <row r="979" spans="1:7" ht="14.25" customHeight="1" x14ac:dyDescent="0.3">
      <c r="A979" s="131">
        <v>5701</v>
      </c>
      <c r="B979" s="131" t="s">
        <v>1069</v>
      </c>
      <c r="C979" s="135" t="s">
        <v>1068</v>
      </c>
      <c r="D979" s="69">
        <v>365</v>
      </c>
      <c r="E979" s="69">
        <v>365</v>
      </c>
      <c r="F979" s="170">
        <v>730</v>
      </c>
      <c r="G979" s="136">
        <v>365</v>
      </c>
    </row>
    <row r="980" spans="1:7" ht="14.25" customHeight="1" x14ac:dyDescent="0.3">
      <c r="A980" s="131">
        <v>5703</v>
      </c>
      <c r="B980" s="131" t="s">
        <v>1073</v>
      </c>
      <c r="C980" s="135" t="s">
        <v>1072</v>
      </c>
      <c r="D980" s="69">
        <v>365</v>
      </c>
      <c r="E980" s="69">
        <v>365</v>
      </c>
      <c r="F980" s="170">
        <v>730</v>
      </c>
      <c r="G980" s="136">
        <v>365</v>
      </c>
    </row>
    <row r="981" spans="1:7" ht="14.25" customHeight="1" x14ac:dyDescent="0.3">
      <c r="A981" s="131">
        <v>5739</v>
      </c>
      <c r="B981" s="131" t="s">
        <v>1099</v>
      </c>
      <c r="C981" s="135" t="s">
        <v>148</v>
      </c>
      <c r="D981" s="69">
        <v>84</v>
      </c>
      <c r="E981" s="69">
        <v>182.5</v>
      </c>
      <c r="F981" s="170">
        <v>365</v>
      </c>
      <c r="G981" s="136">
        <v>281</v>
      </c>
    </row>
    <row r="982" spans="1:7" ht="14.25" customHeight="1" x14ac:dyDescent="0.3">
      <c r="A982" s="137">
        <v>5743</v>
      </c>
      <c r="B982" s="138" t="s">
        <v>2082</v>
      </c>
      <c r="C982" s="139" t="s">
        <v>2083</v>
      </c>
      <c r="D982" s="69">
        <v>70</v>
      </c>
      <c r="E982" s="69">
        <v>182.5</v>
      </c>
      <c r="F982" s="170">
        <v>365</v>
      </c>
      <c r="G982" s="136">
        <v>295</v>
      </c>
    </row>
    <row r="983" spans="1:7" ht="14.25" customHeight="1" x14ac:dyDescent="0.3">
      <c r="A983" s="137">
        <v>5745</v>
      </c>
      <c r="B983" s="138" t="s">
        <v>2086</v>
      </c>
      <c r="C983" s="139" t="s">
        <v>2087</v>
      </c>
      <c r="D983" s="69">
        <v>70</v>
      </c>
      <c r="E983" s="69">
        <v>182.5</v>
      </c>
      <c r="F983" s="170">
        <v>365</v>
      </c>
      <c r="G983" s="136">
        <v>295</v>
      </c>
    </row>
    <row r="984" spans="1:7" ht="14.25" customHeight="1" x14ac:dyDescent="0.3">
      <c r="A984" s="137">
        <v>5759</v>
      </c>
      <c r="B984" s="138" t="s">
        <v>2096</v>
      </c>
      <c r="C984" s="139" t="s">
        <v>2097</v>
      </c>
      <c r="D984" s="69">
        <v>365</v>
      </c>
      <c r="E984" s="69">
        <v>365</v>
      </c>
      <c r="F984" s="170">
        <v>730</v>
      </c>
      <c r="G984" s="136">
        <v>365</v>
      </c>
    </row>
    <row r="985" spans="1:7" ht="14.25" customHeight="1" x14ac:dyDescent="0.3">
      <c r="A985" s="137">
        <v>6103</v>
      </c>
      <c r="B985" s="138" t="s">
        <v>2325</v>
      </c>
      <c r="C985" s="139" t="s">
        <v>2326</v>
      </c>
      <c r="D985" s="69">
        <v>122</v>
      </c>
      <c r="E985" s="69">
        <v>136.5</v>
      </c>
      <c r="F985" s="170">
        <v>273</v>
      </c>
      <c r="G985" s="136">
        <v>151</v>
      </c>
    </row>
    <row r="986" spans="1:7" ht="14.25" customHeight="1" x14ac:dyDescent="0.3">
      <c r="A986" s="137">
        <v>6104</v>
      </c>
      <c r="B986" s="131" t="s">
        <v>1106</v>
      </c>
      <c r="C986" s="139" t="s">
        <v>362</v>
      </c>
      <c r="D986" s="69">
        <v>365</v>
      </c>
      <c r="E986" s="69">
        <v>365</v>
      </c>
      <c r="F986" s="170">
        <v>730</v>
      </c>
      <c r="G986" s="136">
        <v>365</v>
      </c>
    </row>
    <row r="987" spans="1:7" ht="14.25" customHeight="1" x14ac:dyDescent="0.3">
      <c r="A987" s="137">
        <v>6105</v>
      </c>
      <c r="B987" s="131" t="s">
        <v>1107</v>
      </c>
      <c r="C987" s="139" t="s">
        <v>363</v>
      </c>
      <c r="D987" s="69">
        <v>84</v>
      </c>
      <c r="E987" s="69">
        <v>182.5</v>
      </c>
      <c r="F987" s="170">
        <v>365</v>
      </c>
      <c r="G987" s="136">
        <v>281</v>
      </c>
    </row>
    <row r="988" spans="1:7" ht="14.25" customHeight="1" x14ac:dyDescent="0.3">
      <c r="A988" s="137">
        <v>6106</v>
      </c>
      <c r="B988" s="138" t="s">
        <v>2104</v>
      </c>
      <c r="C988" s="139" t="s">
        <v>2105</v>
      </c>
      <c r="D988" s="69">
        <v>84</v>
      </c>
      <c r="E988" s="69">
        <v>182.5</v>
      </c>
      <c r="F988" s="170">
        <v>365</v>
      </c>
      <c r="G988" s="136">
        <v>281</v>
      </c>
    </row>
    <row r="989" spans="1:7" ht="14.25" customHeight="1" x14ac:dyDescent="0.3">
      <c r="A989" s="137">
        <v>6107</v>
      </c>
      <c r="B989" s="138" t="s">
        <v>1893</v>
      </c>
      <c r="C989" s="139" t="s">
        <v>1894</v>
      </c>
      <c r="D989" s="69">
        <v>84</v>
      </c>
      <c r="E989" s="69">
        <v>182.5</v>
      </c>
      <c r="F989" s="170">
        <v>365</v>
      </c>
      <c r="G989" s="136">
        <v>281</v>
      </c>
    </row>
    <row r="990" spans="1:7" ht="14.25" customHeight="1" x14ac:dyDescent="0.3">
      <c r="A990" s="137">
        <v>6108</v>
      </c>
      <c r="B990" s="138" t="s">
        <v>2348</v>
      </c>
      <c r="C990" s="139" t="s">
        <v>2324</v>
      </c>
      <c r="D990" s="69">
        <v>84</v>
      </c>
      <c r="E990" s="69">
        <v>182.5</v>
      </c>
      <c r="F990" s="170">
        <v>365</v>
      </c>
      <c r="G990" s="136">
        <v>281</v>
      </c>
    </row>
    <row r="991" spans="1:7" ht="14.25" customHeight="1" x14ac:dyDescent="0.3">
      <c r="A991" s="137" t="s">
        <v>2594</v>
      </c>
      <c r="B991" s="138" t="s">
        <v>2595</v>
      </c>
      <c r="C991" s="139" t="s">
        <v>2596</v>
      </c>
      <c r="D991" s="69">
        <v>84</v>
      </c>
      <c r="E991" s="69">
        <v>182.5</v>
      </c>
      <c r="F991" s="170">
        <v>365</v>
      </c>
      <c r="G991" s="136">
        <v>281</v>
      </c>
    </row>
    <row r="992" spans="1:7" ht="14.25" customHeight="1" x14ac:dyDescent="0.3">
      <c r="A992" s="131">
        <v>6110</v>
      </c>
      <c r="B992" s="131" t="s">
        <v>1109</v>
      </c>
      <c r="C992" s="135" t="s">
        <v>1108</v>
      </c>
      <c r="D992" s="69">
        <v>365</v>
      </c>
      <c r="E992" s="69">
        <v>365</v>
      </c>
      <c r="F992" s="170">
        <v>730</v>
      </c>
      <c r="G992" s="136">
        <v>365</v>
      </c>
    </row>
    <row r="993" spans="1:7" ht="14.25" customHeight="1" x14ac:dyDescent="0.3">
      <c r="A993" s="131">
        <v>6111</v>
      </c>
      <c r="B993" s="131" t="s">
        <v>1112</v>
      </c>
      <c r="C993" s="135" t="s">
        <v>1111</v>
      </c>
      <c r="D993" s="69">
        <v>365</v>
      </c>
      <c r="E993" s="69">
        <v>365</v>
      </c>
      <c r="F993" s="170">
        <v>730</v>
      </c>
      <c r="G993" s="136">
        <v>365</v>
      </c>
    </row>
    <row r="994" spans="1:7" ht="14.25" customHeight="1" x14ac:dyDescent="0.3">
      <c r="A994" s="131">
        <v>6113</v>
      </c>
      <c r="B994" s="131" t="s">
        <v>488</v>
      </c>
      <c r="C994" s="135" t="s">
        <v>1114</v>
      </c>
      <c r="D994" s="69">
        <v>365</v>
      </c>
      <c r="E994" s="69">
        <v>365</v>
      </c>
      <c r="F994" s="170">
        <v>730</v>
      </c>
      <c r="G994" s="136">
        <v>365</v>
      </c>
    </row>
    <row r="995" spans="1:7" ht="14.25" customHeight="1" x14ac:dyDescent="0.3">
      <c r="A995" s="131">
        <v>6114</v>
      </c>
      <c r="B995" s="131" t="s">
        <v>1116</v>
      </c>
      <c r="C995" s="135" t="s">
        <v>1115</v>
      </c>
      <c r="D995" s="69">
        <v>365</v>
      </c>
      <c r="E995" s="69">
        <v>365</v>
      </c>
      <c r="F995" s="170">
        <v>730</v>
      </c>
      <c r="G995" s="136">
        <v>365</v>
      </c>
    </row>
    <row r="996" spans="1:7" ht="14.25" customHeight="1" x14ac:dyDescent="0.3">
      <c r="A996" s="131">
        <v>4179</v>
      </c>
      <c r="B996" s="131" t="s">
        <v>2593</v>
      </c>
      <c r="C996" s="135" t="s">
        <v>2592</v>
      </c>
      <c r="D996" s="69">
        <v>365</v>
      </c>
      <c r="E996" s="69">
        <v>365</v>
      </c>
      <c r="F996" s="170">
        <v>730</v>
      </c>
      <c r="G996" s="136">
        <v>365</v>
      </c>
    </row>
    <row r="997" spans="1:7" ht="14.25" customHeight="1" x14ac:dyDescent="0.3">
      <c r="A997" s="131">
        <v>4184</v>
      </c>
      <c r="B997" s="131" t="s">
        <v>2678</v>
      </c>
      <c r="C997" s="135" t="s">
        <v>2679</v>
      </c>
      <c r="D997" s="69">
        <v>84</v>
      </c>
      <c r="E997" s="69">
        <v>182.5</v>
      </c>
      <c r="F997" s="170">
        <v>365</v>
      </c>
      <c r="G997" s="136">
        <v>281</v>
      </c>
    </row>
    <row r="998" spans="1:7" ht="14.25" customHeight="1" x14ac:dyDescent="0.3">
      <c r="A998" s="131">
        <v>6115</v>
      </c>
      <c r="B998" s="131" t="s">
        <v>1117</v>
      </c>
      <c r="C998" s="135" t="s">
        <v>81</v>
      </c>
      <c r="D998" s="69">
        <v>365</v>
      </c>
      <c r="E998" s="69">
        <v>365</v>
      </c>
      <c r="F998" s="170">
        <v>730</v>
      </c>
      <c r="G998" s="136">
        <v>365</v>
      </c>
    </row>
    <row r="999" spans="1:7" ht="14.25" customHeight="1" x14ac:dyDescent="0.3">
      <c r="A999" s="131">
        <v>6116</v>
      </c>
      <c r="B999" s="131" t="s">
        <v>558</v>
      </c>
      <c r="C999" s="135" t="s">
        <v>1118</v>
      </c>
      <c r="D999" s="69">
        <v>84</v>
      </c>
      <c r="E999" s="69">
        <v>182.5</v>
      </c>
      <c r="F999" s="170">
        <v>365</v>
      </c>
      <c r="G999" s="136">
        <v>281</v>
      </c>
    </row>
    <row r="1000" spans="1:7" ht="14.25" customHeight="1" x14ac:dyDescent="0.3">
      <c r="A1000" s="131">
        <v>6117</v>
      </c>
      <c r="B1000" s="131" t="s">
        <v>1120</v>
      </c>
      <c r="C1000" s="135" t="s">
        <v>1119</v>
      </c>
      <c r="D1000" s="69">
        <v>84</v>
      </c>
      <c r="E1000" s="69">
        <v>182.5</v>
      </c>
      <c r="F1000" s="170">
        <v>365</v>
      </c>
      <c r="G1000" s="136">
        <v>281</v>
      </c>
    </row>
    <row r="1001" spans="1:7" ht="14.25" customHeight="1" x14ac:dyDescent="0.3">
      <c r="A1001" s="131">
        <v>6118</v>
      </c>
      <c r="B1001" s="131" t="s">
        <v>1122</v>
      </c>
      <c r="C1001" s="135" t="s">
        <v>82</v>
      </c>
      <c r="D1001" s="69">
        <v>84</v>
      </c>
      <c r="E1001" s="69">
        <v>182.5</v>
      </c>
      <c r="F1001" s="170">
        <v>365</v>
      </c>
      <c r="G1001" s="136">
        <v>281</v>
      </c>
    </row>
    <row r="1002" spans="1:7" ht="14.25" customHeight="1" x14ac:dyDescent="0.3">
      <c r="A1002" s="131">
        <v>6119</v>
      </c>
      <c r="B1002" s="131" t="s">
        <v>514</v>
      </c>
      <c r="C1002" s="135" t="s">
        <v>1124</v>
      </c>
      <c r="D1002" s="69">
        <v>98</v>
      </c>
      <c r="E1002" s="69">
        <v>182.5</v>
      </c>
      <c r="F1002" s="170">
        <v>365</v>
      </c>
      <c r="G1002" s="136">
        <v>267</v>
      </c>
    </row>
    <row r="1003" spans="1:7" ht="14.25" customHeight="1" x14ac:dyDescent="0.3">
      <c r="A1003" s="131">
        <v>6120</v>
      </c>
      <c r="B1003" s="131" t="s">
        <v>1126</v>
      </c>
      <c r="C1003" s="135" t="s">
        <v>1125</v>
      </c>
      <c r="D1003" s="69">
        <v>98</v>
      </c>
      <c r="E1003" s="69">
        <v>182.5</v>
      </c>
      <c r="F1003" s="170">
        <v>365</v>
      </c>
      <c r="G1003" s="136">
        <v>267</v>
      </c>
    </row>
    <row r="1004" spans="1:7" ht="14.25" customHeight="1" x14ac:dyDescent="0.3">
      <c r="A1004" s="131">
        <v>6121</v>
      </c>
      <c r="B1004" s="131" t="s">
        <v>1128</v>
      </c>
      <c r="C1004" s="135" t="s">
        <v>83</v>
      </c>
      <c r="D1004" s="69">
        <v>98</v>
      </c>
      <c r="E1004" s="69">
        <v>182.5</v>
      </c>
      <c r="F1004" s="170">
        <v>365</v>
      </c>
      <c r="G1004" s="136">
        <v>267</v>
      </c>
    </row>
    <row r="1005" spans="1:7" ht="14.25" customHeight="1" x14ac:dyDescent="0.3">
      <c r="A1005" s="131">
        <v>6122</v>
      </c>
      <c r="B1005" s="131" t="s">
        <v>1102</v>
      </c>
      <c r="C1005" s="135" t="s">
        <v>1129</v>
      </c>
      <c r="D1005" s="69">
        <v>70</v>
      </c>
      <c r="E1005" s="69">
        <v>182.5</v>
      </c>
      <c r="F1005" s="170">
        <v>365</v>
      </c>
      <c r="G1005" s="136">
        <v>295</v>
      </c>
    </row>
    <row r="1006" spans="1:7" ht="14.25" customHeight="1" x14ac:dyDescent="0.3">
      <c r="A1006" s="131">
        <v>6126</v>
      </c>
      <c r="B1006" s="131" t="s">
        <v>1131</v>
      </c>
      <c r="C1006" s="135" t="s">
        <v>1130</v>
      </c>
      <c r="D1006" s="69">
        <v>365</v>
      </c>
      <c r="E1006" s="69">
        <v>365</v>
      </c>
      <c r="F1006" s="170">
        <v>730</v>
      </c>
      <c r="G1006" s="136">
        <v>365</v>
      </c>
    </row>
    <row r="1007" spans="1:7" ht="14.25" customHeight="1" x14ac:dyDescent="0.3">
      <c r="A1007" s="131">
        <v>6128</v>
      </c>
      <c r="B1007" s="131" t="s">
        <v>439</v>
      </c>
      <c r="C1007" s="135" t="s">
        <v>1132</v>
      </c>
      <c r="D1007" s="69">
        <v>98</v>
      </c>
      <c r="E1007" s="69">
        <v>182.5</v>
      </c>
      <c r="F1007" s="170">
        <v>365</v>
      </c>
      <c r="G1007" s="136">
        <v>267</v>
      </c>
    </row>
    <row r="1008" spans="1:7" ht="14.25" customHeight="1" x14ac:dyDescent="0.3">
      <c r="A1008" s="137">
        <v>6134</v>
      </c>
      <c r="B1008" s="138" t="s">
        <v>1871</v>
      </c>
      <c r="C1008" s="139" t="s">
        <v>1872</v>
      </c>
      <c r="D1008" s="69">
        <v>98</v>
      </c>
      <c r="E1008" s="69">
        <v>182.5</v>
      </c>
      <c r="F1008" s="170">
        <v>365</v>
      </c>
      <c r="G1008" s="136">
        <v>267</v>
      </c>
    </row>
    <row r="1009" spans="1:7" ht="14.25" customHeight="1" x14ac:dyDescent="0.3">
      <c r="A1009" s="131">
        <v>6138</v>
      </c>
      <c r="B1009" s="131" t="s">
        <v>2276</v>
      </c>
      <c r="C1009" s="135" t="s">
        <v>2270</v>
      </c>
      <c r="D1009" s="69">
        <v>84</v>
      </c>
      <c r="E1009" s="69">
        <v>151.5</v>
      </c>
      <c r="F1009" s="170">
        <v>303</v>
      </c>
      <c r="G1009" s="136">
        <v>219</v>
      </c>
    </row>
    <row r="1010" spans="1:7" ht="14.25" customHeight="1" x14ac:dyDescent="0.3">
      <c r="A1010" s="131">
        <v>6337</v>
      </c>
      <c r="B1010" s="131" t="s">
        <v>1154</v>
      </c>
      <c r="C1010" s="135" t="s">
        <v>1153</v>
      </c>
      <c r="D1010" s="69">
        <v>75</v>
      </c>
      <c r="E1010" s="69">
        <v>91.5</v>
      </c>
      <c r="F1010" s="170">
        <v>183</v>
      </c>
      <c r="G1010" s="136">
        <v>108</v>
      </c>
    </row>
    <row r="1011" spans="1:7" ht="14.25" customHeight="1" x14ac:dyDescent="0.3">
      <c r="A1011" s="131">
        <v>4823</v>
      </c>
      <c r="B1011" s="131" t="s">
        <v>519</v>
      </c>
      <c r="C1011" s="135" t="s">
        <v>21</v>
      </c>
      <c r="D1011" s="69">
        <v>365</v>
      </c>
      <c r="E1011" s="69">
        <v>365</v>
      </c>
      <c r="F1011" s="170">
        <v>730</v>
      </c>
      <c r="G1011" s="136">
        <v>365</v>
      </c>
    </row>
    <row r="1012" spans="1:7" ht="14.25" customHeight="1" x14ac:dyDescent="0.3">
      <c r="A1012" s="131">
        <v>4824</v>
      </c>
      <c r="B1012" s="131" t="s">
        <v>454</v>
      </c>
      <c r="C1012" s="135" t="s">
        <v>13</v>
      </c>
      <c r="D1012" s="69">
        <v>365</v>
      </c>
      <c r="E1012" s="69">
        <v>365</v>
      </c>
      <c r="F1012" s="170">
        <v>730</v>
      </c>
      <c r="G1012" s="136">
        <v>365</v>
      </c>
    </row>
    <row r="1013" spans="1:7" ht="14.25" customHeight="1" x14ac:dyDescent="0.3">
      <c r="A1013" s="131">
        <v>4825</v>
      </c>
      <c r="B1013" s="131" t="s">
        <v>520</v>
      </c>
      <c r="C1013" s="135" t="s">
        <v>14</v>
      </c>
      <c r="D1013" s="69">
        <v>365</v>
      </c>
      <c r="E1013" s="69">
        <v>365</v>
      </c>
      <c r="F1013" s="170">
        <v>730</v>
      </c>
      <c r="G1013" s="136">
        <v>365</v>
      </c>
    </row>
    <row r="1014" spans="1:7" ht="14.25" customHeight="1" x14ac:dyDescent="0.3">
      <c r="A1014" s="131">
        <v>4858</v>
      </c>
      <c r="B1014" s="131" t="s">
        <v>539</v>
      </c>
      <c r="C1014" s="135" t="s">
        <v>24</v>
      </c>
      <c r="D1014" s="69">
        <v>182.5</v>
      </c>
      <c r="E1014" s="69">
        <v>182.5</v>
      </c>
      <c r="F1014" s="170">
        <v>365</v>
      </c>
      <c r="G1014" s="136">
        <v>182.5</v>
      </c>
    </row>
    <row r="1015" spans="1:7" ht="14.25" customHeight="1" x14ac:dyDescent="0.3">
      <c r="A1015" s="131">
        <v>4859</v>
      </c>
      <c r="B1015" s="131" t="s">
        <v>540</v>
      </c>
      <c r="C1015" s="135" t="s">
        <v>25</v>
      </c>
      <c r="D1015" s="69">
        <v>182.5</v>
      </c>
      <c r="E1015" s="69">
        <v>182.5</v>
      </c>
      <c r="F1015" s="170">
        <v>365</v>
      </c>
      <c r="G1015" s="136">
        <v>182.5</v>
      </c>
    </row>
    <row r="1016" spans="1:7" ht="14.25" customHeight="1" x14ac:dyDescent="0.3">
      <c r="A1016" s="131">
        <v>4882</v>
      </c>
      <c r="B1016" s="131" t="s">
        <v>542</v>
      </c>
      <c r="C1016" s="135" t="s">
        <v>27</v>
      </c>
      <c r="D1016" s="69">
        <v>182.5</v>
      </c>
      <c r="E1016" s="69">
        <v>182.5</v>
      </c>
      <c r="F1016" s="170">
        <v>365</v>
      </c>
      <c r="G1016" s="136">
        <v>182.5</v>
      </c>
    </row>
    <row r="1017" spans="1:7" ht="14.25" customHeight="1" x14ac:dyDescent="0.3">
      <c r="A1017" s="131">
        <v>7609</v>
      </c>
      <c r="B1017" s="131" t="s">
        <v>518</v>
      </c>
      <c r="C1017" s="135" t="s">
        <v>20</v>
      </c>
      <c r="D1017" s="69">
        <v>182.5</v>
      </c>
      <c r="E1017" s="69">
        <v>182.5</v>
      </c>
      <c r="F1017" s="170">
        <v>365</v>
      </c>
      <c r="G1017" s="136">
        <v>182.5</v>
      </c>
    </row>
    <row r="1018" spans="1:7" ht="14.25" customHeight="1" x14ac:dyDescent="0.3">
      <c r="A1018" s="131">
        <v>7646</v>
      </c>
      <c r="B1018" s="131" t="s">
        <v>541</v>
      </c>
      <c r="C1018" s="135" t="s">
        <v>26</v>
      </c>
      <c r="D1018" s="69">
        <v>136.5</v>
      </c>
      <c r="E1018" s="69">
        <v>136.5</v>
      </c>
      <c r="F1018" s="170">
        <v>273</v>
      </c>
      <c r="G1018" s="136">
        <v>136.5</v>
      </c>
    </row>
    <row r="1019" spans="1:7" ht="14.25" customHeight="1" x14ac:dyDescent="0.3">
      <c r="A1019" s="131">
        <v>4160</v>
      </c>
      <c r="B1019" s="131" t="s">
        <v>674</v>
      </c>
      <c r="C1019" s="135" t="s">
        <v>673</v>
      </c>
      <c r="D1019" s="69">
        <v>122</v>
      </c>
      <c r="E1019" s="69">
        <v>136.5</v>
      </c>
      <c r="F1019" s="170">
        <v>273</v>
      </c>
      <c r="G1019" s="136">
        <v>151</v>
      </c>
    </row>
    <row r="1020" spans="1:7" ht="14.25" customHeight="1" x14ac:dyDescent="0.3">
      <c r="A1020" s="131">
        <v>4161</v>
      </c>
      <c r="B1020" s="131" t="s">
        <v>676</v>
      </c>
      <c r="C1020" s="135" t="s">
        <v>675</v>
      </c>
      <c r="D1020" s="69">
        <v>122</v>
      </c>
      <c r="E1020" s="69">
        <v>136.5</v>
      </c>
      <c r="F1020" s="170">
        <v>273</v>
      </c>
      <c r="G1020" s="136">
        <v>151</v>
      </c>
    </row>
    <row r="1021" spans="1:7" ht="14.25" customHeight="1" x14ac:dyDescent="0.3">
      <c r="A1021" s="131">
        <v>4162</v>
      </c>
      <c r="B1021" s="131" t="s">
        <v>677</v>
      </c>
      <c r="C1021" s="135" t="s">
        <v>43</v>
      </c>
      <c r="D1021" s="69">
        <v>122</v>
      </c>
      <c r="E1021" s="69">
        <v>136.5</v>
      </c>
      <c r="F1021" s="170">
        <v>273</v>
      </c>
      <c r="G1021" s="136">
        <v>151</v>
      </c>
    </row>
    <row r="1022" spans="1:7" ht="14.25" customHeight="1" x14ac:dyDescent="0.3">
      <c r="A1022" s="131">
        <v>4163</v>
      </c>
      <c r="B1022" s="131" t="s">
        <v>678</v>
      </c>
      <c r="C1022" s="135" t="s">
        <v>44</v>
      </c>
      <c r="D1022" s="69">
        <v>122</v>
      </c>
      <c r="E1022" s="69">
        <v>136.5</v>
      </c>
      <c r="F1022" s="170">
        <v>273</v>
      </c>
      <c r="G1022" s="136">
        <v>151</v>
      </c>
    </row>
    <row r="1023" spans="1:7" ht="14.25" customHeight="1" x14ac:dyDescent="0.3">
      <c r="A1023" s="131">
        <v>4165</v>
      </c>
      <c r="B1023" s="131" t="s">
        <v>680</v>
      </c>
      <c r="C1023" s="135" t="s">
        <v>679</v>
      </c>
      <c r="D1023" s="69">
        <v>183</v>
      </c>
      <c r="E1023" s="69">
        <v>182.5</v>
      </c>
      <c r="F1023" s="170">
        <v>365</v>
      </c>
      <c r="G1023" s="136">
        <v>182</v>
      </c>
    </row>
    <row r="1024" spans="1:7" ht="14.25" customHeight="1" x14ac:dyDescent="0.3">
      <c r="A1024" s="131">
        <v>4166</v>
      </c>
      <c r="B1024" s="131" t="s">
        <v>682</v>
      </c>
      <c r="C1024" s="135" t="s">
        <v>681</v>
      </c>
      <c r="D1024" s="69">
        <v>122</v>
      </c>
      <c r="E1024" s="69">
        <v>136.5</v>
      </c>
      <c r="F1024" s="170">
        <v>273</v>
      </c>
      <c r="G1024" s="136">
        <v>151</v>
      </c>
    </row>
    <row r="1025" spans="1:7" ht="14.25" customHeight="1" x14ac:dyDescent="0.3">
      <c r="A1025" s="131">
        <v>4167</v>
      </c>
      <c r="B1025" s="131" t="s">
        <v>684</v>
      </c>
      <c r="C1025" s="135" t="s">
        <v>45</v>
      </c>
      <c r="D1025" s="69">
        <v>122</v>
      </c>
      <c r="E1025" s="69">
        <v>136.5</v>
      </c>
      <c r="F1025" s="170">
        <v>273</v>
      </c>
      <c r="G1025" s="136">
        <v>151</v>
      </c>
    </row>
    <row r="1026" spans="1:7" ht="14.25" customHeight="1" x14ac:dyDescent="0.3">
      <c r="A1026" s="131">
        <v>4169</v>
      </c>
      <c r="B1026" s="131" t="s">
        <v>686</v>
      </c>
      <c r="C1026" s="135" t="s">
        <v>192</v>
      </c>
      <c r="D1026" s="69">
        <v>122</v>
      </c>
      <c r="E1026" s="69">
        <v>136.5</v>
      </c>
      <c r="F1026" s="170">
        <v>273</v>
      </c>
      <c r="G1026" s="136">
        <v>151</v>
      </c>
    </row>
    <row r="1027" spans="1:7" ht="14.25" customHeight="1" x14ac:dyDescent="0.3">
      <c r="A1027" s="131">
        <v>4170</v>
      </c>
      <c r="B1027" s="131" t="s">
        <v>688</v>
      </c>
      <c r="C1027" s="135" t="s">
        <v>193</v>
      </c>
      <c r="D1027" s="69">
        <v>122</v>
      </c>
      <c r="E1027" s="69">
        <v>136.5</v>
      </c>
      <c r="F1027" s="170">
        <v>273</v>
      </c>
      <c r="G1027" s="136">
        <v>151</v>
      </c>
    </row>
    <row r="1028" spans="1:7" ht="14.25" customHeight="1" x14ac:dyDescent="0.3">
      <c r="A1028" s="131">
        <v>4171</v>
      </c>
      <c r="B1028" s="131" t="s">
        <v>689</v>
      </c>
      <c r="C1028" s="135" t="s">
        <v>237</v>
      </c>
      <c r="D1028" s="69">
        <v>183</v>
      </c>
      <c r="E1028" s="69">
        <v>182.5</v>
      </c>
      <c r="F1028" s="170">
        <v>365</v>
      </c>
      <c r="G1028" s="136">
        <v>182</v>
      </c>
    </row>
    <row r="1029" spans="1:7" ht="14.25" customHeight="1" x14ac:dyDescent="0.3">
      <c r="A1029" s="131">
        <v>4181</v>
      </c>
      <c r="B1029" s="131" t="s">
        <v>700</v>
      </c>
      <c r="C1029" s="135" t="s">
        <v>249</v>
      </c>
      <c r="D1029" s="69">
        <v>122</v>
      </c>
      <c r="E1029" s="69">
        <v>136.5</v>
      </c>
      <c r="F1029" s="170">
        <v>273</v>
      </c>
      <c r="G1029" s="136">
        <v>151</v>
      </c>
    </row>
    <row r="1030" spans="1:7" ht="14.25" customHeight="1" x14ac:dyDescent="0.3">
      <c r="A1030" s="137">
        <v>4185</v>
      </c>
      <c r="B1030" s="131" t="s">
        <v>701</v>
      </c>
      <c r="C1030" s="139" t="s">
        <v>1733</v>
      </c>
      <c r="D1030" s="69">
        <v>183</v>
      </c>
      <c r="E1030" s="69">
        <v>182.5</v>
      </c>
      <c r="F1030" s="170">
        <v>365</v>
      </c>
      <c r="G1030" s="136">
        <v>182</v>
      </c>
    </row>
    <row r="1031" spans="1:7" ht="14.25" customHeight="1" x14ac:dyDescent="0.3">
      <c r="A1031" s="131">
        <v>4186</v>
      </c>
      <c r="B1031" s="131" t="s">
        <v>702</v>
      </c>
      <c r="C1031" s="135" t="s">
        <v>1734</v>
      </c>
      <c r="D1031" s="69">
        <v>84</v>
      </c>
      <c r="E1031" s="69">
        <v>182.5</v>
      </c>
      <c r="F1031" s="170">
        <v>365</v>
      </c>
      <c r="G1031" s="136">
        <v>281</v>
      </c>
    </row>
    <row r="1032" spans="1:7" ht="14.25" customHeight="1" x14ac:dyDescent="0.3">
      <c r="A1032" s="137">
        <v>4187</v>
      </c>
      <c r="B1032" s="138" t="s">
        <v>703</v>
      </c>
      <c r="C1032" s="139" t="s">
        <v>1735</v>
      </c>
      <c r="D1032" s="69">
        <v>122</v>
      </c>
      <c r="E1032" s="69">
        <v>136.5</v>
      </c>
      <c r="F1032" s="170">
        <v>273</v>
      </c>
      <c r="G1032" s="136">
        <v>151</v>
      </c>
    </row>
    <row r="1033" spans="1:7" ht="14.25" customHeight="1" x14ac:dyDescent="0.3">
      <c r="A1033" s="137">
        <v>8556</v>
      </c>
      <c r="B1033" s="138" t="s">
        <v>2210</v>
      </c>
      <c r="C1033" s="139" t="s">
        <v>2211</v>
      </c>
      <c r="D1033" s="69">
        <v>183</v>
      </c>
      <c r="E1033" s="69">
        <v>182.5</v>
      </c>
      <c r="F1033" s="170">
        <v>365</v>
      </c>
      <c r="G1033" s="136">
        <v>182</v>
      </c>
    </row>
    <row r="1034" spans="1:7" ht="14.25" customHeight="1" x14ac:dyDescent="0.3">
      <c r="A1034" s="137">
        <v>8557</v>
      </c>
      <c r="B1034" s="138" t="s">
        <v>2212</v>
      </c>
      <c r="C1034" s="139" t="s">
        <v>2213</v>
      </c>
      <c r="D1034" s="69">
        <v>183</v>
      </c>
      <c r="E1034" s="69">
        <v>182.5</v>
      </c>
      <c r="F1034" s="170">
        <v>365</v>
      </c>
      <c r="G1034" s="136">
        <v>182</v>
      </c>
    </row>
    <row r="1035" spans="1:7" ht="14.25" customHeight="1" x14ac:dyDescent="0.3">
      <c r="A1035" s="137">
        <v>8559</v>
      </c>
      <c r="B1035" s="138" t="s">
        <v>2214</v>
      </c>
      <c r="C1035" s="139" t="s">
        <v>2215</v>
      </c>
      <c r="D1035" s="69">
        <v>183</v>
      </c>
      <c r="E1035" s="69">
        <v>182.5</v>
      </c>
      <c r="F1035" s="170">
        <v>365</v>
      </c>
      <c r="G1035" s="136">
        <v>182</v>
      </c>
    </row>
    <row r="1036" spans="1:7" ht="14.25" customHeight="1" x14ac:dyDescent="0.3">
      <c r="A1036" s="137">
        <v>8560</v>
      </c>
      <c r="B1036" s="138" t="s">
        <v>1852</v>
      </c>
      <c r="C1036" s="139" t="s">
        <v>1853</v>
      </c>
      <c r="D1036" s="69">
        <v>183</v>
      </c>
      <c r="E1036" s="69">
        <v>182.5</v>
      </c>
      <c r="F1036" s="170">
        <v>365</v>
      </c>
      <c r="G1036" s="136">
        <v>182</v>
      </c>
    </row>
    <row r="1037" spans="1:7" ht="14.25" customHeight="1" x14ac:dyDescent="0.3">
      <c r="A1037" s="131">
        <v>8561</v>
      </c>
      <c r="B1037" s="146" t="s">
        <v>1623</v>
      </c>
      <c r="C1037" s="135" t="s">
        <v>2216</v>
      </c>
      <c r="D1037" s="69">
        <v>183</v>
      </c>
      <c r="E1037" s="69">
        <v>182.5</v>
      </c>
      <c r="F1037" s="170">
        <v>365</v>
      </c>
      <c r="G1037" s="136">
        <v>182</v>
      </c>
    </row>
    <row r="1038" spans="1:7" ht="14.25" customHeight="1" x14ac:dyDescent="0.3">
      <c r="A1038" s="131">
        <v>8562</v>
      </c>
      <c r="B1038" s="146" t="s">
        <v>1653</v>
      </c>
      <c r="C1038" s="135" t="s">
        <v>1654</v>
      </c>
      <c r="D1038" s="69">
        <v>183</v>
      </c>
      <c r="E1038" s="69">
        <v>182.5</v>
      </c>
      <c r="F1038" s="170">
        <v>365</v>
      </c>
      <c r="G1038" s="136">
        <v>182</v>
      </c>
    </row>
    <row r="1039" spans="1:7" ht="14.25" customHeight="1" x14ac:dyDescent="0.3">
      <c r="A1039" s="137">
        <v>8563</v>
      </c>
      <c r="B1039" s="138" t="s">
        <v>1655</v>
      </c>
      <c r="C1039" s="139" t="s">
        <v>1656</v>
      </c>
      <c r="D1039" s="69">
        <v>183</v>
      </c>
      <c r="E1039" s="69">
        <v>182.5</v>
      </c>
      <c r="F1039" s="170">
        <v>365</v>
      </c>
      <c r="G1039" s="136">
        <v>182</v>
      </c>
    </row>
    <row r="1040" spans="1:7" ht="14.25" customHeight="1" x14ac:dyDescent="0.3">
      <c r="A1040" s="137">
        <v>8564</v>
      </c>
      <c r="B1040" s="138" t="s">
        <v>2475</v>
      </c>
      <c r="C1040" s="139" t="s">
        <v>1657</v>
      </c>
      <c r="D1040" s="69">
        <v>183</v>
      </c>
      <c r="E1040" s="69">
        <v>182.5</v>
      </c>
      <c r="F1040" s="170">
        <v>365</v>
      </c>
      <c r="G1040" s="136">
        <v>182</v>
      </c>
    </row>
    <row r="1041" spans="1:7" ht="14.25" customHeight="1" x14ac:dyDescent="0.3">
      <c r="A1041" s="137">
        <v>8568</v>
      </c>
      <c r="B1041" s="138" t="s">
        <v>2217</v>
      </c>
      <c r="C1041" s="139" t="s">
        <v>2218</v>
      </c>
      <c r="D1041" s="69">
        <v>183</v>
      </c>
      <c r="E1041" s="69">
        <v>182.5</v>
      </c>
      <c r="F1041" s="170">
        <v>365</v>
      </c>
      <c r="G1041" s="136">
        <v>182</v>
      </c>
    </row>
    <row r="1042" spans="1:7" ht="14.25" customHeight="1" x14ac:dyDescent="0.3">
      <c r="A1042" s="137">
        <v>8569</v>
      </c>
      <c r="B1042" s="138" t="s">
        <v>2219</v>
      </c>
      <c r="C1042" s="139" t="s">
        <v>2220</v>
      </c>
      <c r="D1042" s="69">
        <v>183</v>
      </c>
      <c r="E1042" s="69">
        <v>182.5</v>
      </c>
      <c r="F1042" s="170">
        <v>365</v>
      </c>
      <c r="G1042" s="136">
        <v>182</v>
      </c>
    </row>
    <row r="1043" spans="1:7" ht="14.25" customHeight="1" x14ac:dyDescent="0.3">
      <c r="A1043" s="137">
        <v>8569</v>
      </c>
      <c r="B1043" s="138" t="s">
        <v>2219</v>
      </c>
      <c r="C1043" s="139" t="s">
        <v>2220</v>
      </c>
      <c r="D1043" s="69">
        <v>183</v>
      </c>
      <c r="E1043" s="69">
        <v>182.5</v>
      </c>
      <c r="F1043" s="170">
        <v>365</v>
      </c>
      <c r="G1043" s="136">
        <v>182</v>
      </c>
    </row>
    <row r="1044" spans="1:7" ht="14.25" customHeight="1" x14ac:dyDescent="0.3">
      <c r="A1044" s="137">
        <v>8571</v>
      </c>
      <c r="B1044" s="138" t="s">
        <v>1869</v>
      </c>
      <c r="C1044" s="139" t="s">
        <v>1870</v>
      </c>
      <c r="D1044" s="139">
        <v>183</v>
      </c>
      <c r="E1044" s="139">
        <v>182.5</v>
      </c>
      <c r="F1044" s="173">
        <v>365</v>
      </c>
      <c r="G1044" s="141">
        <v>182</v>
      </c>
    </row>
    <row r="1045" spans="1:7" ht="14.25" customHeight="1" x14ac:dyDescent="0.3">
      <c r="A1045" s="137">
        <v>8575</v>
      </c>
      <c r="B1045" s="138" t="s">
        <v>2221</v>
      </c>
      <c r="C1045" s="139" t="s">
        <v>2222</v>
      </c>
      <c r="D1045" s="139">
        <v>183</v>
      </c>
      <c r="E1045" s="139">
        <v>182.5</v>
      </c>
      <c r="F1045" s="173">
        <v>365</v>
      </c>
      <c r="G1045" s="141">
        <v>182</v>
      </c>
    </row>
    <row r="1046" spans="1:7" ht="14.25" customHeight="1" x14ac:dyDescent="0.3">
      <c r="A1046" s="137">
        <v>8576</v>
      </c>
      <c r="B1046" s="138" t="s">
        <v>2223</v>
      </c>
      <c r="C1046" s="139" t="s">
        <v>2224</v>
      </c>
      <c r="D1046" s="69">
        <v>183</v>
      </c>
      <c r="E1046" s="69">
        <v>182.5</v>
      </c>
      <c r="F1046" s="170">
        <v>365</v>
      </c>
      <c r="G1046" s="136">
        <v>182</v>
      </c>
    </row>
    <row r="1047" spans="1:7" ht="14.25" customHeight="1" x14ac:dyDescent="0.3">
      <c r="A1047" s="137">
        <v>8578</v>
      </c>
      <c r="B1047" s="138" t="s">
        <v>2225</v>
      </c>
      <c r="C1047" s="139" t="s">
        <v>2226</v>
      </c>
      <c r="D1047" s="139">
        <v>183</v>
      </c>
      <c r="E1047" s="139">
        <v>182.5</v>
      </c>
      <c r="F1047" s="173">
        <v>365</v>
      </c>
      <c r="G1047" s="141">
        <v>182</v>
      </c>
    </row>
    <row r="1048" spans="1:7" ht="14.25" customHeight="1" x14ac:dyDescent="0.3">
      <c r="A1048" s="137">
        <v>8581</v>
      </c>
      <c r="B1048" s="138" t="s">
        <v>2227</v>
      </c>
      <c r="C1048" s="139" t="s">
        <v>2228</v>
      </c>
      <c r="D1048" s="69">
        <v>183</v>
      </c>
      <c r="E1048" s="69">
        <v>182.5</v>
      </c>
      <c r="F1048" s="170">
        <v>365</v>
      </c>
      <c r="G1048" s="136">
        <v>182</v>
      </c>
    </row>
    <row r="1049" spans="1:7" ht="14.25" customHeight="1" x14ac:dyDescent="0.3">
      <c r="A1049" s="137">
        <v>8583</v>
      </c>
      <c r="B1049" s="138" t="s">
        <v>2229</v>
      </c>
      <c r="C1049" s="139" t="s">
        <v>2230</v>
      </c>
      <c r="D1049" s="69">
        <v>183</v>
      </c>
      <c r="E1049" s="69">
        <v>182.5</v>
      </c>
      <c r="F1049" s="170">
        <v>365</v>
      </c>
      <c r="G1049" s="136">
        <v>182</v>
      </c>
    </row>
    <row r="1050" spans="1:7" ht="14.25" customHeight="1" x14ac:dyDescent="0.3">
      <c r="A1050" s="137">
        <v>8584</v>
      </c>
      <c r="B1050" s="138" t="s">
        <v>1916</v>
      </c>
      <c r="C1050" s="139" t="s">
        <v>1917</v>
      </c>
      <c r="D1050" s="69">
        <v>183</v>
      </c>
      <c r="E1050" s="69">
        <v>182.5</v>
      </c>
      <c r="F1050" s="170">
        <v>365</v>
      </c>
      <c r="G1050" s="136">
        <v>182</v>
      </c>
    </row>
    <row r="1051" spans="1:7" ht="14.25" customHeight="1" x14ac:dyDescent="0.3">
      <c r="A1051" s="137">
        <v>8588</v>
      </c>
      <c r="B1051" s="138" t="s">
        <v>2374</v>
      </c>
      <c r="C1051" s="139" t="s">
        <v>2375</v>
      </c>
      <c r="D1051" s="69">
        <v>84</v>
      </c>
      <c r="E1051" s="69">
        <v>182.5</v>
      </c>
      <c r="F1051" s="170">
        <v>365</v>
      </c>
      <c r="G1051" s="136">
        <v>281</v>
      </c>
    </row>
    <row r="1052" spans="1:7" ht="14.25" customHeight="1" x14ac:dyDescent="0.3">
      <c r="A1052" s="151" t="s">
        <v>2476</v>
      </c>
      <c r="B1052" s="151" t="s">
        <v>2476</v>
      </c>
      <c r="C1052" s="3" t="s">
        <v>2279</v>
      </c>
      <c r="D1052" s="69">
        <v>183</v>
      </c>
      <c r="E1052" s="69">
        <v>182.5</v>
      </c>
      <c r="F1052" s="170">
        <v>365</v>
      </c>
      <c r="G1052" s="136">
        <v>182</v>
      </c>
    </row>
    <row r="1053" spans="1:7" ht="14.25" customHeight="1" x14ac:dyDescent="0.3">
      <c r="A1053" s="131">
        <v>8186</v>
      </c>
      <c r="B1053" s="131" t="s">
        <v>1471</v>
      </c>
      <c r="C1053" s="135" t="s">
        <v>1470</v>
      </c>
      <c r="D1053" s="69">
        <v>183</v>
      </c>
      <c r="E1053" s="69">
        <v>182.5</v>
      </c>
      <c r="F1053" s="170">
        <v>365</v>
      </c>
      <c r="G1053" s="136">
        <v>182</v>
      </c>
    </row>
    <row r="1054" spans="1:7" ht="14.25" customHeight="1" x14ac:dyDescent="0.3">
      <c r="A1054" s="131">
        <v>8187</v>
      </c>
      <c r="B1054" s="131" t="s">
        <v>1473</v>
      </c>
      <c r="C1054" s="135" t="s">
        <v>1472</v>
      </c>
      <c r="D1054" s="69">
        <v>183</v>
      </c>
      <c r="E1054" s="69">
        <v>182.5</v>
      </c>
      <c r="F1054" s="170">
        <v>365</v>
      </c>
      <c r="G1054" s="136">
        <v>182</v>
      </c>
    </row>
    <row r="1055" spans="1:7" ht="14.25" customHeight="1" x14ac:dyDescent="0.3">
      <c r="A1055" s="131">
        <v>8188</v>
      </c>
      <c r="B1055" s="131" t="s">
        <v>1476</v>
      </c>
      <c r="C1055" s="135" t="s">
        <v>1475</v>
      </c>
      <c r="D1055" s="69">
        <v>183</v>
      </c>
      <c r="E1055" s="69">
        <v>182.5</v>
      </c>
      <c r="F1055" s="170">
        <v>365</v>
      </c>
      <c r="G1055" s="136">
        <v>182</v>
      </c>
    </row>
    <row r="1056" spans="1:7" ht="14.25" customHeight="1" x14ac:dyDescent="0.3">
      <c r="A1056" s="131">
        <v>8189</v>
      </c>
      <c r="B1056" s="131" t="s">
        <v>1479</v>
      </c>
      <c r="C1056" s="135" t="s">
        <v>1478</v>
      </c>
      <c r="D1056" s="69">
        <v>183</v>
      </c>
      <c r="E1056" s="69">
        <v>182.5</v>
      </c>
      <c r="F1056" s="170">
        <v>365</v>
      </c>
      <c r="G1056" s="136">
        <v>182</v>
      </c>
    </row>
    <row r="1057" spans="1:7" ht="14.25" customHeight="1" x14ac:dyDescent="0.3">
      <c r="A1057" s="131">
        <v>8193</v>
      </c>
      <c r="B1057" s="131" t="s">
        <v>1480</v>
      </c>
      <c r="C1057" s="135" t="s">
        <v>238</v>
      </c>
      <c r="D1057" s="69">
        <v>183</v>
      </c>
      <c r="E1057" s="69">
        <v>182.5</v>
      </c>
      <c r="F1057" s="170">
        <v>365</v>
      </c>
      <c r="G1057" s="136">
        <v>182</v>
      </c>
    </row>
    <row r="1058" spans="1:7" ht="14.25" customHeight="1" x14ac:dyDescent="0.3">
      <c r="A1058" s="131">
        <v>8197</v>
      </c>
      <c r="B1058" s="131" t="s">
        <v>1481</v>
      </c>
      <c r="C1058" s="135" t="s">
        <v>264</v>
      </c>
      <c r="D1058" s="69">
        <v>183</v>
      </c>
      <c r="E1058" s="69">
        <v>182.5</v>
      </c>
      <c r="F1058" s="170">
        <v>365</v>
      </c>
      <c r="G1058" s="136">
        <v>182</v>
      </c>
    </row>
    <row r="1059" spans="1:7" ht="14.25" customHeight="1" x14ac:dyDescent="0.3">
      <c r="A1059" s="131">
        <v>8198</v>
      </c>
      <c r="B1059" s="131" t="s">
        <v>1482</v>
      </c>
      <c r="C1059" s="135" t="s">
        <v>273</v>
      </c>
      <c r="D1059" s="69">
        <v>183</v>
      </c>
      <c r="E1059" s="69">
        <v>182.5</v>
      </c>
      <c r="F1059" s="170">
        <v>365</v>
      </c>
      <c r="G1059" s="136">
        <v>182</v>
      </c>
    </row>
    <row r="1060" spans="1:7" ht="14.25" customHeight="1" x14ac:dyDescent="0.3">
      <c r="A1060" s="137">
        <v>8199</v>
      </c>
      <c r="B1060" s="131" t="s">
        <v>1483</v>
      </c>
      <c r="C1060" s="139" t="s">
        <v>412</v>
      </c>
      <c r="D1060" s="69">
        <v>183</v>
      </c>
      <c r="E1060" s="69">
        <v>182.5</v>
      </c>
      <c r="F1060" s="170">
        <v>365</v>
      </c>
      <c r="G1060" s="136">
        <v>182</v>
      </c>
    </row>
    <row r="1061" spans="1:7" ht="14.25" customHeight="1" x14ac:dyDescent="0.3">
      <c r="A1061" s="131">
        <v>8201</v>
      </c>
      <c r="B1061" s="131" t="s">
        <v>1485</v>
      </c>
      <c r="C1061" s="135" t="s">
        <v>1484</v>
      </c>
      <c r="D1061" s="69">
        <v>183</v>
      </c>
      <c r="E1061" s="69">
        <v>182.5</v>
      </c>
      <c r="F1061" s="170">
        <v>365</v>
      </c>
      <c r="G1061" s="136">
        <v>182</v>
      </c>
    </row>
    <row r="1062" spans="1:7" ht="14.25" customHeight="1" x14ac:dyDescent="0.3">
      <c r="A1062" s="137">
        <v>8202</v>
      </c>
      <c r="B1062" s="138" t="s">
        <v>2389</v>
      </c>
      <c r="C1062" s="139" t="s">
        <v>2390</v>
      </c>
      <c r="D1062" s="69">
        <v>183</v>
      </c>
      <c r="E1062" s="69">
        <v>182.5</v>
      </c>
      <c r="F1062" s="170">
        <v>365</v>
      </c>
      <c r="G1062" s="136">
        <v>182</v>
      </c>
    </row>
    <row r="1063" spans="1:7" ht="14.25" customHeight="1" x14ac:dyDescent="0.3">
      <c r="A1063" s="137">
        <v>8204</v>
      </c>
      <c r="B1063" s="138" t="s">
        <v>2391</v>
      </c>
      <c r="C1063" s="139" t="s">
        <v>2392</v>
      </c>
      <c r="D1063" s="69">
        <v>183</v>
      </c>
      <c r="E1063" s="69">
        <v>182.5</v>
      </c>
      <c r="F1063" s="170">
        <v>365</v>
      </c>
      <c r="G1063" s="136">
        <v>182</v>
      </c>
    </row>
    <row r="1064" spans="1:7" ht="14.25" customHeight="1" x14ac:dyDescent="0.3">
      <c r="A1064" s="137">
        <v>1000</v>
      </c>
      <c r="B1064" s="138" t="s">
        <v>2539</v>
      </c>
      <c r="C1064" s="139" t="s">
        <v>2537</v>
      </c>
      <c r="D1064" s="69">
        <v>183</v>
      </c>
      <c r="E1064" s="69">
        <v>182.5</v>
      </c>
      <c r="F1064" s="170">
        <v>365</v>
      </c>
      <c r="G1064" s="136">
        <v>182</v>
      </c>
    </row>
    <row r="1065" spans="1:7" ht="14.25" customHeight="1" x14ac:dyDescent="0.3">
      <c r="A1065" s="137">
        <v>1001</v>
      </c>
      <c r="B1065" s="138" t="s">
        <v>2540</v>
      </c>
      <c r="C1065" s="139" t="s">
        <v>2538</v>
      </c>
      <c r="D1065" s="69">
        <v>229</v>
      </c>
      <c r="E1065" s="69">
        <v>229</v>
      </c>
      <c r="F1065" s="170">
        <v>457</v>
      </c>
      <c r="G1065" s="136">
        <v>228</v>
      </c>
    </row>
    <row r="1066" spans="1:7" ht="14.25" customHeight="1" x14ac:dyDescent="0.3">
      <c r="A1066" s="137">
        <v>1002</v>
      </c>
      <c r="B1066" s="138" t="s">
        <v>2543</v>
      </c>
      <c r="C1066" s="139" t="s">
        <v>2544</v>
      </c>
      <c r="D1066" s="69">
        <v>136</v>
      </c>
      <c r="E1066" s="69">
        <v>136</v>
      </c>
      <c r="F1066" s="170">
        <v>270</v>
      </c>
      <c r="G1066" s="136">
        <v>135</v>
      </c>
    </row>
    <row r="1067" spans="1:7" ht="14.25" customHeight="1" x14ac:dyDescent="0.3">
      <c r="A1067" s="137">
        <v>1003</v>
      </c>
      <c r="B1067" s="138" t="s">
        <v>2550</v>
      </c>
      <c r="C1067" s="139" t="s">
        <v>2551</v>
      </c>
      <c r="D1067" s="69">
        <v>136</v>
      </c>
      <c r="E1067" s="69">
        <v>136</v>
      </c>
      <c r="F1067" s="170">
        <v>270</v>
      </c>
      <c r="G1067" s="136">
        <v>135</v>
      </c>
    </row>
    <row r="1068" spans="1:7" ht="14.25" customHeight="1" x14ac:dyDescent="0.3">
      <c r="A1068" s="137">
        <v>1005</v>
      </c>
      <c r="B1068" s="138" t="s">
        <v>2548</v>
      </c>
      <c r="C1068" s="139" t="s">
        <v>2549</v>
      </c>
      <c r="D1068" s="69">
        <v>183</v>
      </c>
      <c r="E1068" s="69">
        <v>182.5</v>
      </c>
      <c r="F1068" s="170">
        <v>365</v>
      </c>
      <c r="G1068" s="136">
        <v>182</v>
      </c>
    </row>
    <row r="1069" spans="1:7" ht="14.25" customHeight="1" x14ac:dyDescent="0.3">
      <c r="A1069" s="137">
        <v>8701</v>
      </c>
      <c r="B1069" s="138" t="s">
        <v>1562</v>
      </c>
      <c r="C1069" s="139" t="s">
        <v>424</v>
      </c>
      <c r="D1069" s="69">
        <v>183</v>
      </c>
      <c r="E1069" s="69">
        <v>182.5</v>
      </c>
      <c r="F1069" s="170">
        <v>365</v>
      </c>
      <c r="G1069" s="136">
        <v>182</v>
      </c>
    </row>
    <row r="1070" spans="1:7" ht="14.25" customHeight="1" x14ac:dyDescent="0.3">
      <c r="A1070" s="137">
        <v>8702</v>
      </c>
      <c r="B1070" s="138" t="s">
        <v>1563</v>
      </c>
      <c r="C1070" s="139" t="s">
        <v>425</v>
      </c>
      <c r="D1070" s="69">
        <v>183</v>
      </c>
      <c r="E1070" s="69">
        <v>182.5</v>
      </c>
      <c r="F1070" s="170">
        <v>365</v>
      </c>
      <c r="G1070" s="136">
        <v>182</v>
      </c>
    </row>
    <row r="1071" spans="1:7" ht="14.25" customHeight="1" x14ac:dyDescent="0.3">
      <c r="A1071" s="137">
        <v>8778</v>
      </c>
      <c r="B1071" s="138" t="s">
        <v>1567</v>
      </c>
      <c r="C1071" s="139" t="s">
        <v>416</v>
      </c>
      <c r="D1071" s="69">
        <v>183</v>
      </c>
      <c r="E1071" s="69">
        <v>182.5</v>
      </c>
      <c r="F1071" s="170">
        <v>365</v>
      </c>
      <c r="G1071" s="136">
        <v>182</v>
      </c>
    </row>
    <row r="1072" spans="1:7" ht="14.25" customHeight="1" x14ac:dyDescent="0.3">
      <c r="A1072" s="137">
        <v>8779</v>
      </c>
      <c r="B1072" s="138" t="s">
        <v>1568</v>
      </c>
      <c r="C1072" s="139" t="s">
        <v>417</v>
      </c>
      <c r="D1072" s="69">
        <v>183</v>
      </c>
      <c r="E1072" s="69">
        <v>182.5</v>
      </c>
      <c r="F1072" s="170">
        <v>365</v>
      </c>
      <c r="G1072" s="136">
        <v>182</v>
      </c>
    </row>
    <row r="1073" spans="1:11" ht="14.25" customHeight="1" x14ac:dyDescent="0.3">
      <c r="A1073" s="131">
        <v>8791</v>
      </c>
      <c r="B1073" s="131" t="s">
        <v>1569</v>
      </c>
      <c r="C1073" s="135" t="s">
        <v>243</v>
      </c>
      <c r="D1073" s="69">
        <v>183</v>
      </c>
      <c r="E1073" s="69">
        <v>182.5</v>
      </c>
      <c r="F1073" s="170">
        <v>365</v>
      </c>
      <c r="G1073" s="136">
        <v>182</v>
      </c>
    </row>
    <row r="1074" spans="1:11" ht="14.25" customHeight="1" x14ac:dyDescent="0.3">
      <c r="A1074" s="131">
        <v>8792</v>
      </c>
      <c r="B1074" s="131" t="s">
        <v>1570</v>
      </c>
      <c r="C1074" s="135" t="s">
        <v>244</v>
      </c>
      <c r="D1074" s="69">
        <v>183</v>
      </c>
      <c r="E1074" s="69">
        <v>182.5</v>
      </c>
      <c r="F1074" s="170">
        <v>365</v>
      </c>
      <c r="G1074" s="136">
        <v>182</v>
      </c>
    </row>
    <row r="1075" spans="1:11" ht="14.25" customHeight="1" x14ac:dyDescent="0.3">
      <c r="A1075" s="131">
        <v>8793</v>
      </c>
      <c r="B1075" s="131" t="s">
        <v>1571</v>
      </c>
      <c r="C1075" s="135" t="s">
        <v>265</v>
      </c>
      <c r="D1075" s="69">
        <v>183</v>
      </c>
      <c r="E1075" s="69">
        <v>182.5</v>
      </c>
      <c r="F1075" s="170">
        <v>365</v>
      </c>
      <c r="G1075" s="136">
        <v>182</v>
      </c>
    </row>
    <row r="1076" spans="1:11" ht="14.25" customHeight="1" x14ac:dyDescent="0.3">
      <c r="A1076" s="131">
        <v>8794</v>
      </c>
      <c r="B1076" s="131" t="s">
        <v>1572</v>
      </c>
      <c r="C1076" s="135" t="s">
        <v>356</v>
      </c>
      <c r="D1076" s="69">
        <v>183</v>
      </c>
      <c r="E1076" s="69">
        <v>182.5</v>
      </c>
      <c r="F1076" s="170">
        <v>365</v>
      </c>
      <c r="G1076" s="136">
        <v>182</v>
      </c>
    </row>
    <row r="1077" spans="1:11" ht="14.25" customHeight="1" x14ac:dyDescent="0.3">
      <c r="A1077" s="131">
        <v>8796</v>
      </c>
      <c r="B1077" s="131" t="s">
        <v>1574</v>
      </c>
      <c r="C1077" s="135" t="s">
        <v>300</v>
      </c>
      <c r="D1077" s="69">
        <v>183</v>
      </c>
      <c r="E1077" s="69">
        <v>182.5</v>
      </c>
      <c r="F1077" s="170">
        <v>365</v>
      </c>
      <c r="G1077" s="136">
        <v>182</v>
      </c>
    </row>
    <row r="1078" spans="1:11" ht="14.25" customHeight="1" x14ac:dyDescent="0.3">
      <c r="A1078" s="131">
        <v>8797</v>
      </c>
      <c r="B1078" s="131" t="s">
        <v>1575</v>
      </c>
      <c r="C1078" s="135" t="s">
        <v>301</v>
      </c>
      <c r="D1078" s="69">
        <v>183</v>
      </c>
      <c r="E1078" s="69">
        <v>182.5</v>
      </c>
      <c r="F1078" s="170">
        <v>365</v>
      </c>
      <c r="G1078" s="136">
        <v>182</v>
      </c>
    </row>
    <row r="1079" spans="1:11" ht="14.25" customHeight="1" x14ac:dyDescent="0.3">
      <c r="A1079" s="131">
        <v>8798</v>
      </c>
      <c r="B1079" s="131" t="s">
        <v>1576</v>
      </c>
      <c r="C1079" s="135" t="s">
        <v>281</v>
      </c>
      <c r="D1079" s="69">
        <v>183</v>
      </c>
      <c r="E1079" s="69">
        <v>182.5</v>
      </c>
      <c r="F1079" s="170">
        <v>365</v>
      </c>
      <c r="G1079" s="136">
        <v>182</v>
      </c>
    </row>
    <row r="1080" spans="1:11" ht="14.25" customHeight="1" x14ac:dyDescent="0.3">
      <c r="A1080" s="131">
        <v>8802</v>
      </c>
      <c r="B1080" s="131" t="s">
        <v>1577</v>
      </c>
      <c r="C1080" s="135" t="s">
        <v>128</v>
      </c>
      <c r="D1080" s="69">
        <v>183</v>
      </c>
      <c r="E1080" s="69">
        <v>182.5</v>
      </c>
      <c r="F1080" s="170">
        <v>365</v>
      </c>
      <c r="G1080" s="136">
        <v>182</v>
      </c>
      <c r="K1080" s="140"/>
    </row>
    <row r="1081" spans="1:11" ht="14.25" customHeight="1" x14ac:dyDescent="0.3">
      <c r="A1081" s="131">
        <v>8807</v>
      </c>
      <c r="B1081" s="131" t="s">
        <v>1580</v>
      </c>
      <c r="C1081" s="135" t="s">
        <v>233</v>
      </c>
      <c r="D1081" s="69">
        <v>183</v>
      </c>
      <c r="E1081" s="69">
        <v>182.5</v>
      </c>
      <c r="F1081" s="170">
        <v>365</v>
      </c>
      <c r="G1081" s="136">
        <v>182</v>
      </c>
    </row>
    <row r="1082" spans="1:11" ht="14.25" customHeight="1" x14ac:dyDescent="0.3">
      <c r="A1082" s="131">
        <v>8808</v>
      </c>
      <c r="B1082" s="131" t="s">
        <v>1581</v>
      </c>
      <c r="C1082" s="135" t="s">
        <v>245</v>
      </c>
      <c r="D1082" s="69">
        <v>183</v>
      </c>
      <c r="E1082" s="69">
        <v>182.5</v>
      </c>
      <c r="F1082" s="170">
        <v>365</v>
      </c>
      <c r="G1082" s="136">
        <v>182</v>
      </c>
    </row>
    <row r="1083" spans="1:11" ht="14.25" customHeight="1" x14ac:dyDescent="0.3">
      <c r="A1083" s="131">
        <v>8809</v>
      </c>
      <c r="B1083" s="131" t="s">
        <v>1582</v>
      </c>
      <c r="C1083" s="135" t="s">
        <v>180</v>
      </c>
      <c r="D1083" s="69">
        <v>183</v>
      </c>
      <c r="E1083" s="69">
        <v>182.5</v>
      </c>
      <c r="F1083" s="170">
        <v>365</v>
      </c>
      <c r="G1083" s="136">
        <v>182</v>
      </c>
    </row>
    <row r="1084" spans="1:11" ht="14.25" customHeight="1" x14ac:dyDescent="0.3">
      <c r="A1084" s="131">
        <v>8840</v>
      </c>
      <c r="B1084" s="131" t="s">
        <v>1602</v>
      </c>
      <c r="C1084" s="135" t="s">
        <v>129</v>
      </c>
      <c r="D1084" s="69">
        <v>183</v>
      </c>
      <c r="E1084" s="69">
        <v>182.5</v>
      </c>
      <c r="F1084" s="170">
        <v>365</v>
      </c>
      <c r="G1084" s="136">
        <v>182</v>
      </c>
    </row>
    <row r="1085" spans="1:11" ht="14.25" customHeight="1" x14ac:dyDescent="0.3">
      <c r="A1085" s="131">
        <v>8842</v>
      </c>
      <c r="B1085" s="131" t="s">
        <v>1603</v>
      </c>
      <c r="C1085" s="135" t="s">
        <v>130</v>
      </c>
      <c r="D1085" s="69">
        <v>183</v>
      </c>
      <c r="E1085" s="69">
        <v>182.5</v>
      </c>
      <c r="F1085" s="170">
        <v>365</v>
      </c>
      <c r="G1085" s="136">
        <v>182</v>
      </c>
    </row>
    <row r="1086" spans="1:11" ht="14.25" customHeight="1" x14ac:dyDescent="0.3">
      <c r="A1086" s="131">
        <v>8844</v>
      </c>
      <c r="B1086" s="131" t="s">
        <v>1604</v>
      </c>
      <c r="C1086" s="135" t="s">
        <v>131</v>
      </c>
      <c r="D1086" s="69">
        <v>92</v>
      </c>
      <c r="E1086" s="69">
        <v>91.5</v>
      </c>
      <c r="F1086" s="170">
        <v>183</v>
      </c>
      <c r="G1086" s="136">
        <v>91</v>
      </c>
    </row>
    <row r="1087" spans="1:11" ht="14.25" customHeight="1" x14ac:dyDescent="0.3">
      <c r="A1087" s="131">
        <v>8879</v>
      </c>
      <c r="B1087" s="131" t="s">
        <v>1608</v>
      </c>
      <c r="C1087" s="135" t="s">
        <v>132</v>
      </c>
      <c r="D1087" s="69">
        <v>92</v>
      </c>
      <c r="E1087" s="69">
        <v>91.5</v>
      </c>
      <c r="F1087" s="170">
        <v>183</v>
      </c>
      <c r="G1087" s="136">
        <v>91</v>
      </c>
    </row>
    <row r="1088" spans="1:11" ht="14.25" customHeight="1" x14ac:dyDescent="0.3">
      <c r="A1088" s="131">
        <v>8880</v>
      </c>
      <c r="B1088" s="131" t="s">
        <v>1605</v>
      </c>
      <c r="C1088" s="135" t="s">
        <v>133</v>
      </c>
      <c r="D1088" s="69">
        <v>183</v>
      </c>
      <c r="E1088" s="69">
        <v>182.5</v>
      </c>
      <c r="F1088" s="170">
        <v>365</v>
      </c>
      <c r="G1088" s="136">
        <v>182</v>
      </c>
    </row>
    <row r="1089" spans="1:7" ht="14.25" customHeight="1" x14ac:dyDescent="0.3">
      <c r="A1089" s="131">
        <v>8882</v>
      </c>
      <c r="B1089" s="131" t="s">
        <v>1607</v>
      </c>
      <c r="C1089" s="135" t="s">
        <v>134</v>
      </c>
      <c r="D1089" s="69">
        <v>183</v>
      </c>
      <c r="E1089" s="69">
        <v>182.5</v>
      </c>
      <c r="F1089" s="170">
        <v>365</v>
      </c>
      <c r="G1089" s="136">
        <v>182</v>
      </c>
    </row>
    <row r="1090" spans="1:7" ht="14.25" customHeight="1" x14ac:dyDescent="0.3">
      <c r="A1090" s="131">
        <v>8883</v>
      </c>
      <c r="B1090" s="131" t="s">
        <v>1606</v>
      </c>
      <c r="C1090" s="135" t="s">
        <v>135</v>
      </c>
      <c r="D1090" s="69">
        <v>183</v>
      </c>
      <c r="E1090" s="69">
        <v>182.5</v>
      </c>
      <c r="F1090" s="170">
        <v>365</v>
      </c>
      <c r="G1090" s="136">
        <v>182</v>
      </c>
    </row>
    <row r="1091" spans="1:7" ht="14.25" customHeight="1" x14ac:dyDescent="0.3">
      <c r="A1091" s="131">
        <v>8815</v>
      </c>
      <c r="B1091" s="131" t="s">
        <v>1590</v>
      </c>
      <c r="C1091" s="135" t="s">
        <v>1589</v>
      </c>
      <c r="D1091" s="69">
        <v>183</v>
      </c>
      <c r="E1091" s="69">
        <v>182.5</v>
      </c>
      <c r="F1091" s="170">
        <v>365</v>
      </c>
      <c r="G1091" s="136">
        <v>182</v>
      </c>
    </row>
    <row r="1092" spans="1:7" ht="14.25" customHeight="1" x14ac:dyDescent="0.3">
      <c r="A1092" s="131">
        <v>8816</v>
      </c>
      <c r="B1092" s="131" t="s">
        <v>1593</v>
      </c>
      <c r="C1092" s="135" t="s">
        <v>1592</v>
      </c>
      <c r="D1092" s="69">
        <v>183</v>
      </c>
      <c r="E1092" s="69">
        <v>182.5</v>
      </c>
      <c r="F1092" s="170">
        <v>365</v>
      </c>
      <c r="G1092" s="136">
        <v>182</v>
      </c>
    </row>
    <row r="1093" spans="1:7" ht="14.25" customHeight="1" x14ac:dyDescent="0.3">
      <c r="A1093" s="131">
        <v>8819</v>
      </c>
      <c r="B1093" s="131" t="s">
        <v>1596</v>
      </c>
      <c r="C1093" s="135" t="s">
        <v>1595</v>
      </c>
      <c r="D1093" s="69">
        <v>183</v>
      </c>
      <c r="E1093" s="69">
        <v>182.5</v>
      </c>
      <c r="F1093" s="170">
        <v>365</v>
      </c>
      <c r="G1093" s="136">
        <v>182</v>
      </c>
    </row>
    <row r="1094" spans="1:7" ht="14.25" customHeight="1" x14ac:dyDescent="0.3">
      <c r="A1094" s="131">
        <v>8822</v>
      </c>
      <c r="B1094" s="131" t="s">
        <v>1598</v>
      </c>
      <c r="C1094" s="135" t="s">
        <v>1597</v>
      </c>
      <c r="D1094" s="69">
        <v>183</v>
      </c>
      <c r="E1094" s="69">
        <v>182.5</v>
      </c>
      <c r="F1094" s="170">
        <v>365</v>
      </c>
      <c r="G1094" s="136">
        <v>182</v>
      </c>
    </row>
    <row r="1095" spans="1:7" ht="14.25" customHeight="1" x14ac:dyDescent="0.3">
      <c r="A1095" s="131">
        <v>8830</v>
      </c>
      <c r="B1095" s="131" t="s">
        <v>1600</v>
      </c>
      <c r="C1095" s="135" t="s">
        <v>1599</v>
      </c>
      <c r="D1095" s="69">
        <v>183</v>
      </c>
      <c r="E1095" s="69">
        <v>182.5</v>
      </c>
      <c r="F1095" s="170">
        <v>365</v>
      </c>
      <c r="G1095" s="136">
        <v>182</v>
      </c>
    </row>
    <row r="1096" spans="1:7" ht="14.25" customHeight="1" x14ac:dyDescent="0.3">
      <c r="A1096" s="131">
        <v>8886</v>
      </c>
      <c r="B1096" s="131" t="s">
        <v>1610</v>
      </c>
      <c r="C1096" s="135" t="s">
        <v>1609</v>
      </c>
      <c r="D1096" s="69">
        <v>183</v>
      </c>
      <c r="E1096" s="69">
        <v>182.5</v>
      </c>
      <c r="F1096" s="170">
        <v>365</v>
      </c>
      <c r="G1096" s="136">
        <v>182</v>
      </c>
    </row>
    <row r="1097" spans="1:7" ht="14.25" customHeight="1" x14ac:dyDescent="0.3">
      <c r="A1097" s="137">
        <v>8711</v>
      </c>
      <c r="B1097" s="131" t="s">
        <v>1565</v>
      </c>
      <c r="C1097" s="139" t="s">
        <v>414</v>
      </c>
      <c r="D1097" s="69">
        <v>183</v>
      </c>
      <c r="E1097" s="69">
        <v>182.5</v>
      </c>
      <c r="F1097" s="170">
        <v>365</v>
      </c>
      <c r="G1097" s="136">
        <v>182</v>
      </c>
    </row>
    <row r="1098" spans="1:7" ht="14.25" customHeight="1" x14ac:dyDescent="0.3">
      <c r="A1098" s="137">
        <v>8712</v>
      </c>
      <c r="B1098" s="131" t="s">
        <v>1566</v>
      </c>
      <c r="C1098" s="139" t="s">
        <v>415</v>
      </c>
      <c r="D1098" s="69">
        <v>183</v>
      </c>
      <c r="E1098" s="69">
        <v>182.5</v>
      </c>
      <c r="F1098" s="170">
        <v>365</v>
      </c>
      <c r="G1098" s="136">
        <v>182</v>
      </c>
    </row>
    <row r="1099" spans="1:7" ht="14.25" customHeight="1" x14ac:dyDescent="0.3">
      <c r="A1099" s="137">
        <v>8713</v>
      </c>
      <c r="B1099" s="138" t="s">
        <v>2245</v>
      </c>
      <c r="C1099" s="139" t="s">
        <v>2246</v>
      </c>
      <c r="D1099" s="69">
        <v>183</v>
      </c>
      <c r="E1099" s="69">
        <v>182.5</v>
      </c>
      <c r="F1099" s="170">
        <v>365</v>
      </c>
      <c r="G1099" s="136">
        <v>182</v>
      </c>
    </row>
    <row r="1100" spans="1:7" ht="14.25" customHeight="1" x14ac:dyDescent="0.3">
      <c r="A1100" s="137">
        <v>8714</v>
      </c>
      <c r="B1100" s="138" t="s">
        <v>2247</v>
      </c>
      <c r="C1100" s="139" t="s">
        <v>2248</v>
      </c>
      <c r="D1100" s="69">
        <v>183</v>
      </c>
      <c r="E1100" s="69">
        <v>182.5</v>
      </c>
      <c r="F1100" s="170">
        <v>365</v>
      </c>
      <c r="G1100" s="136">
        <v>182</v>
      </c>
    </row>
    <row r="1101" spans="1:7" ht="14.25" customHeight="1" x14ac:dyDescent="0.3">
      <c r="A1101" s="131">
        <v>8803</v>
      </c>
      <c r="B1101" s="131" t="s">
        <v>1578</v>
      </c>
      <c r="C1101" s="135" t="s">
        <v>178</v>
      </c>
      <c r="D1101" s="69">
        <v>183</v>
      </c>
      <c r="E1101" s="69">
        <v>182.5</v>
      </c>
      <c r="F1101" s="170">
        <v>365</v>
      </c>
      <c r="G1101" s="136">
        <v>182</v>
      </c>
    </row>
    <row r="1102" spans="1:7" ht="14.25" customHeight="1" x14ac:dyDescent="0.3">
      <c r="A1102" s="131">
        <v>8804</v>
      </c>
      <c r="B1102" s="131" t="s">
        <v>1579</v>
      </c>
      <c r="C1102" s="135" t="s">
        <v>179</v>
      </c>
      <c r="D1102" s="69">
        <v>183</v>
      </c>
      <c r="E1102" s="69">
        <v>182.5</v>
      </c>
      <c r="F1102" s="170">
        <v>365</v>
      </c>
      <c r="G1102" s="136">
        <v>182</v>
      </c>
    </row>
    <row r="1103" spans="1:7" ht="14.25" customHeight="1" x14ac:dyDescent="0.3">
      <c r="A1103" s="131">
        <v>8811</v>
      </c>
      <c r="B1103" s="131" t="s">
        <v>1583</v>
      </c>
      <c r="C1103" s="135" t="s">
        <v>1736</v>
      </c>
      <c r="D1103" s="69">
        <v>183</v>
      </c>
      <c r="E1103" s="69">
        <v>182.5</v>
      </c>
      <c r="F1103" s="170">
        <v>365</v>
      </c>
      <c r="G1103" s="136">
        <v>182</v>
      </c>
    </row>
    <row r="1104" spans="1:7" ht="14.25" customHeight="1" x14ac:dyDescent="0.3">
      <c r="A1104" s="131">
        <v>8812</v>
      </c>
      <c r="B1104" s="131" t="s">
        <v>1585</v>
      </c>
      <c r="C1104" s="135" t="s">
        <v>1737</v>
      </c>
      <c r="D1104" s="69">
        <v>183</v>
      </c>
      <c r="E1104" s="69">
        <v>182.5</v>
      </c>
      <c r="F1104" s="170">
        <v>365</v>
      </c>
      <c r="G1104" s="136">
        <v>182</v>
      </c>
    </row>
    <row r="1105" spans="1:7" ht="14.25" customHeight="1" x14ac:dyDescent="0.3">
      <c r="A1105" s="131">
        <v>8813</v>
      </c>
      <c r="B1105" s="131" t="s">
        <v>1587</v>
      </c>
      <c r="C1105" s="135" t="s">
        <v>246</v>
      </c>
      <c r="D1105" s="69">
        <v>183</v>
      </c>
      <c r="E1105" s="69">
        <v>182.5</v>
      </c>
      <c r="F1105" s="170">
        <v>365</v>
      </c>
      <c r="G1105" s="136">
        <v>182</v>
      </c>
    </row>
    <row r="1106" spans="1:7" ht="14.25" customHeight="1" x14ac:dyDescent="0.3">
      <c r="A1106" s="131">
        <v>8887</v>
      </c>
      <c r="B1106" s="131" t="s">
        <v>1611</v>
      </c>
      <c r="C1106" s="135" t="s">
        <v>1738</v>
      </c>
      <c r="D1106" s="69">
        <v>183</v>
      </c>
      <c r="E1106" s="69">
        <v>182.5</v>
      </c>
      <c r="F1106" s="170">
        <v>365</v>
      </c>
      <c r="G1106" s="136">
        <v>182</v>
      </c>
    </row>
    <row r="1107" spans="1:7" ht="14.25" customHeight="1" x14ac:dyDescent="0.3">
      <c r="A1107" s="131">
        <v>8888</v>
      </c>
      <c r="B1107" s="131" t="s">
        <v>1612</v>
      </c>
      <c r="C1107" s="135" t="s">
        <v>1739</v>
      </c>
      <c r="D1107" s="69">
        <v>183</v>
      </c>
      <c r="E1107" s="69">
        <v>182.5</v>
      </c>
      <c r="F1107" s="170">
        <v>365</v>
      </c>
      <c r="G1107" s="136">
        <v>182</v>
      </c>
    </row>
    <row r="1108" spans="1:7" ht="14.25" customHeight="1" x14ac:dyDescent="0.3">
      <c r="A1108" s="137">
        <v>3180</v>
      </c>
      <c r="B1108" s="138" t="s">
        <v>1969</v>
      </c>
      <c r="C1108" s="139" t="s">
        <v>1970</v>
      </c>
      <c r="D1108" s="69">
        <v>183</v>
      </c>
      <c r="E1108" s="69">
        <v>182.5</v>
      </c>
      <c r="F1108" s="170">
        <v>365</v>
      </c>
      <c r="G1108" s="136">
        <v>182</v>
      </c>
    </row>
    <row r="1109" spans="1:7" ht="14.25" customHeight="1" x14ac:dyDescent="0.3">
      <c r="A1109" s="137">
        <v>3181</v>
      </c>
      <c r="B1109" s="138" t="s">
        <v>1876</v>
      </c>
      <c r="C1109" s="139" t="s">
        <v>1877</v>
      </c>
      <c r="D1109" s="69">
        <v>183</v>
      </c>
      <c r="E1109" s="69">
        <v>182.5</v>
      </c>
      <c r="F1109" s="170">
        <v>365</v>
      </c>
      <c r="G1109" s="136">
        <v>182</v>
      </c>
    </row>
    <row r="1110" spans="1:7" ht="14.25" customHeight="1" x14ac:dyDescent="0.3">
      <c r="A1110" s="137">
        <v>3182</v>
      </c>
      <c r="B1110" s="138" t="s">
        <v>1919</v>
      </c>
      <c r="C1110" s="139" t="s">
        <v>1920</v>
      </c>
      <c r="D1110" s="69">
        <v>183</v>
      </c>
      <c r="E1110" s="69">
        <v>182.5</v>
      </c>
      <c r="F1110" s="170">
        <v>365</v>
      </c>
      <c r="G1110" s="136">
        <v>182</v>
      </c>
    </row>
    <row r="1111" spans="1:7" ht="14.25" customHeight="1" x14ac:dyDescent="0.3">
      <c r="A1111" s="131">
        <v>5324</v>
      </c>
      <c r="B1111" s="131" t="s">
        <v>492</v>
      </c>
      <c r="C1111" s="135" t="s">
        <v>491</v>
      </c>
      <c r="D1111" s="69">
        <v>183</v>
      </c>
      <c r="E1111" s="69">
        <v>182.5</v>
      </c>
      <c r="F1111" s="170">
        <v>365</v>
      </c>
      <c r="G1111" s="136">
        <v>182</v>
      </c>
    </row>
    <row r="1112" spans="1:7" ht="14.25" customHeight="1" x14ac:dyDescent="0.3">
      <c r="A1112" s="131">
        <v>5360</v>
      </c>
      <c r="B1112" s="131" t="s">
        <v>502</v>
      </c>
      <c r="C1112" s="135" t="s">
        <v>358</v>
      </c>
      <c r="D1112" s="69">
        <v>365</v>
      </c>
      <c r="E1112" s="69">
        <v>365</v>
      </c>
      <c r="F1112" s="170">
        <v>730</v>
      </c>
      <c r="G1112" s="136">
        <v>365</v>
      </c>
    </row>
    <row r="1113" spans="1:7" ht="14.25" customHeight="1" x14ac:dyDescent="0.3">
      <c r="A1113" s="131">
        <v>5361</v>
      </c>
      <c r="B1113" s="131" t="s">
        <v>503</v>
      </c>
      <c r="C1113" s="135" t="s">
        <v>359</v>
      </c>
      <c r="D1113" s="69">
        <v>365</v>
      </c>
      <c r="E1113" s="69">
        <v>365</v>
      </c>
      <c r="F1113" s="170">
        <v>730</v>
      </c>
      <c r="G1113" s="136">
        <v>365</v>
      </c>
    </row>
    <row r="1114" spans="1:7" ht="14.25" customHeight="1" x14ac:dyDescent="0.3">
      <c r="A1114" s="131">
        <v>5362</v>
      </c>
      <c r="B1114" s="131" t="s">
        <v>505</v>
      </c>
      <c r="C1114" s="135" t="s">
        <v>361</v>
      </c>
      <c r="D1114" s="69">
        <v>365</v>
      </c>
      <c r="E1114" s="69">
        <v>365</v>
      </c>
      <c r="F1114" s="170">
        <v>730</v>
      </c>
      <c r="G1114" s="136">
        <v>365</v>
      </c>
    </row>
    <row r="1115" spans="1:7" ht="14.25" customHeight="1" x14ac:dyDescent="0.3">
      <c r="A1115" s="131">
        <v>5363</v>
      </c>
      <c r="B1115" s="131" t="s">
        <v>504</v>
      </c>
      <c r="C1115" s="135" t="s">
        <v>360</v>
      </c>
      <c r="D1115" s="69">
        <v>365</v>
      </c>
      <c r="E1115" s="69">
        <v>365</v>
      </c>
      <c r="F1115" s="170">
        <v>730</v>
      </c>
      <c r="G1115" s="136">
        <v>365</v>
      </c>
    </row>
    <row r="1116" spans="1:7" ht="14.25" customHeight="1" x14ac:dyDescent="0.3">
      <c r="A1116" s="131">
        <v>5377</v>
      </c>
      <c r="B1116" s="131" t="s">
        <v>2477</v>
      </c>
      <c r="C1116" s="135" t="s">
        <v>512</v>
      </c>
      <c r="D1116" s="69">
        <v>183</v>
      </c>
      <c r="E1116" s="69">
        <v>182.5</v>
      </c>
      <c r="F1116" s="170">
        <v>365</v>
      </c>
      <c r="G1116" s="136">
        <v>182</v>
      </c>
    </row>
    <row r="1117" spans="1:7" ht="14.25" customHeight="1" x14ac:dyDescent="0.3">
      <c r="A1117" s="131">
        <v>5630</v>
      </c>
      <c r="B1117" s="131" t="s">
        <v>1054</v>
      </c>
      <c r="C1117" s="135" t="s">
        <v>1053</v>
      </c>
      <c r="D1117" s="69">
        <v>167</v>
      </c>
      <c r="E1117" s="69">
        <v>167</v>
      </c>
      <c r="F1117" s="170">
        <v>334</v>
      </c>
      <c r="G1117" s="136">
        <v>167</v>
      </c>
    </row>
    <row r="1118" spans="1:7" ht="14.25" customHeight="1" x14ac:dyDescent="0.3">
      <c r="A1118" s="137">
        <v>5631</v>
      </c>
      <c r="B1118" s="131" t="s">
        <v>1056</v>
      </c>
      <c r="C1118" s="139" t="s">
        <v>1740</v>
      </c>
      <c r="D1118" s="69">
        <v>167</v>
      </c>
      <c r="E1118" s="69">
        <v>167</v>
      </c>
      <c r="F1118" s="170">
        <v>334</v>
      </c>
      <c r="G1118" s="136">
        <v>167</v>
      </c>
    </row>
    <row r="1119" spans="1:7" ht="14.25" customHeight="1" x14ac:dyDescent="0.3">
      <c r="A1119" s="137">
        <v>5633</v>
      </c>
      <c r="B1119" s="138" t="s">
        <v>1058</v>
      </c>
      <c r="C1119" s="139" t="s">
        <v>1059</v>
      </c>
      <c r="D1119" s="69">
        <v>165</v>
      </c>
      <c r="E1119" s="69">
        <v>167</v>
      </c>
      <c r="F1119" s="170">
        <v>334</v>
      </c>
      <c r="G1119" s="136">
        <v>169</v>
      </c>
    </row>
    <row r="1120" spans="1:7" ht="14.25" customHeight="1" x14ac:dyDescent="0.3">
      <c r="A1120" s="137">
        <v>8452</v>
      </c>
      <c r="B1120" s="138" t="s">
        <v>2395</v>
      </c>
      <c r="C1120" s="139" t="s">
        <v>2396</v>
      </c>
      <c r="D1120" s="69">
        <v>183</v>
      </c>
      <c r="E1120" s="69">
        <v>182.5</v>
      </c>
      <c r="F1120" s="170">
        <v>365</v>
      </c>
      <c r="G1120" s="136">
        <v>182</v>
      </c>
    </row>
    <row r="1121" spans="1:7" ht="14.25" customHeight="1" x14ac:dyDescent="0.3">
      <c r="A1121" s="137">
        <v>6098</v>
      </c>
      <c r="B1121" s="138" t="s">
        <v>2399</v>
      </c>
      <c r="C1121" s="139" t="s">
        <v>2400</v>
      </c>
      <c r="D1121" s="69">
        <v>122</v>
      </c>
      <c r="E1121" s="69">
        <v>136.5</v>
      </c>
      <c r="F1121" s="170">
        <v>273</v>
      </c>
      <c r="G1121" s="136">
        <v>151</v>
      </c>
    </row>
    <row r="1122" spans="1:7" ht="14.25" customHeight="1" x14ac:dyDescent="0.3">
      <c r="A1122" s="137">
        <v>7991</v>
      </c>
      <c r="B1122" s="138" t="s">
        <v>2486</v>
      </c>
      <c r="C1122" s="139" t="s">
        <v>2485</v>
      </c>
      <c r="D1122" s="69">
        <v>84</v>
      </c>
      <c r="E1122" s="69">
        <v>182.5</v>
      </c>
      <c r="F1122" s="170">
        <v>365</v>
      </c>
      <c r="G1122" s="136">
        <v>281</v>
      </c>
    </row>
    <row r="1123" spans="1:7" ht="14.25" customHeight="1" x14ac:dyDescent="0.3">
      <c r="A1123" s="137" t="s">
        <v>2692</v>
      </c>
      <c r="B1123" s="138" t="s">
        <v>2691</v>
      </c>
      <c r="C1123" s="139" t="s">
        <v>2693</v>
      </c>
      <c r="D1123" s="69">
        <v>84</v>
      </c>
      <c r="E1123" s="69">
        <v>182.5</v>
      </c>
      <c r="F1123" s="170">
        <v>365</v>
      </c>
      <c r="G1123" s="136">
        <v>281</v>
      </c>
    </row>
    <row r="1124" spans="1:7" ht="14.25" customHeight="1" x14ac:dyDescent="0.3">
      <c r="A1124" s="137">
        <v>7994</v>
      </c>
      <c r="B1124" s="138" t="s">
        <v>2585</v>
      </c>
      <c r="C1124" s="139" t="s">
        <v>2586</v>
      </c>
      <c r="D1124" s="69">
        <v>84</v>
      </c>
      <c r="E1124" s="69">
        <v>182.5</v>
      </c>
      <c r="F1124" s="170">
        <v>365</v>
      </c>
      <c r="G1124" s="136">
        <v>281</v>
      </c>
    </row>
    <row r="1125" spans="1:7" ht="14.25" customHeight="1" x14ac:dyDescent="0.3">
      <c r="A1125" s="137">
        <v>8590</v>
      </c>
      <c r="B1125" s="138" t="s">
        <v>2552</v>
      </c>
      <c r="C1125" s="139" t="s">
        <v>2555</v>
      </c>
      <c r="D1125" s="69">
        <v>183</v>
      </c>
      <c r="E1125" s="69">
        <v>182.5</v>
      </c>
      <c r="F1125" s="170">
        <v>365</v>
      </c>
      <c r="G1125" s="136">
        <v>182</v>
      </c>
    </row>
    <row r="1126" spans="1:7" ht="14.25" customHeight="1" x14ac:dyDescent="0.3">
      <c r="A1126" s="137">
        <v>1213</v>
      </c>
      <c r="B1126" s="138" t="s">
        <v>2553</v>
      </c>
      <c r="C1126" s="139" t="s">
        <v>2556</v>
      </c>
      <c r="D1126" s="69">
        <v>183</v>
      </c>
      <c r="E1126" s="69">
        <v>182.5</v>
      </c>
      <c r="F1126" s="173">
        <v>365</v>
      </c>
      <c r="G1126" s="136">
        <v>182</v>
      </c>
    </row>
    <row r="1127" spans="1:7" ht="14.25" customHeight="1" x14ac:dyDescent="0.3">
      <c r="A1127" s="137">
        <v>1215</v>
      </c>
      <c r="B1127" s="138" t="s">
        <v>2554</v>
      </c>
      <c r="C1127" s="139" t="s">
        <v>2557</v>
      </c>
      <c r="D1127" s="69">
        <v>183</v>
      </c>
      <c r="E1127" s="69">
        <v>182.5</v>
      </c>
      <c r="F1127" s="173">
        <v>365</v>
      </c>
      <c r="G1127" s="136">
        <v>182</v>
      </c>
    </row>
    <row r="1128" spans="1:7" ht="14.25" customHeight="1" x14ac:dyDescent="0.3">
      <c r="A1128" s="137">
        <v>5778</v>
      </c>
      <c r="B1128" s="138" t="s">
        <v>2559</v>
      </c>
      <c r="C1128" s="139" t="s">
        <v>2558</v>
      </c>
      <c r="D1128" s="69">
        <v>183</v>
      </c>
      <c r="E1128" s="69">
        <v>182.5</v>
      </c>
      <c r="F1128" s="173">
        <v>365</v>
      </c>
      <c r="G1128" s="136">
        <v>182</v>
      </c>
    </row>
    <row r="1129" spans="1:7" ht="14.25" customHeight="1" x14ac:dyDescent="0.3">
      <c r="A1129" s="137">
        <v>5651</v>
      </c>
      <c r="B1129" s="138" t="s">
        <v>2611</v>
      </c>
      <c r="C1129" s="139" t="s">
        <v>2618</v>
      </c>
      <c r="D1129" s="69">
        <v>183</v>
      </c>
      <c r="E1129" s="69">
        <v>182.5</v>
      </c>
      <c r="F1129" s="173">
        <v>365</v>
      </c>
      <c r="G1129" s="136">
        <v>182</v>
      </c>
    </row>
    <row r="1130" spans="1:7" ht="14.25" customHeight="1" x14ac:dyDescent="0.3">
      <c r="A1130" s="137">
        <v>4969</v>
      </c>
      <c r="B1130" s="138" t="s">
        <v>2612</v>
      </c>
      <c r="C1130" s="139" t="s">
        <v>2616</v>
      </c>
      <c r="D1130" s="69">
        <v>183</v>
      </c>
      <c r="E1130" s="69">
        <v>182.5</v>
      </c>
      <c r="F1130" s="173">
        <v>365</v>
      </c>
      <c r="G1130" s="136">
        <v>182</v>
      </c>
    </row>
    <row r="1131" spans="1:7" ht="14.25" customHeight="1" x14ac:dyDescent="0.3">
      <c r="A1131" s="137" t="s">
        <v>2661</v>
      </c>
      <c r="B1131" s="138" t="s">
        <v>2613</v>
      </c>
      <c r="C1131" s="139" t="s">
        <v>2615</v>
      </c>
      <c r="D1131" s="69">
        <v>183</v>
      </c>
      <c r="E1131" s="69">
        <v>182.5</v>
      </c>
      <c r="F1131" s="173">
        <v>365</v>
      </c>
      <c r="G1131" s="136">
        <v>182</v>
      </c>
    </row>
    <row r="1132" spans="1:7" ht="14.25" customHeight="1" x14ac:dyDescent="0.3">
      <c r="A1132" s="137">
        <v>2825</v>
      </c>
      <c r="B1132" s="138" t="s">
        <v>2614</v>
      </c>
      <c r="C1132" s="139" t="s">
        <v>2617</v>
      </c>
      <c r="D1132" s="141">
        <v>152</v>
      </c>
      <c r="E1132" s="141">
        <v>152</v>
      </c>
      <c r="F1132" s="173">
        <v>304</v>
      </c>
      <c r="G1132" s="141">
        <v>152</v>
      </c>
    </row>
    <row r="1133" spans="1:7" ht="14.25" customHeight="1" x14ac:dyDescent="0.3">
      <c r="A1133" s="137">
        <v>2826</v>
      </c>
      <c r="B1133" s="138" t="s">
        <v>2627</v>
      </c>
      <c r="C1133" s="139" t="s">
        <v>2635</v>
      </c>
      <c r="D1133" s="141">
        <v>152</v>
      </c>
      <c r="E1133" s="141">
        <v>152</v>
      </c>
      <c r="F1133" s="173">
        <v>304</v>
      </c>
      <c r="G1133" s="141">
        <v>152</v>
      </c>
    </row>
    <row r="1134" spans="1:7" ht="14.25" customHeight="1" x14ac:dyDescent="0.3">
      <c r="A1134" s="137">
        <v>4929</v>
      </c>
      <c r="B1134" s="138" t="s">
        <v>2629</v>
      </c>
      <c r="C1134" s="139" t="s">
        <v>2638</v>
      </c>
      <c r="D1134" s="69">
        <v>365</v>
      </c>
      <c r="E1134" s="69">
        <v>365</v>
      </c>
      <c r="F1134" s="170">
        <v>730</v>
      </c>
      <c r="G1134" s="136">
        <v>365</v>
      </c>
    </row>
    <row r="1135" spans="1:7" ht="14.25" customHeight="1" x14ac:dyDescent="0.3">
      <c r="A1135" s="137">
        <v>4935</v>
      </c>
      <c r="B1135" s="138" t="s">
        <v>2631</v>
      </c>
      <c r="C1135" s="139" t="s">
        <v>2640</v>
      </c>
      <c r="D1135" s="69">
        <v>183</v>
      </c>
      <c r="E1135" s="69">
        <v>182.5</v>
      </c>
      <c r="F1135" s="173">
        <v>365</v>
      </c>
      <c r="G1135" s="136">
        <v>182</v>
      </c>
    </row>
    <row r="1136" spans="1:7" ht="14.25" customHeight="1" x14ac:dyDescent="0.3">
      <c r="A1136" s="137">
        <v>4290</v>
      </c>
      <c r="B1136" s="138" t="s">
        <v>2633</v>
      </c>
      <c r="C1136" s="139" t="s">
        <v>2636</v>
      </c>
      <c r="D1136" s="69">
        <v>183</v>
      </c>
      <c r="E1136" s="69">
        <v>182.5</v>
      </c>
      <c r="F1136" s="173">
        <v>365</v>
      </c>
      <c r="G1136" s="136">
        <v>182</v>
      </c>
    </row>
    <row r="1137" spans="1:7" ht="14.25" customHeight="1" x14ac:dyDescent="0.3">
      <c r="A1137" s="137">
        <v>4125</v>
      </c>
      <c r="B1137" s="138" t="s">
        <v>2642</v>
      </c>
      <c r="C1137" s="139" t="s">
        <v>2651</v>
      </c>
      <c r="D1137" s="69">
        <v>365</v>
      </c>
      <c r="E1137" s="69">
        <v>365</v>
      </c>
      <c r="F1137" s="170">
        <v>730</v>
      </c>
      <c r="G1137" s="136">
        <v>365</v>
      </c>
    </row>
    <row r="1138" spans="1:7" ht="14.25" customHeight="1" x14ac:dyDescent="0.3">
      <c r="A1138" s="137">
        <v>4112</v>
      </c>
      <c r="B1138" s="138" t="s">
        <v>2643</v>
      </c>
      <c r="C1138" s="139" t="s">
        <v>2653</v>
      </c>
      <c r="D1138" s="69">
        <v>183</v>
      </c>
      <c r="E1138" s="69">
        <v>182.5</v>
      </c>
      <c r="F1138" s="173">
        <v>365</v>
      </c>
      <c r="G1138" s="136">
        <v>182</v>
      </c>
    </row>
    <row r="1139" spans="1:7" ht="14.25" customHeight="1" x14ac:dyDescent="0.3">
      <c r="A1139" s="137">
        <v>4281</v>
      </c>
      <c r="B1139" s="138" t="s">
        <v>2644</v>
      </c>
      <c r="C1139" s="139" t="s">
        <v>2652</v>
      </c>
      <c r="D1139" s="69">
        <v>183</v>
      </c>
      <c r="E1139" s="69">
        <v>182.5</v>
      </c>
      <c r="F1139" s="173">
        <v>365</v>
      </c>
      <c r="G1139" s="136">
        <v>182</v>
      </c>
    </row>
    <row r="1140" spans="1:7" ht="14.25" customHeight="1" x14ac:dyDescent="0.3">
      <c r="A1140" s="137">
        <v>9120</v>
      </c>
      <c r="B1140" s="137" t="s">
        <v>2645</v>
      </c>
      <c r="C1140" s="139" t="s">
        <v>2654</v>
      </c>
      <c r="D1140" s="69">
        <v>183</v>
      </c>
      <c r="E1140" s="69">
        <v>182.5</v>
      </c>
      <c r="F1140" s="173">
        <v>365</v>
      </c>
      <c r="G1140" s="136">
        <v>182</v>
      </c>
    </row>
    <row r="1141" spans="1:7" ht="14.25" customHeight="1" x14ac:dyDescent="0.3">
      <c r="A1141" s="137" t="s">
        <v>2646</v>
      </c>
      <c r="B1141" s="138" t="s">
        <v>2646</v>
      </c>
      <c r="C1141" s="139" t="s">
        <v>2655</v>
      </c>
      <c r="D1141" s="141">
        <v>152</v>
      </c>
      <c r="E1141" s="141">
        <v>152</v>
      </c>
      <c r="F1141" s="173">
        <v>273</v>
      </c>
      <c r="G1141" s="141">
        <v>152</v>
      </c>
    </row>
    <row r="1142" spans="1:7" ht="14.25" customHeight="1" x14ac:dyDescent="0.3">
      <c r="A1142" s="137">
        <v>4259</v>
      </c>
      <c r="B1142" s="138" t="s">
        <v>2647</v>
      </c>
      <c r="C1142" s="139" t="s">
        <v>2650</v>
      </c>
      <c r="D1142" s="69">
        <v>365</v>
      </c>
      <c r="E1142" s="69">
        <v>365</v>
      </c>
      <c r="F1142" s="170">
        <v>730</v>
      </c>
      <c r="G1142" s="136">
        <v>365</v>
      </c>
    </row>
    <row r="1143" spans="1:7" ht="14.25" customHeight="1" x14ac:dyDescent="0.3">
      <c r="A1143" s="137">
        <v>7724</v>
      </c>
      <c r="B1143" s="138" t="s">
        <v>2648</v>
      </c>
      <c r="C1143" s="139" t="s">
        <v>2649</v>
      </c>
      <c r="D1143" s="69">
        <v>183</v>
      </c>
      <c r="E1143" s="69">
        <v>182.5</v>
      </c>
      <c r="F1143" s="173">
        <v>365</v>
      </c>
      <c r="G1143" s="136">
        <v>182</v>
      </c>
    </row>
  </sheetData>
  <autoFilter ref="A1:G1124" xr:uid="{00000000-0009-0000-0000-000001000000}"/>
  <phoneticPr fontId="10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R205"/>
  <sheetViews>
    <sheetView showGridLines="0" showZeros="0" zoomScale="85" zoomScaleNormal="85" workbookViewId="0">
      <pane xSplit="5" ySplit="3" topLeftCell="F4" activePane="bottomRight" state="frozen"/>
      <selection activeCell="E22" sqref="E22"/>
      <selection pane="topRight" activeCell="E22" sqref="E22"/>
      <selection pane="bottomLeft" activeCell="E22" sqref="E22"/>
      <selection pane="bottomRight" activeCell="A3" sqref="A3"/>
    </sheetView>
  </sheetViews>
  <sheetFormatPr defaultRowHeight="16.5" x14ac:dyDescent="0.3"/>
  <cols>
    <col min="1" max="1" width="8.875" customWidth="1"/>
    <col min="2" max="2" width="10.25" customWidth="1"/>
    <col min="3" max="3" width="35.625" customWidth="1"/>
    <col min="4" max="4" width="5.375" customWidth="1"/>
    <col min="5" max="5" width="9.625" customWidth="1"/>
    <col min="6" max="6" width="11.25" style="1" customWidth="1"/>
    <col min="7" max="7" width="11.375" style="1" customWidth="1"/>
    <col min="8" max="8" width="11.625" style="1" customWidth="1"/>
    <col min="9" max="9" width="13.5" style="1" customWidth="1"/>
    <col min="10" max="10" width="12.5" style="1" customWidth="1"/>
    <col min="11" max="11" width="11.75" style="1" customWidth="1"/>
    <col min="12" max="12" width="11.5" style="1" customWidth="1"/>
    <col min="13" max="13" width="11" style="1" customWidth="1"/>
    <col min="14" max="15" width="10.625" style="1" customWidth="1"/>
    <col min="16" max="16" width="61.125" style="1" customWidth="1"/>
    <col min="17" max="17" width="13.5" style="1" customWidth="1"/>
    <col min="18" max="19" width="9" customWidth="1"/>
  </cols>
  <sheetData>
    <row r="1" spans="1:18" s="3" customFormat="1" ht="15" customHeight="1" x14ac:dyDescent="0.3">
      <c r="A1" s="6"/>
      <c r="B1" s="6"/>
      <c r="C1" s="236" t="s">
        <v>2484</v>
      </c>
      <c r="D1" s="6"/>
      <c r="E1" s="6"/>
      <c r="F1" s="4"/>
      <c r="G1" s="4"/>
      <c r="H1" s="4"/>
      <c r="I1" s="4"/>
      <c r="J1" s="4"/>
      <c r="K1" s="4"/>
      <c r="L1" s="4"/>
      <c r="M1" s="25"/>
      <c r="N1" s="4"/>
      <c r="O1" s="4"/>
      <c r="P1" s="4"/>
      <c r="Q1" s="4"/>
    </row>
    <row r="2" spans="1:18" s="3" customFormat="1" ht="13.5" customHeight="1" thickBot="1" x14ac:dyDescent="0.35">
      <c r="A2" s="7"/>
      <c r="B2" s="7"/>
      <c r="C2" s="236"/>
      <c r="D2" s="7"/>
      <c r="E2" s="7"/>
      <c r="F2" s="4"/>
      <c r="G2" s="4"/>
      <c r="H2" s="4"/>
      <c r="I2" s="104"/>
      <c r="J2" s="4"/>
      <c r="K2" s="4"/>
      <c r="L2" s="4"/>
      <c r="M2" s="4"/>
      <c r="N2" s="4"/>
      <c r="O2" s="4"/>
      <c r="P2" s="4"/>
      <c r="Q2" s="4"/>
    </row>
    <row r="3" spans="1:18" ht="24" customHeight="1" x14ac:dyDescent="0.3">
      <c r="A3" s="28" t="s">
        <v>430</v>
      </c>
      <c r="B3" s="28" t="s">
        <v>429</v>
      </c>
      <c r="C3" s="28" t="s">
        <v>0</v>
      </c>
      <c r="D3" s="28" t="s">
        <v>370</v>
      </c>
      <c r="E3" s="28" t="s">
        <v>371</v>
      </c>
      <c r="F3" s="29" t="s">
        <v>369</v>
      </c>
      <c r="G3" s="29" t="s">
        <v>324</v>
      </c>
      <c r="H3" s="29" t="s">
        <v>325</v>
      </c>
      <c r="I3" s="29" t="s">
        <v>336</v>
      </c>
      <c r="J3" s="29" t="s">
        <v>326</v>
      </c>
      <c r="K3" s="30" t="s">
        <v>1616</v>
      </c>
      <c r="L3" s="29" t="s">
        <v>357</v>
      </c>
      <c r="M3" s="36" t="s">
        <v>327</v>
      </c>
      <c r="N3" s="38" t="s">
        <v>1617</v>
      </c>
      <c r="O3" s="39" t="s">
        <v>1618</v>
      </c>
      <c r="P3" s="40" t="s">
        <v>1666</v>
      </c>
      <c r="Q3" s="66" t="s">
        <v>1742</v>
      </c>
    </row>
    <row r="4" spans="1:18" ht="18.75" hidden="1" customHeight="1" x14ac:dyDescent="0.3">
      <c r="A4" s="9">
        <v>4219</v>
      </c>
      <c r="B4" s="9" t="str">
        <f>VLOOKUP(A:A,제품등록!A:B,2,0)</f>
        <v>AB4219</v>
      </c>
      <c r="C4" s="31" t="str">
        <f>VLOOKUP(B4,제품등록!B:C,2,0)</f>
        <v>암바사 345CAN 4X6</v>
      </c>
      <c r="D4" s="9"/>
      <c r="E4" s="9">
        <v>100</v>
      </c>
      <c r="F4" s="2">
        <f>SUMIF('창고1(실사표)'!B:B,재고차이!A:A,'창고1(실사표)'!F:F)*D4+SUMIF('창고2(실사표)'!B:B,재고차이!A:A,'창고2(실사표)'!F:F)*D4+SUMIF('믹스(잔량실사표)'!B:B,재고차이!A:A,'믹스(잔량실사표)'!F:F)*D4</f>
        <v>0</v>
      </c>
      <c r="G4" s="2">
        <f>SUMIF('창고1(실사표)'!B:B,재고차이!A:A,'창고1(실사표)'!E:E)*E4+SUMIF('창고2(실사표)'!B:B,재고차이!A:A,'창고2(실사표)'!E:E)*E4+SUMIF('믹스(잔량실사표)'!B:B,재고차이!A:A,'믹스(잔량실사표)'!E:E)*E4</f>
        <v>0</v>
      </c>
      <c r="H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4" s="2">
        <f t="shared" ref="J4:J8" si="0">SUM(F4:I4)</f>
        <v>0</v>
      </c>
      <c r="K4" s="2" t="e">
        <f>SUMIF(SAP!#REF!,재고차이!B:B,SAP!#REF!)</f>
        <v>#REF!</v>
      </c>
      <c r="L4" s="2">
        <f>SUMIF(주간상차!A:A,재고차이!A:A,주간상차!E:E)</f>
        <v>0</v>
      </c>
      <c r="M4" s="37" t="e">
        <f t="shared" ref="M4:M8" si="1">J4-K4-L4-N4+O4+Q4</f>
        <v>#REF!</v>
      </c>
      <c r="N4" s="41"/>
      <c r="O4" s="42"/>
      <c r="P4" s="125"/>
      <c r="Q4" s="8">
        <f>SUMIF(파손품!D:D,재고차이!B:B,파손품!I:I)+SUMIF(동파파손!D:D,재고차이!B:B,동파파손!I:I)</f>
        <v>0</v>
      </c>
      <c r="R4" t="e">
        <f>M4/E4</f>
        <v>#REF!</v>
      </c>
    </row>
    <row r="5" spans="1:18" ht="18.75" hidden="1" customHeight="1" x14ac:dyDescent="0.3">
      <c r="A5" s="9">
        <v>3214</v>
      </c>
      <c r="B5" s="9" t="str">
        <f>VLOOKUP(A:A,제품등록!A:B,2,0)</f>
        <v>FT3214</v>
      </c>
      <c r="C5" s="31" t="str">
        <f>VLOOKUP(B5,제품등록!B:C,2,0)</f>
        <v>암바사 by 환타 345CAN 4X6</v>
      </c>
      <c r="D5" s="9"/>
      <c r="E5" s="9">
        <v>100</v>
      </c>
      <c r="F5" s="2">
        <f>SUMIF('창고1(실사표)'!B:B,재고차이!A:A,'창고1(실사표)'!F:F)*D5+SUMIF('창고2(실사표)'!B:B,재고차이!A:A,'창고2(실사표)'!F:F)*D5+SUMIF('믹스(잔량실사표)'!B:B,재고차이!A:A,'믹스(잔량실사표)'!F:F)*D5</f>
        <v>0</v>
      </c>
      <c r="G5" s="2">
        <f>SUMIF('창고1(실사표)'!B:B,재고차이!A:A,'창고1(실사표)'!E:E)*E5+SUMIF('창고2(실사표)'!B:B,재고차이!A:A,'창고2(실사표)'!E:E)*E5+SUMIF('믹스(잔량실사표)'!B:B,재고차이!A:A,'믹스(잔량실사표)'!E:E)*E5</f>
        <v>0</v>
      </c>
      <c r="H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5" s="2">
        <f>SUM(F5:I5)</f>
        <v>0</v>
      </c>
      <c r="K5" s="2" t="e">
        <f>SUMIF(SAP!#REF!,재고차이!B:B,SAP!#REF!)</f>
        <v>#REF!</v>
      </c>
      <c r="L5" s="2">
        <f>SUMIF(주간상차!A:A,재고차이!A:A,주간상차!E:E)</f>
        <v>0</v>
      </c>
      <c r="M5" s="37" t="e">
        <f>J5-K5-L5-N5+O5+Q5</f>
        <v>#REF!</v>
      </c>
      <c r="N5" s="41"/>
      <c r="O5" s="42"/>
      <c r="P5" s="125"/>
      <c r="Q5" s="8">
        <f>SUMIF(파손품!D:D,재고차이!B:B,파손품!I:I)+SUMIF(동파파손!D:D,재고차이!B:B,동파파손!I:I)</f>
        <v>0</v>
      </c>
      <c r="R5" t="e">
        <f t="shared" ref="R5:R86" si="2">M5/E5</f>
        <v>#REF!</v>
      </c>
    </row>
    <row r="6" spans="1:18" ht="18.75" hidden="1" customHeight="1" x14ac:dyDescent="0.3">
      <c r="A6" s="9">
        <v>4833</v>
      </c>
      <c r="B6" s="9" t="str">
        <f>VLOOKUP(A:A,제품등록!A:B,2,0)</f>
        <v>AB4833</v>
      </c>
      <c r="C6" s="31" t="str">
        <f>VLOOKUP(B6,제품등록!B:C,2,0)</f>
        <v>암바사화이트250CAN 5X6</v>
      </c>
      <c r="D6" s="9">
        <v>99</v>
      </c>
      <c r="E6" s="9">
        <v>132</v>
      </c>
      <c r="F6" s="2">
        <f>SUMIF('창고1(실사표)'!B:B,재고차이!A:A,'창고1(실사표)'!F:F)*D6+SUMIF('창고2(실사표)'!B:B,재고차이!A:A,'창고2(실사표)'!F:F)*D6+SUMIF('믹스(잔량실사표)'!B:B,재고차이!A:A,'믹스(잔량실사표)'!F:F)*D6</f>
        <v>0</v>
      </c>
      <c r="G6" s="2">
        <f>SUMIF('창고1(실사표)'!B:B,재고차이!A:A,'창고1(실사표)'!E:E)*E6+SUMIF('창고2(실사표)'!B:B,재고차이!A:A,'창고2(실사표)'!E:E)*E6+SUMIF('믹스(잔량실사표)'!B:B,재고차이!A:A,'믹스(잔량실사표)'!E:E)*E6</f>
        <v>0</v>
      </c>
      <c r="H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6" s="2">
        <f t="shared" si="0"/>
        <v>0</v>
      </c>
      <c r="K6" s="2" t="e">
        <f>SUMIF(SAP!#REF!,재고차이!B:B,SAP!#REF!)</f>
        <v>#REF!</v>
      </c>
      <c r="L6" s="2">
        <f>SUMIF(주간상차!A:A,재고차이!A:A,주간상차!E:E)</f>
        <v>0</v>
      </c>
      <c r="M6" s="37" t="e">
        <f t="shared" si="1"/>
        <v>#REF!</v>
      </c>
      <c r="N6" s="41"/>
      <c r="O6" s="42"/>
      <c r="P6" s="125"/>
      <c r="Q6" s="8">
        <f>SUMIF(파손품!D:D,재고차이!B:B,파손품!I:I)+SUMIF(동파파손!D:D,재고차이!B:B,동파파손!I:I)</f>
        <v>0</v>
      </c>
      <c r="R6" t="e">
        <f t="shared" si="2"/>
        <v>#REF!</v>
      </c>
    </row>
    <row r="7" spans="1:18" ht="18.75" hidden="1" customHeight="1" x14ac:dyDescent="0.3">
      <c r="A7" s="9">
        <v>1193</v>
      </c>
      <c r="B7" s="9" t="str">
        <f>VLOOKUP(A:A,제품등록!A:B,2,0)</f>
        <v>CA1193</v>
      </c>
      <c r="C7" s="31" t="str">
        <f>VLOOKUP(B7,제품등록!B:C,2,0)</f>
        <v>캐 진저엘 250CAN 5X6</v>
      </c>
      <c r="D7" s="9"/>
      <c r="E7" s="9">
        <v>132</v>
      </c>
      <c r="F7" s="2">
        <f>SUMIF('창고1(실사표)'!B:B,재고차이!A:A,'창고1(실사표)'!F:F)*D7+SUMIF('창고2(실사표)'!B:B,재고차이!A:A,'창고2(실사표)'!F:F)*D7+SUMIF('믹스(잔량실사표)'!B:B,재고차이!A:A,'믹스(잔량실사표)'!F:F)*D7</f>
        <v>0</v>
      </c>
      <c r="G7" s="2">
        <f>SUMIF('창고1(실사표)'!B:B,재고차이!A:A,'창고1(실사표)'!E:E)*E7+SUMIF('창고2(실사표)'!B:B,재고차이!A:A,'창고2(실사표)'!E:E)*E7+SUMIF('믹스(잔량실사표)'!B:B,재고차이!A:A,'믹스(잔량실사표)'!E:E)*E7</f>
        <v>0</v>
      </c>
      <c r="H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7" s="2">
        <f t="shared" si="0"/>
        <v>0</v>
      </c>
      <c r="K7" s="2" t="e">
        <f>SUMIF(SAP!#REF!,재고차이!B:B,SAP!#REF!)</f>
        <v>#REF!</v>
      </c>
      <c r="L7" s="2">
        <f>SUMIF(주간상차!A:A,재고차이!A:A,주간상차!E:E)</f>
        <v>0</v>
      </c>
      <c r="M7" s="37" t="e">
        <f t="shared" si="1"/>
        <v>#REF!</v>
      </c>
      <c r="N7" s="41"/>
      <c r="O7" s="42"/>
      <c r="P7" s="125"/>
      <c r="Q7" s="8">
        <f>SUMIF(파손품!D:D,재고차이!B:B,파손품!I:I)+SUMIF(동파파손!D:D,재고차이!B:B,동파파손!I:I)</f>
        <v>0</v>
      </c>
      <c r="R7" t="e">
        <f t="shared" si="2"/>
        <v>#REF!</v>
      </c>
    </row>
    <row r="8" spans="1:18" ht="18.75" hidden="1" customHeight="1" x14ac:dyDescent="0.3">
      <c r="A8" s="9">
        <v>1201</v>
      </c>
      <c r="B8" s="9" t="str">
        <f>VLOOKUP(A:A,제품등록!A:B,2,0)</f>
        <v>CA1201</v>
      </c>
      <c r="C8" s="31" t="str">
        <f>VLOOKUP(B8,제품등록!B:C,2,0)</f>
        <v>캐 토닉워터250CAN 5X6</v>
      </c>
      <c r="D8" s="9">
        <v>99</v>
      </c>
      <c r="E8" s="9">
        <v>132</v>
      </c>
      <c r="F8" s="2">
        <f>SUMIF('창고1(실사표)'!B:B,재고차이!A:A,'창고1(실사표)'!F:F)*D8+SUMIF('창고2(실사표)'!B:B,재고차이!A:A,'창고2(실사표)'!F:F)*D8+SUMIF('믹스(잔량실사표)'!B:B,재고차이!A:A,'믹스(잔량실사표)'!F:F)*D8</f>
        <v>0</v>
      </c>
      <c r="G8" s="2">
        <f>SUMIF('창고1(실사표)'!B:B,재고차이!A:A,'창고1(실사표)'!E:E)*E8+SUMIF('창고2(실사표)'!B:B,재고차이!A:A,'창고2(실사표)'!E:E)*E8+SUMIF('믹스(잔량실사표)'!B:B,재고차이!A:A,'믹스(잔량실사표)'!E:E)*E8</f>
        <v>0</v>
      </c>
      <c r="H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8" s="2">
        <f t="shared" si="0"/>
        <v>0</v>
      </c>
      <c r="K8" s="2" t="e">
        <f>SUMIF(SAP!#REF!,재고차이!B:B,SAP!#REF!)</f>
        <v>#REF!</v>
      </c>
      <c r="L8" s="2">
        <f>SUMIF(주간상차!A:A,재고차이!A:A,주간상차!E:E)</f>
        <v>0</v>
      </c>
      <c r="M8" s="37" t="e">
        <f t="shared" si="1"/>
        <v>#REF!</v>
      </c>
      <c r="N8" s="41"/>
      <c r="O8" s="42"/>
      <c r="P8" s="125"/>
      <c r="Q8" s="8">
        <f>SUMIF(파손품!D:D,재고차이!B:B,파손품!I:I)+SUMIF(동파파손!D:D,재고차이!B:B,동파파손!I:I)</f>
        <v>0</v>
      </c>
      <c r="R8" t="e">
        <f t="shared" si="2"/>
        <v>#REF!</v>
      </c>
    </row>
    <row r="9" spans="1:18" ht="18.75" customHeight="1" x14ac:dyDescent="0.3">
      <c r="A9" s="9">
        <v>4259</v>
      </c>
      <c r="B9" s="9" t="str">
        <f>VLOOKUP(A:A,제품등록!A:B,2,0)</f>
        <v>BB4259</v>
      </c>
      <c r="C9" s="31" t="str">
        <f>VLOOKUP(B9,제품등록!B:C,2,0)</f>
        <v>S)봉봉 포도 340CAN 4X6</v>
      </c>
      <c r="D9" s="9"/>
      <c r="E9" s="9">
        <v>100</v>
      </c>
      <c r="F9" s="2">
        <f>SUMIF('창고1(실사표)'!B:B,재고차이!A:A,'창고1(실사표)'!F:F)*D9+SUMIF('창고2(실사표)'!B:B,재고차이!A:A,'창고2(실사표)'!F:F)*D9+SUMIF('믹스(잔량실사표)'!B:B,재고차이!A:A,'믹스(잔량실사표)'!F:F)*D9</f>
        <v>0</v>
      </c>
      <c r="G9" s="2">
        <f>SUMIF('창고1(실사표)'!B:B,재고차이!A:A,'창고1(실사표)'!E:E)*E9+SUMIF('창고2(실사표)'!B:B,재고차이!A:A,'창고2(실사표)'!E:E)*E9+SUMIF('믹스(잔량실사표)'!B:B,재고차이!A:A,'믹스(잔량실사표)'!E:E)*E9</f>
        <v>1500</v>
      </c>
      <c r="H9" s="2">
        <f>SUMIF('창고1(실사표)'!B:B,재고차이!A:A,'창고1(실사표)'!G:G)+SUMIF('창고2(실사표)'!B:B,재고차이!A:A,'창고2(실사표)'!G:G)++SUMIF('믹스(잔량실사표)'!B:B,재고차이!A:A,'믹스(잔량실사표)'!G:G)</f>
        <v>67</v>
      </c>
      <c r="I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9" s="2">
        <f t="shared" ref="J9:J41" si="3">SUM(F9:I9)</f>
        <v>1567</v>
      </c>
      <c r="K9" s="2">
        <f>SUMIF(SAP!B:B,재고차이!B:B,SAP!Q:Q)</f>
        <v>1568</v>
      </c>
      <c r="L9" s="2">
        <f>SUMIF(주간상차!A:A,재고차이!A:A,주간상차!E:E)</f>
        <v>0</v>
      </c>
      <c r="M9" s="37">
        <f t="shared" ref="M9:M41" si="4">J9-K9-L9-N9+O9+Q9</f>
        <v>0</v>
      </c>
      <c r="N9" s="41"/>
      <c r="O9" s="42"/>
      <c r="P9" s="125"/>
      <c r="Q9" s="8">
        <f>SUMIF(파손품!D:D,재고차이!B:B,파손품!I:I)+SUMIF(동파파손!D:D,재고차이!B:B,동파파손!I:I)</f>
        <v>1</v>
      </c>
      <c r="R9">
        <f t="shared" si="2"/>
        <v>0</v>
      </c>
    </row>
    <row r="10" spans="1:18" ht="18.75" hidden="1" customHeight="1" x14ac:dyDescent="0.3">
      <c r="A10" s="9">
        <v>1301</v>
      </c>
      <c r="B10" s="9" t="str">
        <f>VLOOKUP(A:A,제품등록!A:B,2,0)</f>
        <v>CC1301</v>
      </c>
      <c r="C10" s="31" t="str">
        <f>VLOOKUP(B10,제품등록!B:C,2,0)</f>
        <v>코크레드 250CAN 4X6 + 뉴진스 포토엽서</v>
      </c>
      <c r="D10" s="9"/>
      <c r="E10" s="9">
        <v>108</v>
      </c>
      <c r="F10" s="2">
        <f>SUMIF('창고1(실사표)'!B:B,재고차이!A:A,'창고1(실사표)'!F:F)*D10+SUMIF('창고2(실사표)'!B:B,재고차이!A:A,'창고2(실사표)'!F:F)*D10+SUMIF('믹스(잔량실사표)'!B:B,재고차이!A:A,'믹스(잔량실사표)'!F:F)*D10</f>
        <v>0</v>
      </c>
      <c r="G10" s="2">
        <f>SUMIF('창고1(실사표)'!B:B,재고차이!A:A,'창고1(실사표)'!E:E)*E10+SUMIF('창고2(실사표)'!B:B,재고차이!A:A,'창고2(실사표)'!E:E)*E10+SUMIF('믹스(잔량실사표)'!B:B,재고차이!A:A,'믹스(잔량실사표)'!E:E)*E10</f>
        <v>0</v>
      </c>
      <c r="H1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0" s="2">
        <f t="shared" si="3"/>
        <v>0</v>
      </c>
      <c r="K10" s="2">
        <f>SUMIF(SAP!B:B,재고차이!B:B,SAP!Q:Q)</f>
        <v>0</v>
      </c>
      <c r="L10" s="2">
        <f>SUMIF(주간상차!A:A,재고차이!A:A,주간상차!E:E)</f>
        <v>0</v>
      </c>
      <c r="M10" s="37">
        <f t="shared" si="4"/>
        <v>0</v>
      </c>
      <c r="N10" s="41"/>
      <c r="O10" s="42"/>
      <c r="P10" s="125"/>
      <c r="Q10" s="8">
        <f>SUMIF(파손품!D:D,재고차이!B:B,파손품!I:I)+SUMIF(동파파손!D:D,재고차이!B:B,동파파손!I:I)</f>
        <v>0</v>
      </c>
      <c r="R10">
        <f t="shared" si="2"/>
        <v>0</v>
      </c>
    </row>
    <row r="11" spans="1:18" hidden="1" x14ac:dyDescent="0.3">
      <c r="A11" s="9">
        <v>5700</v>
      </c>
      <c r="B11" s="9" t="str">
        <f>VLOOKUP(A:A,제품등록!A:B,2,0)</f>
        <v>CC5700</v>
      </c>
      <c r="C11" s="31" t="str">
        <f>VLOOKUP(B11,제품등록!B:C,2,0)</f>
        <v>코카-콜라 250BTC X24</v>
      </c>
      <c r="D11" s="9">
        <v>72</v>
      </c>
      <c r="E11" s="9">
        <v>108</v>
      </c>
      <c r="F11" s="2">
        <f>SUMIF('창고1(실사표)'!B:B,재고차이!A:A,'창고1(실사표)'!F:F)*D11+SUMIF('창고2(실사표)'!B:B,재고차이!A:A,'창고2(실사표)'!F:F)*D11+SUMIF('믹스(잔량실사표)'!B:B,재고차이!A:A,'믹스(잔량실사표)'!F:F)*D11</f>
        <v>0</v>
      </c>
      <c r="G11" s="2">
        <f>SUMIF('창고1(실사표)'!B:B,재고차이!A:A,'창고1(실사표)'!E:E)*E11+SUMIF('창고2(실사표)'!B:B,재고차이!A:A,'창고2(실사표)'!E:E)*E11+SUMIF('믹스(잔량실사표)'!B:B,재고차이!A:A,'믹스(잔량실사표)'!E:E)*E11</f>
        <v>0</v>
      </c>
      <c r="H11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1" s="2">
        <f t="shared" si="3"/>
        <v>0</v>
      </c>
      <c r="K11" s="2">
        <f>SUMIF(SAP!B:B,재고차이!B:B,SAP!Q:Q)</f>
        <v>0</v>
      </c>
      <c r="L11" s="2">
        <f>SUMIF(주간상차!A:A,재고차이!A:A,주간상차!E:E)</f>
        <v>0</v>
      </c>
      <c r="M11" s="37">
        <f t="shared" si="4"/>
        <v>0</v>
      </c>
      <c r="N11" s="41"/>
      <c r="O11" s="42"/>
      <c r="P11" s="125"/>
      <c r="Q11" s="8">
        <f>SUMIF(파손품!D:D,재고차이!B:B,파손품!I:I)+SUMIF(동파파손!D:D,재고차이!B:B,동파파손!I:I)</f>
        <v>0</v>
      </c>
      <c r="R11">
        <f t="shared" si="2"/>
        <v>0</v>
      </c>
    </row>
    <row r="12" spans="1:18" ht="18.75" hidden="1" customHeight="1" x14ac:dyDescent="0.3">
      <c r="A12" s="9">
        <v>1205</v>
      </c>
      <c r="B12" s="9" t="str">
        <f>VLOOKUP(A:A,제품등록!A:B,2,0)</f>
        <v>CA1205</v>
      </c>
      <c r="C12" s="31" t="str">
        <f>VLOOKUP(B12,제품등록!B:C,2,0)</f>
        <v>캐나다 토닉워터 350PET 4X6</v>
      </c>
      <c r="D12" s="9"/>
      <c r="E12" s="9">
        <v>80</v>
      </c>
      <c r="F12" s="2">
        <f>SUMIF('창고1(실사표)'!B:B,재고차이!A:A,'창고1(실사표)'!F:F)*D12+SUMIF('창고2(실사표)'!B:B,재고차이!A:A,'창고2(실사표)'!F:F)*D12+SUMIF('믹스(잔량실사표)'!B:B,재고차이!A:A,'믹스(잔량실사표)'!F:F)*D12</f>
        <v>0</v>
      </c>
      <c r="G12" s="2">
        <f>SUMIF('창고1(실사표)'!B:B,재고차이!A:A,'창고1(실사표)'!E:E)*E12+SUMIF('창고2(실사표)'!B:B,재고차이!A:A,'창고2(실사표)'!E:E)*E12+SUMIF('믹스(잔량실사표)'!B:B,재고차이!A:A,'믹스(잔량실사표)'!E:E)*E12</f>
        <v>0</v>
      </c>
      <c r="H12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2" s="2">
        <f t="shared" si="3"/>
        <v>0</v>
      </c>
      <c r="K12" s="2">
        <f>SUMIF(SAP!B:B,재고차이!B:B,SAP!Q:Q)</f>
        <v>0</v>
      </c>
      <c r="L12" s="2">
        <f>SUMIF(주간상차!A:A,재고차이!A:A,주간상차!E:E)</f>
        <v>0</v>
      </c>
      <c r="M12" s="37">
        <f t="shared" si="4"/>
        <v>0</v>
      </c>
      <c r="N12" s="41"/>
      <c r="O12" s="42"/>
      <c r="P12" s="125"/>
      <c r="Q12" s="8">
        <f>SUMIF(파손품!D:D,재고차이!B:B,파손품!I:I)+SUMIF(동파파손!D:D,재고차이!B:B,동파파손!I:I)</f>
        <v>0</v>
      </c>
      <c r="R12">
        <f t="shared" si="2"/>
        <v>0</v>
      </c>
    </row>
    <row r="13" spans="1:18" ht="18.75" hidden="1" customHeight="1" x14ac:dyDescent="0.3">
      <c r="A13" s="9">
        <v>1206</v>
      </c>
      <c r="B13" s="9" t="str">
        <f>VLOOKUP(A:A,제품등록!A:B,2,0)</f>
        <v>CA1206</v>
      </c>
      <c r="C13" s="31" t="str">
        <f>VLOOKUP(B13,제품등록!B:C,2,0)</f>
        <v>캐나다 진저에일 250CAN X12</v>
      </c>
      <c r="D13" s="9"/>
      <c r="E13" s="9">
        <v>288</v>
      </c>
      <c r="F13" s="2">
        <f>SUMIF('창고1(실사표)'!B:B,재고차이!A:A,'창고1(실사표)'!F:F)*D13+SUMIF('창고2(실사표)'!B:B,재고차이!A:A,'창고2(실사표)'!F:F)*D13+SUMIF('믹스(잔량실사표)'!B:B,재고차이!A:A,'믹스(잔량실사표)'!F:F)*D13</f>
        <v>0</v>
      </c>
      <c r="G13" s="2">
        <f>SUMIF('창고1(실사표)'!B:B,재고차이!A:A,'창고1(실사표)'!E:E)*E13+SUMIF('창고2(실사표)'!B:B,재고차이!A:A,'창고2(실사표)'!E:E)*E13+SUMIF('믹스(잔량실사표)'!B:B,재고차이!A:A,'믹스(잔량실사표)'!E:E)*E13</f>
        <v>0</v>
      </c>
      <c r="H13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3" s="2">
        <f t="shared" si="3"/>
        <v>0</v>
      </c>
      <c r="K13" s="2">
        <f>SUMIF(SAP!B:B,재고차이!B:B,SAP!Q:Q)</f>
        <v>0</v>
      </c>
      <c r="L13" s="2">
        <f>SUMIF(주간상차!A:A,재고차이!A:A,주간상차!E:E)</f>
        <v>0</v>
      </c>
      <c r="M13" s="37">
        <f t="shared" si="4"/>
        <v>0</v>
      </c>
      <c r="N13" s="41"/>
      <c r="O13" s="42"/>
      <c r="P13" s="125"/>
      <c r="Q13" s="8">
        <f>SUMIF(파손품!D:D,재고차이!B:B,파손품!I:I)+SUMIF(동파파손!D:D,재고차이!B:B,동파파손!I:I)</f>
        <v>0</v>
      </c>
      <c r="R13">
        <f t="shared" si="2"/>
        <v>0</v>
      </c>
    </row>
    <row r="14" spans="1:18" ht="18.75" customHeight="1" x14ac:dyDescent="0.3">
      <c r="A14" s="9">
        <v>455</v>
      </c>
      <c r="B14" s="9" t="str">
        <f>VLOOKUP(A:A,제품등록!A:B,2,0)</f>
        <v>CC0455</v>
      </c>
      <c r="C14" s="31" t="str">
        <f>VLOOKUP(B14,제품등록!B:C,2,0)</f>
        <v>코크제로 레몬 500PET 4X6</v>
      </c>
      <c r="D14" s="9">
        <v>40</v>
      </c>
      <c r="E14" s="9">
        <v>60</v>
      </c>
      <c r="F14" s="2">
        <f>SUMIF('창고1(실사표)'!B:B,재고차이!A:A,'창고1(실사표)'!F:F)*D14+SUMIF('창고2(실사표)'!B:B,재고차이!A:A,'창고2(실사표)'!F:F)*D14+SUMIF('믹스(잔량실사표)'!B:B,재고차이!A:A,'믹스(잔량실사표)'!F:F)*D14</f>
        <v>0</v>
      </c>
      <c r="G14" s="2">
        <f>SUMIF('창고1(실사표)'!B:B,재고차이!A:A,'창고1(실사표)'!E:E)*E14+SUMIF('창고2(실사표)'!B:B,재고차이!A:A,'창고2(실사표)'!E:E)*E14+SUMIF('믹스(잔량실사표)'!B:B,재고차이!A:A,'믹스(잔량실사표)'!E:E)*E14</f>
        <v>1380</v>
      </c>
      <c r="H14" s="2">
        <f>SUMIF('창고1(실사표)'!B:B,재고차이!A:A,'창고1(실사표)'!G:G)+SUMIF('창고2(실사표)'!B:B,재고차이!A:A,'창고2(실사표)'!G:G)++SUMIF('믹스(잔량실사표)'!B:B,재고차이!A:A,'믹스(잔량실사표)'!G:G)</f>
        <v>18</v>
      </c>
      <c r="I1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4" s="2">
        <f t="shared" si="3"/>
        <v>1398</v>
      </c>
      <c r="K14" s="2">
        <f>SUMIF(SAP!B:B,재고차이!B:B,SAP!Q:Q)</f>
        <v>1398</v>
      </c>
      <c r="L14" s="2">
        <f>SUMIF(주간상차!A:A,재고차이!A:A,주간상차!E:E)</f>
        <v>0</v>
      </c>
      <c r="M14" s="37">
        <f t="shared" si="4"/>
        <v>0</v>
      </c>
      <c r="N14" s="41"/>
      <c r="O14" s="42"/>
      <c r="P14" s="125"/>
      <c r="Q14" s="8">
        <f>SUMIF(파손품!D:D,재고차이!B:B,파손품!I:I)+SUMIF(동파파손!D:D,재고차이!B:B,동파파손!I:I)</f>
        <v>0</v>
      </c>
      <c r="R14">
        <f>M14/E14</f>
        <v>0</v>
      </c>
    </row>
    <row r="15" spans="1:18" ht="18.75" hidden="1" customHeight="1" x14ac:dyDescent="0.3">
      <c r="A15" s="9">
        <v>5186</v>
      </c>
      <c r="B15" s="9" t="str">
        <f>VLOOKUP(A:A,제품등록!A:B,2,0)</f>
        <v>CC5186</v>
      </c>
      <c r="C15" s="31" t="str">
        <f>VLOOKUP(B15,제품등록!B:C,2,0)</f>
        <v>코카콜라 490CAN 6X4</v>
      </c>
      <c r="D15" s="9"/>
      <c r="E15" s="9">
        <v>70</v>
      </c>
      <c r="F15" s="2">
        <f>SUMIF('창고1(실사표)'!B:B,재고차이!A:A,'창고1(실사표)'!F:F)*D15+SUMIF('창고2(실사표)'!B:B,재고차이!A:A,'창고2(실사표)'!F:F)*D15+SUMIF('믹스(잔량실사표)'!B:B,재고차이!A:A,'믹스(잔량실사표)'!F:F)*D15</f>
        <v>0</v>
      </c>
      <c r="G15" s="2">
        <f>SUMIF('창고1(실사표)'!B:B,재고차이!A:A,'창고1(실사표)'!E:E)*E15+SUMIF('창고2(실사표)'!B:B,재고차이!A:A,'창고2(실사표)'!E:E)*E15+SUMIF('믹스(잔량실사표)'!B:B,재고차이!A:A,'믹스(잔량실사표)'!E:E)*E15</f>
        <v>0</v>
      </c>
      <c r="H1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5" s="2">
        <f t="shared" si="3"/>
        <v>0</v>
      </c>
      <c r="K15" s="2">
        <f>SUMIF(SAP!B:B,재고차이!B:B,SAP!Q:Q)</f>
        <v>0</v>
      </c>
      <c r="L15" s="2">
        <f>SUMIF(주간상차!A:A,재고차이!A:A,주간상차!E:E)</f>
        <v>0</v>
      </c>
      <c r="M15" s="37">
        <f t="shared" si="4"/>
        <v>0</v>
      </c>
      <c r="N15" s="41"/>
      <c r="O15" s="42"/>
      <c r="P15" s="125"/>
      <c r="Q15" s="8">
        <f>SUMIF(파손품!D:D,재고차이!B:B,파손품!I:I)+SUMIF(동파파손!D:D,재고차이!B:B,동파파손!I:I)</f>
        <v>0</v>
      </c>
      <c r="R15">
        <f>M15/E15</f>
        <v>0</v>
      </c>
    </row>
    <row r="16" spans="1:18" ht="18.75" hidden="1" customHeight="1" x14ac:dyDescent="0.3">
      <c r="A16" s="9">
        <v>5189</v>
      </c>
      <c r="B16" s="9" t="str">
        <f>VLOOKUP(A:A,제품등록!A:B,2,0)</f>
        <v>CC5189</v>
      </c>
      <c r="C16" s="31" t="str">
        <f>VLOOKUP(B16,제품등록!B:C,2,0)</f>
        <v>코크제로 490ml CAN 6X4</v>
      </c>
      <c r="D16" s="9"/>
      <c r="E16" s="9">
        <v>70</v>
      </c>
      <c r="F16" s="2">
        <f>SUMIF('창고1(실사표)'!B:B,재고차이!A:A,'창고1(실사표)'!F:F)*D16+SUMIF('창고2(실사표)'!B:B,재고차이!A:A,'창고2(실사표)'!F:F)*D16+SUMIF('믹스(잔량실사표)'!B:B,재고차이!A:A,'믹스(잔량실사표)'!F:F)*D16</f>
        <v>0</v>
      </c>
      <c r="G16" s="2">
        <f>SUMIF('창고1(실사표)'!B:B,재고차이!A:A,'창고1(실사표)'!E:E)*E16+SUMIF('창고2(실사표)'!B:B,재고차이!A:A,'창고2(실사표)'!E:E)*E16+SUMIF('믹스(잔량실사표)'!B:B,재고차이!A:A,'믹스(잔량실사표)'!E:E)*E16</f>
        <v>0</v>
      </c>
      <c r="H1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6" s="2">
        <f t="shared" si="3"/>
        <v>0</v>
      </c>
      <c r="K16" s="2">
        <f>SUMIF(SAP!B:B,재고차이!B:B,SAP!Q:Q)</f>
        <v>0</v>
      </c>
      <c r="L16" s="2">
        <f>SUMIF(주간상차!A:A,재고차이!A:A,주간상차!E:E)</f>
        <v>0</v>
      </c>
      <c r="M16" s="37">
        <f t="shared" si="4"/>
        <v>0</v>
      </c>
      <c r="N16" s="41"/>
      <c r="O16" s="42"/>
      <c r="P16" s="125"/>
      <c r="Q16" s="8">
        <f>SUMIF(파손품!D:D,재고차이!B:B,파손품!I:I)+SUMIF(동파파손!D:D,재고차이!B:B,동파파손!I:I)</f>
        <v>0</v>
      </c>
      <c r="R16">
        <f>M16/E16</f>
        <v>0</v>
      </c>
    </row>
    <row r="17" spans="1:18" ht="18.75" customHeight="1" x14ac:dyDescent="0.3">
      <c r="A17" s="9">
        <v>1300</v>
      </c>
      <c r="B17" s="9" t="str">
        <f>VLOOKUP(A:A,제품등록!A:B,2,0)</f>
        <v>CC1300</v>
      </c>
      <c r="C17" s="31" t="str">
        <f>VLOOKUP(B17,제품등록!B:C,2,0)</f>
        <v>코카콜라SW 250CAN 5X6</v>
      </c>
      <c r="D17" s="9">
        <v>99</v>
      </c>
      <c r="E17" s="9">
        <v>132</v>
      </c>
      <c r="F17" s="2">
        <f>SUMIF('창고1(실사표)'!B:B,재고차이!A:A,'창고1(실사표)'!F:F)*D17+SUMIF('창고2(실사표)'!B:B,재고차이!A:A,'창고2(실사표)'!F:F)*D17+SUMIF('믹스(잔량실사표)'!B:B,재고차이!A:A,'믹스(잔량실사표)'!F:F)*D17</f>
        <v>0</v>
      </c>
      <c r="G17" s="2">
        <f>SUMIF('창고1(실사표)'!B:B,재고차이!A:A,'창고1(실사표)'!E:E)*E17+SUMIF('창고2(실사표)'!B:B,재고차이!A:A,'창고2(실사표)'!E:E)*E17+SUMIF('믹스(잔량실사표)'!B:B,재고차이!A:A,'믹스(잔량실사표)'!E:E)*E17</f>
        <v>2376</v>
      </c>
      <c r="H17" s="2">
        <f>SUMIF('창고1(실사표)'!B:B,재고차이!A:A,'창고1(실사표)'!G:G)+SUMIF('창고2(실사표)'!B:B,재고차이!A:A,'창고2(실사표)'!G:G)++SUMIF('믹스(잔량실사표)'!B:B,재고차이!A:A,'믹스(잔량실사표)'!G:G)</f>
        <v>100</v>
      </c>
      <c r="I1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7" s="2">
        <f t="shared" si="3"/>
        <v>2476</v>
      </c>
      <c r="K17" s="2">
        <f>SUMIF(SAP!B:B,재고차이!B:B,SAP!Q:Q)</f>
        <v>1816</v>
      </c>
      <c r="L17" s="2">
        <f>SUMIF(주간상차!A:A,재고차이!A:A,주간상차!E:E)</f>
        <v>660</v>
      </c>
      <c r="M17" s="37">
        <f t="shared" si="4"/>
        <v>0</v>
      </c>
      <c r="N17" s="41"/>
      <c r="O17" s="42"/>
      <c r="P17" s="125"/>
      <c r="Q17" s="8">
        <f>SUMIF(파손품!D:D,재고차이!B:B,파손품!I:I)+SUMIF(동파파손!D:D,재고차이!B:B,동파파손!I:I)</f>
        <v>0</v>
      </c>
      <c r="R17">
        <f>M17/E17</f>
        <v>0</v>
      </c>
    </row>
    <row r="18" spans="1:18" ht="18.75" customHeight="1" x14ac:dyDescent="0.3">
      <c r="A18" s="9">
        <v>2531</v>
      </c>
      <c r="B18" s="9" t="str">
        <f>VLOOKUP(A:A,제품등록!A:B,2,0)</f>
        <v>CC2531</v>
      </c>
      <c r="C18" s="31" t="str">
        <f>VLOOKUP(B18,제품등록!B:C,2,0)</f>
        <v>코카콜라 350CAN 4X6</v>
      </c>
      <c r="D18" s="9">
        <v>88</v>
      </c>
      <c r="E18" s="9">
        <v>100</v>
      </c>
      <c r="F18" s="2">
        <f>SUMIF('창고1(실사표)'!B:B,재고차이!A:A,'창고1(실사표)'!F:F)*D18+SUMIF('창고2(실사표)'!B:B,재고차이!A:A,'창고2(실사표)'!F:F)*D18+SUMIF('믹스(잔량실사표)'!B:B,재고차이!A:A,'믹스(잔량실사표)'!F:F)*D18</f>
        <v>0</v>
      </c>
      <c r="G18" s="2">
        <f>SUMIF('창고1(실사표)'!B:B,재고차이!A:A,'창고1(실사표)'!E:E)*E18+SUMIF('창고2(실사표)'!B:B,재고차이!A:A,'창고2(실사표)'!E:E)*E18+SUMIF('믹스(잔량실사표)'!B:B,재고차이!A:A,'믹스(잔량실사표)'!E:E)*E18</f>
        <v>4000</v>
      </c>
      <c r="H18" s="2">
        <f>SUMIF('창고1(실사표)'!B:B,재고차이!A:A,'창고1(실사표)'!G:G)+SUMIF('창고2(실사표)'!B:B,재고차이!A:A,'창고2(실사표)'!G:G)++SUMIF('믹스(잔량실사표)'!B:B,재고차이!A:A,'믹스(잔량실사표)'!G:G)</f>
        <v>80</v>
      </c>
      <c r="I1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8" s="2">
        <f t="shared" si="3"/>
        <v>4080</v>
      </c>
      <c r="K18" s="2">
        <f>SUMIF(SAP!B:B,재고차이!B:B,SAP!Q:Q)</f>
        <v>4080</v>
      </c>
      <c r="L18" s="2">
        <f>SUMIF(주간상차!A:A,재고차이!A:A,주간상차!E:E)</f>
        <v>0</v>
      </c>
      <c r="M18" s="37">
        <f t="shared" si="4"/>
        <v>0</v>
      </c>
      <c r="N18" s="41"/>
      <c r="O18" s="42"/>
      <c r="P18" s="125"/>
      <c r="Q18" s="8">
        <f>SUMIF(파손품!D:D,재고차이!B:B,파손품!I:I)+SUMIF(동파파손!D:D,재고차이!B:B,동파파손!I:I)</f>
        <v>0</v>
      </c>
      <c r="R18">
        <f t="shared" si="2"/>
        <v>0</v>
      </c>
    </row>
    <row r="19" spans="1:18" ht="18.75" hidden="1" customHeight="1" x14ac:dyDescent="0.3">
      <c r="A19" s="9">
        <v>5774</v>
      </c>
      <c r="B19" s="9" t="str">
        <f>VLOOKUP(A:A,제품등록!A:B,2,0)</f>
        <v>CC5774</v>
      </c>
      <c r="C19" s="31" t="str">
        <f>VLOOKUP(B19,제품등록!B:C,2,0)</f>
        <v>코크레드 350ml CAN 2 X 12 +타투스티커</v>
      </c>
      <c r="D19" s="9"/>
      <c r="E19" s="9">
        <v>80</v>
      </c>
      <c r="F19" s="2">
        <f>SUMIF('창고1(실사표)'!B:B,재고차이!A:A,'창고1(실사표)'!F:F)*D19+SUMIF('창고2(실사표)'!B:B,재고차이!A:A,'창고2(실사표)'!F:F)*D19+SUMIF('믹스(잔량실사표)'!B:B,재고차이!A:A,'믹스(잔량실사표)'!F:F)*D19</f>
        <v>0</v>
      </c>
      <c r="G19" s="2">
        <f>SUMIF('창고1(실사표)'!B:B,재고차이!A:A,'창고1(실사표)'!E:E)*E19+SUMIF('창고2(실사표)'!B:B,재고차이!A:A,'창고2(실사표)'!E:E)*E19+SUMIF('믹스(잔량실사표)'!B:B,재고차이!A:A,'믹스(잔량실사표)'!E:E)*E19</f>
        <v>0</v>
      </c>
      <c r="H19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9" s="2">
        <f t="shared" si="3"/>
        <v>0</v>
      </c>
      <c r="K19" s="2">
        <f>SUMIF(SAP!B:B,재고차이!B:B,SAP!Q:Q)</f>
        <v>0</v>
      </c>
      <c r="L19" s="2">
        <f>SUMIF(주간상차!A:A,재고차이!A:A,주간상차!E:E)</f>
        <v>0</v>
      </c>
      <c r="M19" s="37">
        <f t="shared" si="4"/>
        <v>0</v>
      </c>
      <c r="N19" s="41"/>
      <c r="O19" s="42"/>
      <c r="P19" s="125"/>
      <c r="Q19" s="8">
        <f>SUMIF(파손품!D:D,재고차이!B:B,파손품!I:I)+SUMIF(동파파손!D:D,재고차이!B:B,동파파손!I:I)</f>
        <v>0</v>
      </c>
      <c r="R19">
        <f t="shared" si="2"/>
        <v>0</v>
      </c>
    </row>
    <row r="20" spans="1:18" ht="18.75" customHeight="1" x14ac:dyDescent="0.3">
      <c r="A20" s="9">
        <v>4432</v>
      </c>
      <c r="B20" s="9" t="str">
        <f>VLOOKUP(A:A,제품등록!A:B,2,0)</f>
        <v>CC4432</v>
      </c>
      <c r="C20" s="31" t="str">
        <f>VLOOKUP(B20,제품등록!B:C,2,0)</f>
        <v>S)코크제로 500PET 4X6</v>
      </c>
      <c r="D20" s="9"/>
      <c r="E20" s="9">
        <v>60</v>
      </c>
      <c r="F20" s="2">
        <f>SUMIF('창고1(실사표)'!B:B,재고차이!A:A,'창고1(실사표)'!F:F)*D20+SUMIF('창고2(실사표)'!B:B,재고차이!A:A,'창고2(실사표)'!F:F)*D20+SUMIF('믹스(잔량실사표)'!B:B,재고차이!A:A,'믹스(잔량실사표)'!F:F)*D20</f>
        <v>0</v>
      </c>
      <c r="G20" s="2">
        <f>SUMIF('창고1(실사표)'!B:B,재고차이!A:A,'창고1(실사표)'!E:E)*E20+SUMIF('창고2(실사표)'!B:B,재고차이!A:A,'창고2(실사표)'!E:E)*E20+SUMIF('믹스(잔량실사표)'!B:B,재고차이!A:A,'믹스(잔량실사표)'!E:E)*E20</f>
        <v>1140</v>
      </c>
      <c r="H20" s="2">
        <f>SUMIF('창고1(실사표)'!B:B,재고차이!A:A,'창고1(실사표)'!G:G)+SUMIF('창고2(실사표)'!B:B,재고차이!A:A,'창고2(실사표)'!G:G)++SUMIF('믹스(잔량실사표)'!B:B,재고차이!A:A,'믹스(잔량실사표)'!G:G)</f>
        <v>44</v>
      </c>
      <c r="I2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0" s="2">
        <f t="shared" si="3"/>
        <v>1184</v>
      </c>
      <c r="K20" s="2">
        <f>SUMIF(SAP!B:B,재고차이!B:B,SAP!Q:Q)</f>
        <v>224</v>
      </c>
      <c r="L20" s="2">
        <f>SUMIF(주간상차!A:A,재고차이!A:A,주간상차!E:E)</f>
        <v>960</v>
      </c>
      <c r="M20" s="37">
        <f t="shared" si="4"/>
        <v>0</v>
      </c>
      <c r="N20" s="41"/>
      <c r="O20" s="42"/>
      <c r="P20" s="125"/>
      <c r="Q20" s="8">
        <f>SUMIF(파손품!D:D,재고차이!B:B,파손품!I:I)+SUMIF(동파파손!D:D,재고차이!B:B,동파파손!I:I)</f>
        <v>0</v>
      </c>
      <c r="R20">
        <f t="shared" si="2"/>
        <v>0</v>
      </c>
    </row>
    <row r="21" spans="1:18" ht="18.75" customHeight="1" x14ac:dyDescent="0.3">
      <c r="A21" s="9">
        <v>5201</v>
      </c>
      <c r="B21" s="9" t="s">
        <v>2701</v>
      </c>
      <c r="C21" s="31" t="str">
        <f>VLOOKUP(B21,제품등록!B:C,2,0)</f>
        <v>S)코크제로 제로 500PET 4X6</v>
      </c>
      <c r="D21" s="9"/>
      <c r="E21" s="9">
        <v>60</v>
      </c>
      <c r="F21" s="2">
        <f>SUMIF('창고1(실사표)'!B:B,재고차이!A:A,'창고1(실사표)'!F:F)*D21+SUMIF('창고2(실사표)'!B:B,재고차이!A:A,'창고2(실사표)'!F:F)*D21+SUMIF('믹스(잔량실사표)'!B:B,재고차이!A:A,'믹스(잔량실사표)'!F:F)*D21</f>
        <v>0</v>
      </c>
      <c r="G21" s="2">
        <f>SUMIF('창고1(실사표)'!B:B,재고차이!A:A,'창고1(실사표)'!E:E)*E21+SUMIF('창고2(실사표)'!B:B,재고차이!A:A,'창고2(실사표)'!E:E)*E21+SUMIF('믹스(잔량실사표)'!B:B,재고차이!A:A,'믹스(잔량실사표)'!E:E)*E21</f>
        <v>840</v>
      </c>
      <c r="H21" s="2">
        <f>SUMIF('창고1(실사표)'!B:B,재고차이!A:A,'창고1(실사표)'!G:G)+SUMIF('창고2(실사표)'!B:B,재고차이!A:A,'창고2(실사표)'!G:G)++SUMIF('믹스(잔량실사표)'!B:B,재고차이!A:A,'믹스(잔량실사표)'!G:G)</f>
        <v>18</v>
      </c>
      <c r="I2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1" s="2">
        <f t="shared" ref="J21" si="5">SUM(F21:I21)</f>
        <v>858</v>
      </c>
      <c r="K21" s="2">
        <f>SUMIF(SAP!B:B,재고차이!B:B,SAP!Q:Q)</f>
        <v>858</v>
      </c>
      <c r="L21" s="2">
        <f>SUMIF(주간상차!A:A,재고차이!A:A,주간상차!E:E)</f>
        <v>0</v>
      </c>
      <c r="M21" s="37">
        <f t="shared" ref="M21" si="6">J21-K21-L21-N21+O21+Q21</f>
        <v>0</v>
      </c>
      <c r="N21" s="41"/>
      <c r="O21" s="42"/>
      <c r="P21" s="125"/>
      <c r="Q21" s="8">
        <f>SUMIF(파손품!D:D,재고차이!B:B,파손품!I:I)+SUMIF(동파파손!D:D,재고차이!B:B,동파파손!I:I)</f>
        <v>0</v>
      </c>
      <c r="R21">
        <f t="shared" ref="R21" si="7">M21/E21</f>
        <v>0</v>
      </c>
    </row>
    <row r="22" spans="1:18" ht="18" customHeight="1" x14ac:dyDescent="0.3">
      <c r="A22" s="9">
        <v>5191</v>
      </c>
      <c r="B22" s="9" t="str">
        <f>VLOOKUP(A:A,제품등록!A:B,2,0)</f>
        <v>CC5191</v>
      </c>
      <c r="C22" s="31" t="str">
        <f>VLOOKUP(B22,제품등록!B:C,2,0)</f>
        <v>코카콜라 490CAN 6X4</v>
      </c>
      <c r="D22" s="9"/>
      <c r="E22" s="9">
        <v>70</v>
      </c>
      <c r="F22" s="2">
        <f>SUMIF('창고1(실사표)'!B:B,재고차이!A:A,'창고1(실사표)'!F:F)*D22+SUMIF('창고2(실사표)'!B:B,재고차이!A:A,'창고2(실사표)'!F:F)*D22+SUMIF('믹스(잔량실사표)'!B:B,재고차이!A:A,'믹스(잔량실사표)'!F:F)*D22</f>
        <v>0</v>
      </c>
      <c r="G22" s="2">
        <f>SUMIF('창고1(실사표)'!B:B,재고차이!A:A,'창고1(실사표)'!E:E)*E22+SUMIF('창고2(실사표)'!B:B,재고차이!A:A,'창고2(실사표)'!E:E)*E22+SUMIF('믹스(잔량실사표)'!B:B,재고차이!A:A,'믹스(잔량실사표)'!E:E)*E22</f>
        <v>70</v>
      </c>
      <c r="H22" s="2">
        <f>SUMIF('창고1(실사표)'!B:B,재고차이!A:A,'창고1(실사표)'!G:G)+SUMIF('창고2(실사표)'!B:B,재고차이!A:A,'창고2(실사표)'!G:G)++SUMIF('믹스(잔량실사표)'!B:B,재고차이!A:A,'믹스(잔량실사표)'!G:G)</f>
        <v>51</v>
      </c>
      <c r="I2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2" s="2">
        <f t="shared" si="3"/>
        <v>121</v>
      </c>
      <c r="K22" s="2">
        <f>SUMIF(SAP!B:B,재고차이!B:B,SAP!Q:Q)</f>
        <v>121</v>
      </c>
      <c r="L22" s="2">
        <f>SUMIF(주간상차!A:A,재고차이!A:A,주간상차!E:E)</f>
        <v>0</v>
      </c>
      <c r="M22" s="37">
        <f t="shared" si="4"/>
        <v>0</v>
      </c>
      <c r="N22" s="41"/>
      <c r="O22" s="42"/>
      <c r="P22" s="125"/>
      <c r="Q22" s="8">
        <f>SUMIF(파손품!D:D,재고차이!B:B,파손품!I:I)+SUMIF(동파파손!D:D,재고차이!B:B,동파파손!I:I)</f>
        <v>0</v>
      </c>
      <c r="R22">
        <f>M22/E22</f>
        <v>0</v>
      </c>
    </row>
    <row r="23" spans="1:18" ht="18.75" customHeight="1" x14ac:dyDescent="0.3">
      <c r="A23" s="9">
        <v>5192</v>
      </c>
      <c r="B23" s="9" t="str">
        <f>VLOOKUP(A:A,제품등록!A:B,2,0)</f>
        <v>CC5192</v>
      </c>
      <c r="C23" s="31" t="str">
        <f>VLOOKUP(B23,제품등록!B:C,2,0)</f>
        <v>코크제로 490ml CAN 6X4</v>
      </c>
      <c r="D23" s="9"/>
      <c r="E23" s="9">
        <v>70</v>
      </c>
      <c r="F23" s="2">
        <f>SUMIF('창고1(실사표)'!B:B,재고차이!A:A,'창고1(실사표)'!F:F)*D23+SUMIF('창고2(실사표)'!B:B,재고차이!A:A,'창고2(실사표)'!F:F)*D23+SUMIF('믹스(잔량실사표)'!B:B,재고차이!A:A,'믹스(잔량실사표)'!F:F)*D23</f>
        <v>0</v>
      </c>
      <c r="G23" s="2">
        <f>SUMIF('창고1(실사표)'!B:B,재고차이!A:A,'창고1(실사표)'!E:E)*E23+SUMIF('창고2(실사표)'!B:B,재고차이!A:A,'창고2(실사표)'!E:E)*E23+SUMIF('믹스(잔량실사표)'!B:B,재고차이!A:A,'믹스(잔량실사표)'!E:E)*E23</f>
        <v>1120</v>
      </c>
      <c r="H23" s="2">
        <f>SUMIF('창고1(실사표)'!B:B,재고차이!A:A,'창고1(실사표)'!G:G)+SUMIF('창고2(실사표)'!B:B,재고차이!A:A,'창고2(실사표)'!G:G)++SUMIF('믹스(잔량실사표)'!B:B,재고차이!A:A,'믹스(잔량실사표)'!G:G)</f>
        <v>2</v>
      </c>
      <c r="I2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3" s="2">
        <f t="shared" si="3"/>
        <v>1122</v>
      </c>
      <c r="K23" s="2">
        <f>SUMIF(SAP!B:B,재고차이!B:B,SAP!Q:Q)</f>
        <v>1122</v>
      </c>
      <c r="L23" s="2">
        <f>SUMIF(주간상차!A:A,재고차이!A:A,주간상차!E:E)</f>
        <v>0</v>
      </c>
      <c r="M23" s="37">
        <f t="shared" si="4"/>
        <v>0</v>
      </c>
      <c r="N23" s="41"/>
      <c r="O23" s="42"/>
      <c r="P23" s="125"/>
      <c r="Q23" s="8">
        <f>SUMIF(파손품!D:D,재고차이!B:B,파손품!I:I)+SUMIF(동파파손!D:D,재고차이!B:B,동파파손!I:I)</f>
        <v>0</v>
      </c>
      <c r="R23">
        <f t="shared" si="2"/>
        <v>0</v>
      </c>
    </row>
    <row r="24" spans="1:18" ht="18.75" hidden="1" customHeight="1" x14ac:dyDescent="0.3">
      <c r="A24" s="9">
        <v>2520</v>
      </c>
      <c r="B24" s="9" t="str">
        <f>VLOOKUP(A:A,제품등록!A:B,2,0)</f>
        <v>CC2520</v>
      </c>
      <c r="C24" s="31" t="str">
        <f>VLOOKUP(B24,제품등록!B:C,2,0)</f>
        <v>코카-콜라 355CAN 6X4</v>
      </c>
      <c r="D24" s="9"/>
      <c r="E24" s="9">
        <v>100</v>
      </c>
      <c r="F24" s="2">
        <f>SUMIF('창고1(실사표)'!B:B,재고차이!A:A,'창고1(실사표)'!F:F)*D24+SUMIF('창고2(실사표)'!B:B,재고차이!A:A,'창고2(실사표)'!F:F)*D24+SUMIF('믹스(잔량실사표)'!B:B,재고차이!A:A,'믹스(잔량실사표)'!F:F)*D24</f>
        <v>0</v>
      </c>
      <c r="G24" s="2">
        <f>SUMIF('창고1(실사표)'!B:B,재고차이!A:A,'창고1(실사표)'!E:E)*E24+SUMIF('창고2(실사표)'!B:B,재고차이!A:A,'창고2(실사표)'!E:E)*E24+SUMIF('믹스(잔량실사표)'!B:B,재고차이!A:A,'믹스(잔량실사표)'!E:E)*E24</f>
        <v>0</v>
      </c>
      <c r="H2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2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4" s="2">
        <f t="shared" si="3"/>
        <v>0</v>
      </c>
      <c r="K24" s="2">
        <f>SUMIF(SAP!B:B,재고차이!B:B,SAP!Q:Q)</f>
        <v>0</v>
      </c>
      <c r="L24" s="2">
        <f>SUMIF(주간상차!A:A,재고차이!A:A,주간상차!E:E)</f>
        <v>0</v>
      </c>
      <c r="M24" s="37">
        <f t="shared" si="4"/>
        <v>0</v>
      </c>
      <c r="N24" s="41"/>
      <c r="O24" s="42"/>
      <c r="P24" s="125"/>
      <c r="Q24" s="8">
        <f>SUMIF(파손품!D:D,재고차이!B:B,파손품!I:I)+SUMIF(동파파손!D:D,재고차이!B:B,동파파손!I:I)</f>
        <v>0</v>
      </c>
      <c r="R24">
        <f t="shared" si="2"/>
        <v>0</v>
      </c>
    </row>
    <row r="25" spans="1:18" ht="18" hidden="1" customHeight="1" x14ac:dyDescent="0.3">
      <c r="A25" s="9">
        <v>2523</v>
      </c>
      <c r="B25" s="9" t="str">
        <f>VLOOKUP(A:A,제품등록!A:B,2,0)</f>
        <v>CC2523</v>
      </c>
      <c r="C25" s="31" t="str">
        <f>VLOOKUP(B25,제품등록!B:C,2,0)</f>
        <v>코카콜라EDLP355CAN 4X6</v>
      </c>
      <c r="D25" s="9"/>
      <c r="E25" s="9">
        <v>100</v>
      </c>
      <c r="F25" s="2">
        <f>SUMIF('창고1(실사표)'!B:B,재고차이!A:A,'창고1(실사표)'!F:F)*D25+SUMIF('창고2(실사표)'!B:B,재고차이!A:A,'창고2(실사표)'!F:F)*D25+SUMIF('믹스(잔량실사표)'!B:B,재고차이!A:A,'믹스(잔량실사표)'!F:F)*D25</f>
        <v>0</v>
      </c>
      <c r="G25" s="2">
        <f>SUMIF('창고1(실사표)'!B:B,재고차이!A:A,'창고1(실사표)'!E:E)*E25+SUMIF('창고2(실사표)'!B:B,재고차이!A:A,'창고2(실사표)'!E:E)*E25+SUMIF('믹스(잔량실사표)'!B:B,재고차이!A:A,'믹스(잔량실사표)'!E:E)*E25</f>
        <v>0</v>
      </c>
      <c r="H2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2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5" s="2">
        <f t="shared" si="3"/>
        <v>0</v>
      </c>
      <c r="K25" s="2">
        <f>SUMIF(SAP!B:B,재고차이!B:B,SAP!Q:Q)</f>
        <v>0</v>
      </c>
      <c r="L25" s="2">
        <f>SUMIF(주간상차!A:A,재고차이!A:A,주간상차!E:E)</f>
        <v>0</v>
      </c>
      <c r="M25" s="37">
        <f t="shared" si="4"/>
        <v>0</v>
      </c>
      <c r="N25" s="41"/>
      <c r="O25" s="42"/>
      <c r="P25" s="125"/>
      <c r="Q25" s="8">
        <f>SUMIF(파손품!D:D,재고차이!B:B,파손품!I:I)+SUMIF(동파파손!D:D,재고차이!B:B,동파파손!I:I)</f>
        <v>0</v>
      </c>
      <c r="R25">
        <f t="shared" si="2"/>
        <v>0</v>
      </c>
    </row>
    <row r="26" spans="1:18" ht="18.75" customHeight="1" x14ac:dyDescent="0.3">
      <c r="A26" s="9">
        <v>5194</v>
      </c>
      <c r="B26" s="9" t="str">
        <f>VLOOKUP(A:A,제품등록!A:B,2,0)</f>
        <v>CC5194</v>
      </c>
      <c r="C26" s="31" t="str">
        <f>VLOOKUP(B26,제품등록!B:C,2,0)</f>
        <v>S)코크제로 레몬 350CAN 4X6</v>
      </c>
      <c r="D26" s="9"/>
      <c r="E26" s="9">
        <v>100</v>
      </c>
      <c r="F26" s="2">
        <f>SUMIF('창고1(실사표)'!B:B,재고차이!A:A,'창고1(실사표)'!F:F)*D26+SUMIF('창고2(실사표)'!B:B,재고차이!A:A,'창고2(실사표)'!F:F)*D26+SUMIF('믹스(잔량실사표)'!B:B,재고차이!A:A,'믹스(잔량실사표)'!F:F)*D26</f>
        <v>0</v>
      </c>
      <c r="G26" s="2">
        <f>SUMIF('창고1(실사표)'!B:B,재고차이!A:A,'창고1(실사표)'!E:E)*E26+SUMIF('창고2(실사표)'!B:B,재고차이!A:A,'창고2(실사표)'!E:E)*E26+SUMIF('믹스(잔량실사표)'!B:B,재고차이!A:A,'믹스(잔량실사표)'!E:E)*E26</f>
        <v>100</v>
      </c>
      <c r="H26" s="2">
        <f>SUMIF('창고1(실사표)'!B:B,재고차이!A:A,'창고1(실사표)'!G:G)+SUMIF('창고2(실사표)'!B:B,재고차이!A:A,'창고2(실사표)'!G:G)++SUMIF('믹스(잔량실사표)'!B:B,재고차이!A:A,'믹스(잔량실사표)'!G:G)</f>
        <v>77</v>
      </c>
      <c r="I2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6" s="2">
        <f t="shared" si="3"/>
        <v>177</v>
      </c>
      <c r="K26" s="2">
        <f>SUMIF(SAP!B:B,재고차이!B:B,SAP!Q:Q)</f>
        <v>177</v>
      </c>
      <c r="L26" s="2">
        <f>SUMIF(주간상차!A:A,재고차이!A:A,주간상차!E:E)</f>
        <v>0</v>
      </c>
      <c r="M26" s="37">
        <f t="shared" si="4"/>
        <v>0</v>
      </c>
      <c r="N26" s="41"/>
      <c r="O26" s="42"/>
      <c r="P26" s="125"/>
      <c r="Q26" s="8">
        <f>SUMIF(파손품!D:D,재고차이!B:B,파손품!I:I)+SUMIF(동파파손!D:D,재고차이!B:B,동파파손!I:I)</f>
        <v>0</v>
      </c>
      <c r="R26">
        <f>M26/E26</f>
        <v>0</v>
      </c>
    </row>
    <row r="27" spans="1:18" ht="18.75" hidden="1" customHeight="1" x14ac:dyDescent="0.3">
      <c r="A27" s="9">
        <v>7928</v>
      </c>
      <c r="B27" s="9" t="str">
        <f>VLOOKUP(A:A,제품등록!A:B,2,0)</f>
        <v>CC7928</v>
      </c>
      <c r="C27" s="31" t="str">
        <f>VLOOKUP(B27,제품등록!B:C,2,0)</f>
        <v>코카콜라 500PET 2X12 +올림픽 쿨러백</v>
      </c>
      <c r="D27" s="9"/>
      <c r="E27" s="9">
        <v>32</v>
      </c>
      <c r="F27" s="2">
        <f>SUMIF('창고1(실사표)'!B:B,재고차이!A:A,'창고1(실사표)'!F:F)*D27+SUMIF('창고2(실사표)'!B:B,재고차이!A:A,'창고2(실사표)'!F:F)*D27+SUMIF('믹스(잔량실사표)'!B:B,재고차이!A:A,'믹스(잔량실사표)'!F:F)*D27</f>
        <v>0</v>
      </c>
      <c r="G27" s="2">
        <f>SUMIF('창고1(실사표)'!B:B,재고차이!A:A,'창고1(실사표)'!E:E)*E27+SUMIF('창고2(실사표)'!B:B,재고차이!A:A,'창고2(실사표)'!E:E)*E27+SUMIF('믹스(잔량실사표)'!B:B,재고차이!A:A,'믹스(잔량실사표)'!E:E)*E27</f>
        <v>0</v>
      </c>
      <c r="H2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2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7" s="2">
        <f t="shared" si="3"/>
        <v>0</v>
      </c>
      <c r="K27" s="2">
        <f>SUMIF(SAP!B:B,재고차이!B:B,SAP!Q:Q)</f>
        <v>0</v>
      </c>
      <c r="L27" s="2">
        <f>SUMIF(주간상차!A:A,재고차이!A:A,주간상차!E:E)</f>
        <v>0</v>
      </c>
      <c r="M27" s="37">
        <f t="shared" si="4"/>
        <v>0</v>
      </c>
      <c r="N27" s="41"/>
      <c r="O27" s="42"/>
      <c r="P27" s="125"/>
      <c r="Q27" s="8">
        <f>SUMIF(파손품!D:D,재고차이!B:B,파손품!I:I)+SUMIF(동파파손!D:D,재고차이!B:B,동파파손!I:I)</f>
        <v>0</v>
      </c>
      <c r="R27">
        <f t="shared" si="2"/>
        <v>0</v>
      </c>
    </row>
    <row r="28" spans="1:18" ht="18.75" hidden="1" customHeight="1" x14ac:dyDescent="0.3">
      <c r="A28" s="9">
        <v>5714</v>
      </c>
      <c r="B28" s="9" t="str">
        <f>VLOOKUP(A:A,제품등록!A:B,2,0)</f>
        <v>CC5714</v>
      </c>
      <c r="C28" s="31" t="str">
        <f>VLOOKUP(B28,제품등록!B:C,2,0)</f>
        <v>코카콜라 벚꽃 250BTC X24</v>
      </c>
      <c r="D28" s="9">
        <v>72</v>
      </c>
      <c r="E28" s="9">
        <v>108</v>
      </c>
      <c r="F28" s="2">
        <f>SUMIF('창고1(실사표)'!B:B,재고차이!A:A,'창고1(실사표)'!F:F)*D28+SUMIF('창고2(실사표)'!B:B,재고차이!A:A,'창고2(실사표)'!F:F)*D28+SUMIF('믹스(잔량실사표)'!B:B,재고차이!A:A,'믹스(잔량실사표)'!F:F)*D28</f>
        <v>0</v>
      </c>
      <c r="G28" s="2">
        <f>SUMIF('창고1(실사표)'!B:B,재고차이!A:A,'창고1(실사표)'!E:E)*E28+SUMIF('창고2(실사표)'!B:B,재고차이!A:A,'창고2(실사표)'!E:E)*E28+SUMIF('믹스(잔량실사표)'!B:B,재고차이!A:A,'믹스(잔량실사표)'!E:E)*E28</f>
        <v>0</v>
      </c>
      <c r="H2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2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8" s="2">
        <f t="shared" si="3"/>
        <v>0</v>
      </c>
      <c r="K28" s="2">
        <f>SUMIF(SAP!B:B,재고차이!B:B,SAP!Q:Q)</f>
        <v>0</v>
      </c>
      <c r="L28" s="2">
        <f>SUMIF(주간상차!A:A,재고차이!A:A,주간상차!E:E)</f>
        <v>0</v>
      </c>
      <c r="M28" s="37">
        <f t="shared" si="4"/>
        <v>0</v>
      </c>
      <c r="N28" s="41"/>
      <c r="O28" s="42"/>
      <c r="P28" s="125"/>
      <c r="Q28" s="8">
        <f>SUMIF(파손품!D:D,재고차이!B:B,파손품!I:I)+SUMIF(동파파손!D:D,재고차이!B:B,동파파손!I:I)</f>
        <v>0</v>
      </c>
      <c r="R28">
        <f t="shared" si="2"/>
        <v>0</v>
      </c>
    </row>
    <row r="29" spans="1:18" ht="18.75" customHeight="1" x14ac:dyDescent="0.3">
      <c r="A29" s="9">
        <v>5200</v>
      </c>
      <c r="B29" s="9" t="str">
        <f>VLOOKUP(A:A,제품등록!A:B,2,0)</f>
        <v>CC5200</v>
      </c>
      <c r="C29" s="31" t="str">
        <f>VLOOKUP(B29,제품등록!B:C,2,0)</f>
        <v>코카콜라 900PET 2X6</v>
      </c>
      <c r="D29" s="9"/>
      <c r="E29" s="9">
        <v>65</v>
      </c>
      <c r="F29" s="2">
        <f>SUMIF('창고1(실사표)'!B:B,재고차이!A:A,'창고1(실사표)'!F:F)*D29+SUMIF('창고2(실사표)'!B:B,재고차이!A:A,'창고2(실사표)'!F:F)*D29+SUMIF('믹스(잔량실사표)'!B:B,재고차이!A:A,'믹스(잔량실사표)'!F:F)*D29</f>
        <v>0</v>
      </c>
      <c r="G29" s="2">
        <f>SUMIF('창고1(실사표)'!B:B,재고차이!A:A,'창고1(실사표)'!E:E)*E29+SUMIF('창고2(실사표)'!B:B,재고차이!A:A,'창고2(실사표)'!E:E)*E29+SUMIF('믹스(잔량실사표)'!B:B,재고차이!A:A,'믹스(잔량실사표)'!E:E)*E29</f>
        <v>0</v>
      </c>
      <c r="H29" s="2">
        <f>SUMIF('창고1(실사표)'!B:B,재고차이!A:A,'창고1(실사표)'!G:G)+SUMIF('창고2(실사표)'!B:B,재고차이!A:A,'창고2(실사표)'!G:G)++SUMIF('믹스(잔량실사표)'!B:B,재고차이!A:A,'믹스(잔량실사표)'!G:G)</f>
        <v>49</v>
      </c>
      <c r="I2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9" s="2">
        <f t="shared" si="3"/>
        <v>49</v>
      </c>
      <c r="K29" s="2">
        <f>SUMIF(SAP!B:B,재고차이!B:B,SAP!Q:Q)</f>
        <v>49</v>
      </c>
      <c r="L29" s="2">
        <f>SUMIF(주간상차!A:A,재고차이!A:A,주간상차!E:E)</f>
        <v>0</v>
      </c>
      <c r="M29" s="37">
        <f t="shared" si="4"/>
        <v>0</v>
      </c>
      <c r="N29" s="41"/>
      <c r="O29" s="42"/>
      <c r="P29" s="125"/>
      <c r="Q29" s="8">
        <f>SUMIF(파손품!D:D,재고차이!B:B,파손품!I:I)+SUMIF(동파파손!D:D,재고차이!B:B,동파파손!I:I)</f>
        <v>0</v>
      </c>
      <c r="R29">
        <f t="shared" ref="R29" si="8">M29/E29</f>
        <v>0</v>
      </c>
    </row>
    <row r="30" spans="1:18" ht="18.75" customHeight="1" x14ac:dyDescent="0.3">
      <c r="A30" s="9">
        <v>5769</v>
      </c>
      <c r="B30" s="9" t="str">
        <f>VLOOKUP(A:A,제품등록!A:B,2,0)</f>
        <v>CC5769</v>
      </c>
      <c r="C30" s="31" t="str">
        <f>VLOOKUP(B30,제품등록!B:C,2,0)</f>
        <v>코크제로 제로 350CAN 4X6</v>
      </c>
      <c r="D30" s="9"/>
      <c r="E30" s="9">
        <v>100</v>
      </c>
      <c r="F30" s="2">
        <f>SUMIF('창고1(실사표)'!B:B,재고차이!A:A,'창고1(실사표)'!F:F)*D30+SUMIF('창고2(실사표)'!B:B,재고차이!A:A,'창고2(실사표)'!F:F)*D30+SUMIF('믹스(잔량실사표)'!B:B,재고차이!A:A,'믹스(잔량실사표)'!F:F)*D30</f>
        <v>0</v>
      </c>
      <c r="G30" s="2">
        <f>SUMIF('창고1(실사표)'!B:B,재고차이!A:A,'창고1(실사표)'!E:E)*E30+SUMIF('창고2(실사표)'!B:B,재고차이!A:A,'창고2(실사표)'!E:E)*E30+SUMIF('믹스(잔량실사표)'!B:B,재고차이!A:A,'믹스(잔량실사표)'!E:E)*E30</f>
        <v>0</v>
      </c>
      <c r="H30" s="2">
        <f>SUMIF('창고1(실사표)'!B:B,재고차이!A:A,'창고1(실사표)'!G:G)+SUMIF('창고2(실사표)'!B:B,재고차이!A:A,'창고2(실사표)'!G:G)++SUMIF('믹스(잔량실사표)'!B:B,재고차이!A:A,'믹스(잔량실사표)'!G:G)</f>
        <v>50</v>
      </c>
      <c r="I3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30" s="2">
        <f t="shared" si="3"/>
        <v>50</v>
      </c>
      <c r="K30" s="2">
        <f>SUMIF(SAP!B:B,재고차이!B:B,SAP!Q:Q)</f>
        <v>50</v>
      </c>
      <c r="L30" s="2">
        <f>SUMIF(주간상차!A:A,재고차이!A:A,주간상차!E:E)</f>
        <v>0</v>
      </c>
      <c r="M30" s="37">
        <f t="shared" si="4"/>
        <v>0</v>
      </c>
      <c r="N30" s="41"/>
      <c r="O30" s="42"/>
      <c r="P30" s="125"/>
      <c r="Q30" s="8">
        <f>SUMIF(파손품!D:D,재고차이!B:B,파손품!I:I)+SUMIF(동파파손!D:D,재고차이!B:B,동파파손!I:I)</f>
        <v>0</v>
      </c>
      <c r="R30">
        <f t="shared" si="2"/>
        <v>0</v>
      </c>
    </row>
    <row r="31" spans="1:18" ht="17.25" customHeight="1" x14ac:dyDescent="0.3">
      <c r="A31" s="9">
        <v>5771</v>
      </c>
      <c r="B31" s="9" t="str">
        <f>VLOOKUP(A:A,제품등록!A:B,2,0)</f>
        <v>CC5771</v>
      </c>
      <c r="C31" s="31" t="str">
        <f>VLOOKUP(B31,제품등록!B:C,2,0)</f>
        <v>코크제로 제로 250CAN 5X6</v>
      </c>
      <c r="D31" s="9">
        <v>99</v>
      </c>
      <c r="E31" s="9">
        <v>132</v>
      </c>
      <c r="F31" s="2">
        <f>SUMIF('창고1(실사표)'!B:B,재고차이!A:A,'창고1(실사표)'!F:F)*D31+SUMIF('창고2(실사표)'!B:B,재고차이!A:A,'창고2(실사표)'!F:F)*D31+SUMIF('믹스(잔량실사표)'!B:B,재고차이!A:A,'믹스(잔량실사표)'!F:F)*D31</f>
        <v>0</v>
      </c>
      <c r="G31" s="2">
        <f>SUMIF('창고1(실사표)'!B:B,재고차이!A:A,'창고1(실사표)'!E:E)*E31+SUMIF('창고2(실사표)'!B:B,재고차이!A:A,'창고2(실사표)'!E:E)*E31+SUMIF('믹스(잔량실사표)'!B:B,재고차이!A:A,'믹스(잔량실사표)'!E:E)*E31</f>
        <v>264</v>
      </c>
      <c r="H31" s="2">
        <f>SUMIF('창고1(실사표)'!B:B,재고차이!A:A,'창고1(실사표)'!G:G)+SUMIF('창고2(실사표)'!B:B,재고차이!A:A,'창고2(실사표)'!G:G)++SUMIF('믹스(잔량실사표)'!B:B,재고차이!A:A,'믹스(잔량실사표)'!G:G)</f>
        <v>103</v>
      </c>
      <c r="I3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31" s="2">
        <f t="shared" si="3"/>
        <v>367</v>
      </c>
      <c r="K31" s="2">
        <f>SUMIF(SAP!B:B,재고차이!B:B,SAP!Q:Q)</f>
        <v>367</v>
      </c>
      <c r="L31" s="2">
        <f>SUMIF(주간상차!A:A,재고차이!A:A,주간상차!E:E)</f>
        <v>0</v>
      </c>
      <c r="M31" s="37">
        <f t="shared" si="4"/>
        <v>0</v>
      </c>
      <c r="N31" s="41"/>
      <c r="O31" s="42"/>
      <c r="P31" s="125"/>
      <c r="Q31" s="8">
        <f>SUMIF(파손품!D:D,재고차이!B:B,파손품!I:I)+SUMIF(동파파손!D:D,재고차이!B:B,동파파손!I:I)</f>
        <v>0</v>
      </c>
      <c r="R31">
        <f t="shared" si="2"/>
        <v>0</v>
      </c>
    </row>
    <row r="32" spans="1:18" ht="18" customHeight="1" x14ac:dyDescent="0.3">
      <c r="A32" s="9">
        <v>5777</v>
      </c>
      <c r="B32" s="9" t="str">
        <f>VLOOKUP(A:A,제품등록!A:B,2,0)</f>
        <v>CC5777</v>
      </c>
      <c r="C32" s="31" t="str">
        <f>VLOOKUP(B32,제품등록!B:C,2,0)</f>
        <v>코크제로 350CAN 4X6</v>
      </c>
      <c r="D32" s="9"/>
      <c r="E32" s="9">
        <v>100</v>
      </c>
      <c r="F32" s="2">
        <f>SUMIF('창고1(실사표)'!B:B,재고차이!A:A,'창고1(실사표)'!F:F)*D32+SUMIF('창고2(실사표)'!B:B,재고차이!A:A,'창고2(실사표)'!F:F)*D32+SUMIF('믹스(잔량실사표)'!B:B,재고차이!A:A,'믹스(잔량실사표)'!F:F)*D32</f>
        <v>0</v>
      </c>
      <c r="G32" s="2">
        <f>SUMIF('창고1(실사표)'!B:B,재고차이!A:A,'창고1(실사표)'!E:E)*E32+SUMIF('창고2(실사표)'!B:B,재고차이!A:A,'창고2(실사표)'!E:E)*E32+SUMIF('믹스(잔량실사표)'!B:B,재고차이!A:A,'믹스(잔량실사표)'!E:E)*E32</f>
        <v>600</v>
      </c>
      <c r="H32" s="2">
        <f>SUMIF('창고1(실사표)'!B:B,재고차이!A:A,'창고1(실사표)'!G:G)+SUMIF('창고2(실사표)'!B:B,재고차이!A:A,'창고2(실사표)'!G:G)++SUMIF('믹스(잔량실사표)'!B:B,재고차이!A:A,'믹스(잔량실사표)'!G:G)</f>
        <v>74</v>
      </c>
      <c r="I3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32" s="2">
        <f t="shared" si="3"/>
        <v>674</v>
      </c>
      <c r="K32" s="2">
        <f>SUMIF(SAP!B:B,재고차이!B:B,SAP!Q:Q)</f>
        <v>474</v>
      </c>
      <c r="L32" s="2">
        <f>SUMIF(주간상차!A:A,재고차이!A:A,주간상차!E:E)</f>
        <v>200</v>
      </c>
      <c r="M32" s="37">
        <f t="shared" si="4"/>
        <v>0</v>
      </c>
      <c r="N32" s="41"/>
      <c r="O32" s="42"/>
      <c r="P32" s="125"/>
      <c r="Q32" s="8">
        <f>SUMIF(파손품!D:D,재고차이!B:B,파손품!I:I)+SUMIF(동파파손!D:D,재고차이!B:B,동파파손!I:I)</f>
        <v>0</v>
      </c>
      <c r="R32">
        <f>M32/E32</f>
        <v>0</v>
      </c>
    </row>
    <row r="33" spans="1:18" ht="17.25" customHeight="1" x14ac:dyDescent="0.3">
      <c r="A33" s="9">
        <v>5782</v>
      </c>
      <c r="B33" s="9" t="str">
        <f>VLOOKUP(A:A,제품등록!A:B,2,0)</f>
        <v>CC5782</v>
      </c>
      <c r="C33" s="31" t="str">
        <f>VLOOKUP(B33,제품등록!B:C,2,0)</f>
        <v>코크제로 체리 500PET 4X6</v>
      </c>
      <c r="D33" s="9">
        <v>40</v>
      </c>
      <c r="E33" s="9">
        <v>60</v>
      </c>
      <c r="F33" s="2">
        <f>SUMIF('창고1(실사표)'!B:B,재고차이!A:A,'창고1(실사표)'!F:F)*D33+SUMIF('창고2(실사표)'!B:B,재고차이!A:A,'창고2(실사표)'!F:F)*D33+SUMIF('믹스(잔량실사표)'!B:B,재고차이!A:A,'믹스(잔량실사표)'!F:F)*D33</f>
        <v>0</v>
      </c>
      <c r="G33" s="2">
        <f>SUMIF('창고1(실사표)'!B:B,재고차이!A:A,'창고1(실사표)'!E:E)*E33+SUMIF('창고2(실사표)'!B:B,재고차이!A:A,'창고2(실사표)'!E:E)*E33+SUMIF('믹스(잔량실사표)'!B:B,재고차이!A:A,'믹스(잔량실사표)'!E:E)*E33</f>
        <v>780</v>
      </c>
      <c r="H33" s="2">
        <f>SUMIF('창고1(실사표)'!B:B,재고차이!A:A,'창고1(실사표)'!G:G)+SUMIF('창고2(실사표)'!B:B,재고차이!A:A,'창고2(실사표)'!G:G)++SUMIF('믹스(잔량실사표)'!B:B,재고차이!A:A,'믹스(잔량실사표)'!G:G)</f>
        <v>14</v>
      </c>
      <c r="I3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33" s="2">
        <f t="shared" si="3"/>
        <v>794</v>
      </c>
      <c r="K33" s="2">
        <f>SUMIF(SAP!B:B,재고차이!B:B,SAP!Q:Q)</f>
        <v>794</v>
      </c>
      <c r="L33" s="2">
        <f>SUMIF(주간상차!A:A,재고차이!A:A,주간상차!E:E)</f>
        <v>0</v>
      </c>
      <c r="M33" s="37">
        <f t="shared" si="4"/>
        <v>0</v>
      </c>
      <c r="N33" s="41"/>
      <c r="O33" s="42"/>
      <c r="P33" s="125"/>
      <c r="Q33" s="8">
        <f>SUMIF(파손품!D:D,재고차이!B:B,파손품!I:I)+SUMIF(동파파손!D:D,재고차이!B:B,동파파손!I:I)</f>
        <v>0</v>
      </c>
      <c r="R33">
        <f t="shared" si="2"/>
        <v>0</v>
      </c>
    </row>
    <row r="34" spans="1:18" ht="17.25" hidden="1" customHeight="1" x14ac:dyDescent="0.3">
      <c r="A34" s="9">
        <v>8279</v>
      </c>
      <c r="B34" s="9" t="str">
        <f>VLOOKUP(A:A,제품등록!A:B,2,0)</f>
        <v>CC8279</v>
      </c>
      <c r="C34" s="31" t="str">
        <f>VLOOKUP(B34,제품등록!B:C,2,0)</f>
        <v>코크제로 355CAN 4X6</v>
      </c>
      <c r="D34" s="9"/>
      <c r="E34" s="9">
        <v>100</v>
      </c>
      <c r="F34" s="2">
        <f>SUMIF('창고1(실사표)'!B:B,재고차이!A:A,'창고1(실사표)'!F:F)*D34+SUMIF('창고2(실사표)'!B:B,재고차이!A:A,'창고2(실사표)'!F:F)*D34+SUMIF('믹스(잔량실사표)'!B:B,재고차이!A:A,'믹스(잔량실사표)'!F:F)*D34</f>
        <v>0</v>
      </c>
      <c r="G34" s="2">
        <f>SUMIF('창고1(실사표)'!B:B,재고차이!A:A,'창고1(실사표)'!E:E)*E34+SUMIF('창고2(실사표)'!B:B,재고차이!A:A,'창고2(실사표)'!E:E)*E34+SUMIF('믹스(잔량실사표)'!B:B,재고차이!A:A,'믹스(잔량실사표)'!E:E)*E34</f>
        <v>0</v>
      </c>
      <c r="H3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3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34" s="2">
        <f t="shared" si="3"/>
        <v>0</v>
      </c>
      <c r="K34" s="2">
        <f>SUMIF(SAP!B:B,재고차이!B:B,SAP!Q:Q)</f>
        <v>0</v>
      </c>
      <c r="L34" s="2">
        <f>SUMIF(주간상차!A:A,재고차이!A:A,주간상차!E:E)</f>
        <v>0</v>
      </c>
      <c r="M34" s="37">
        <f t="shared" si="4"/>
        <v>0</v>
      </c>
      <c r="N34" s="41"/>
      <c r="O34" s="42"/>
      <c r="P34" s="125"/>
      <c r="Q34" s="8">
        <f>SUMIF(파손품!D:D,재고차이!B:B,파손품!I:I)+SUMIF(동파파손!D:D,재고차이!B:B,동파파손!I:I)</f>
        <v>0</v>
      </c>
      <c r="R34">
        <f>M34/E34</f>
        <v>0</v>
      </c>
    </row>
    <row r="35" spans="1:18" ht="17.25" customHeight="1" x14ac:dyDescent="0.3">
      <c r="A35" s="9">
        <v>6676</v>
      </c>
      <c r="B35" s="9" t="str">
        <f>VLOOKUP(A:A,제품등록!A:B,2,0)</f>
        <v>CC6676</v>
      </c>
      <c r="C35" s="31" t="str">
        <f>VLOOKUP(B35,제품등록!B:C,2,0)</f>
        <v>S)코카콜라 500PET 4X6</v>
      </c>
      <c r="D35" s="9">
        <v>40</v>
      </c>
      <c r="E35" s="9">
        <v>60</v>
      </c>
      <c r="F35" s="2">
        <f>SUMIF('창고1(실사표)'!B:B,재고차이!A:A,'창고1(실사표)'!F:F)*D35+SUMIF('창고2(실사표)'!B:B,재고차이!A:A,'창고2(실사표)'!F:F)*D35+SUMIF('믹스(잔량실사표)'!B:B,재고차이!A:A,'믹스(잔량실사표)'!F:F)*D35</f>
        <v>0</v>
      </c>
      <c r="G35" s="2">
        <f>SUMIF('창고1(실사표)'!B:B,재고차이!A:A,'창고1(실사표)'!E:E)*E35+SUMIF('창고2(실사표)'!B:B,재고차이!A:A,'창고2(실사표)'!E:E)*E35+SUMIF('믹스(잔량실사표)'!B:B,재고차이!A:A,'믹스(잔량실사표)'!E:E)*E35</f>
        <v>1380</v>
      </c>
      <c r="H35" s="2">
        <f>SUMIF('창고1(실사표)'!B:B,재고차이!A:A,'창고1(실사표)'!G:G)+SUMIF('창고2(실사표)'!B:B,재고차이!A:A,'창고2(실사표)'!G:G)++SUMIF('믹스(잔량실사표)'!B:B,재고차이!A:A,'믹스(잔량실사표)'!G:G)</f>
        <v>57</v>
      </c>
      <c r="I3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35" s="2">
        <f t="shared" si="3"/>
        <v>1437</v>
      </c>
      <c r="K35" s="2">
        <f>SUMIF(SAP!B:B,재고차이!B:B,SAP!Q:Q)</f>
        <v>717</v>
      </c>
      <c r="L35" s="2">
        <f>SUMIF(주간상차!A:A,재고차이!A:A,주간상차!E:E)</f>
        <v>720</v>
      </c>
      <c r="M35" s="37">
        <f t="shared" si="4"/>
        <v>0</v>
      </c>
      <c r="N35" s="41"/>
      <c r="O35" s="42"/>
      <c r="P35" s="125"/>
      <c r="Q35" s="8">
        <f>SUMIF(파손품!D:D,재고차이!B:B,파손품!I:I)+SUMIF(동파파손!D:D,재고차이!B:B,동파파손!I:I)</f>
        <v>0</v>
      </c>
      <c r="R35">
        <f t="shared" si="2"/>
        <v>0</v>
      </c>
    </row>
    <row r="36" spans="1:18" ht="17.25" hidden="1" customHeight="1" x14ac:dyDescent="0.3">
      <c r="A36" s="197">
        <v>454</v>
      </c>
      <c r="B36" s="9" t="str">
        <f>VLOOKUP(A:A,제품등록!A:B,2,0)</f>
        <v>CC0454</v>
      </c>
      <c r="C36" s="31" t="str">
        <f>VLOOKUP(B36,제품등록!B:C,2,0)</f>
        <v>코크 제로 레몬 355CAN 4X6</v>
      </c>
      <c r="D36" s="9"/>
      <c r="E36" s="9">
        <v>100</v>
      </c>
      <c r="F36" s="2">
        <f>SUMIF('창고1(실사표)'!B:B,재고차이!A:A,'창고1(실사표)'!F:F)*D36+SUMIF('창고2(실사표)'!B:B,재고차이!A:A,'창고2(실사표)'!F:F)*D36+SUMIF('믹스(잔량실사표)'!B:B,재고차이!A:A,'믹스(잔량실사표)'!F:F)*D36</f>
        <v>0</v>
      </c>
      <c r="G36" s="2">
        <f>SUMIF('창고1(실사표)'!B:B,재고차이!A:A,'창고1(실사표)'!E:E)*E36+SUMIF('창고2(실사표)'!B:B,재고차이!A:A,'창고2(실사표)'!E:E)*E36+SUMIF('믹스(잔량실사표)'!B:B,재고차이!A:A,'믹스(잔량실사표)'!E:E)*E36</f>
        <v>0</v>
      </c>
      <c r="H3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3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36" s="2">
        <f t="shared" si="3"/>
        <v>0</v>
      </c>
      <c r="K36" s="2">
        <f>SUMIF(SAP!B:B,재고차이!B:B,SAP!Q:Q)</f>
        <v>0</v>
      </c>
      <c r="L36" s="2">
        <f>SUMIF(주간상차!A:A,재고차이!A:A,주간상차!E:E)</f>
        <v>0</v>
      </c>
      <c r="M36" s="37">
        <f t="shared" si="4"/>
        <v>0</v>
      </c>
      <c r="N36" s="41"/>
      <c r="O36" s="42"/>
      <c r="P36" s="125"/>
      <c r="Q36" s="8">
        <f>SUMIF(파손품!D:D,재고차이!B:B,파손품!I:I)+SUMIF(동파파손!D:D,재고차이!B:B,동파파손!I:I)</f>
        <v>0</v>
      </c>
      <c r="R36">
        <f>M36/E36</f>
        <v>0</v>
      </c>
    </row>
    <row r="37" spans="1:18" ht="17.25" customHeight="1" x14ac:dyDescent="0.3">
      <c r="A37" s="9">
        <v>7923</v>
      </c>
      <c r="B37" s="9" t="str">
        <f>VLOOKUP(A:A,제품등록!A:B,2,0)</f>
        <v>CC7923</v>
      </c>
      <c r="C37" s="31" t="str">
        <f>VLOOKUP(B37,제품등록!B:C,2,0)</f>
        <v>S)코카-콜라1.5PET 2X6</v>
      </c>
      <c r="D37" s="9">
        <v>32</v>
      </c>
      <c r="E37" s="9">
        <v>44</v>
      </c>
      <c r="F37" s="2">
        <f>SUMIF('창고1(실사표)'!B:B,재고차이!A:A,'창고1(실사표)'!F:F)*D37+SUMIF('창고2(실사표)'!B:B,재고차이!A:A,'창고2(실사표)'!F:F)*D37+SUMIF('믹스(잔량실사표)'!B:B,재고차이!A:A,'믹스(잔량실사표)'!F:F)*D37</f>
        <v>0</v>
      </c>
      <c r="G37" s="2">
        <f>SUMIF('창고1(실사표)'!B:B,재고차이!A:A,'창고1(실사표)'!E:E)*E37+SUMIF('창고2(실사표)'!B:B,재고차이!A:A,'창고2(실사표)'!E:E)*E37+SUMIF('믹스(잔량실사표)'!B:B,재고차이!A:A,'믹스(잔량실사표)'!E:E)*E37</f>
        <v>1320</v>
      </c>
      <c r="H37" s="2">
        <f>SUMIF('창고1(실사표)'!B:B,재고차이!A:A,'창고1(실사표)'!G:G)+SUMIF('창고2(실사표)'!B:B,재고차이!A:A,'창고2(실사표)'!G:G)++SUMIF('믹스(잔량실사표)'!B:B,재고차이!A:A,'믹스(잔량실사표)'!G:G)</f>
        <v>14</v>
      </c>
      <c r="I3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37" s="2">
        <f t="shared" si="3"/>
        <v>1334</v>
      </c>
      <c r="K37" s="2">
        <f>SUMIF(SAP!B:B,재고차이!B:B,SAP!Q:Q)</f>
        <v>454</v>
      </c>
      <c r="L37" s="2">
        <f>SUMIF(주간상차!A:A,재고차이!A:A,주간상차!E:E)</f>
        <v>880</v>
      </c>
      <c r="M37" s="37">
        <f t="shared" si="4"/>
        <v>0</v>
      </c>
      <c r="N37" s="41"/>
      <c r="O37" s="42"/>
      <c r="P37" s="125"/>
      <c r="Q37" s="8">
        <f>SUMIF(파손품!D:D,재고차이!B:B,파손품!I:I)+SUMIF(동파파손!D:D,재고차이!B:B,동파파손!I:I)</f>
        <v>0</v>
      </c>
      <c r="R37">
        <f t="shared" si="2"/>
        <v>0</v>
      </c>
    </row>
    <row r="38" spans="1:18" ht="17.25" hidden="1" customHeight="1" x14ac:dyDescent="0.3">
      <c r="A38" s="9">
        <v>5778</v>
      </c>
      <c r="B38" s="9" t="str">
        <f>VLOOKUP(A:A,제품등록!A:B,2,0)</f>
        <v>CC5778</v>
      </c>
      <c r="C38" s="31" t="str">
        <f>VLOOKUP(B38,제품등록!B:C,2,0)</f>
        <v>코크제로 한류 355CAN 4X6</v>
      </c>
      <c r="D38" s="9"/>
      <c r="E38" s="9">
        <v>100</v>
      </c>
      <c r="F38" s="2">
        <f>SUMIF('창고1(실사표)'!B:B,재고차이!A:A,'창고1(실사표)'!F:F)*D38+SUMIF('창고2(실사표)'!B:B,재고차이!A:A,'창고2(실사표)'!F:F)*D38+SUMIF('믹스(잔량실사표)'!B:B,재고차이!A:A,'믹스(잔량실사표)'!F:F)*D38</f>
        <v>0</v>
      </c>
      <c r="G38" s="2">
        <f>SUMIF('창고1(실사표)'!B:B,재고차이!A:A,'창고1(실사표)'!E:E)*E38+SUMIF('창고2(실사표)'!B:B,재고차이!A:A,'창고2(실사표)'!E:E)*E38+SUMIF('믹스(잔량실사표)'!B:B,재고차이!A:A,'믹스(잔량실사표)'!E:E)*E38</f>
        <v>0</v>
      </c>
      <c r="H3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3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38" s="2">
        <f t="shared" si="3"/>
        <v>0</v>
      </c>
      <c r="K38" s="2">
        <f>SUMIF(SAP!B:B,재고차이!B:B,SAP!Q:Q)</f>
        <v>0</v>
      </c>
      <c r="L38" s="2">
        <f>SUMIF(주간상차!A:A,재고차이!A:A,주간상차!E:E)</f>
        <v>0</v>
      </c>
      <c r="M38" s="37">
        <f t="shared" si="4"/>
        <v>0</v>
      </c>
      <c r="N38" s="41"/>
      <c r="O38" s="42"/>
      <c r="P38" s="125"/>
      <c r="Q38" s="8">
        <f>SUMIF(파손품!D:D,재고차이!B:B,파손품!I:I)+SUMIF(동파파손!D:D,재고차이!B:B,동파파손!I:I)</f>
        <v>0</v>
      </c>
      <c r="R38">
        <f>M38/E38</f>
        <v>0</v>
      </c>
    </row>
    <row r="39" spans="1:18" ht="17.25" hidden="1" customHeight="1" x14ac:dyDescent="0.3">
      <c r="A39" s="9">
        <v>5770</v>
      </c>
      <c r="B39" s="9" t="str">
        <f>VLOOKUP(A:A,제품등록!A:B,2,0)</f>
        <v>CC5770</v>
      </c>
      <c r="C39" s="31" t="str">
        <f>VLOOKUP(B39,제품등록!B:C,2,0)</f>
        <v>코크제로 레전드 355CAN 4X6</v>
      </c>
      <c r="D39" s="9"/>
      <c r="E39" s="9">
        <v>100</v>
      </c>
      <c r="F39" s="2">
        <f>SUMIF('창고1(실사표)'!B:B,재고차이!A:A,'창고1(실사표)'!F:F)*D39+SUMIF('창고2(실사표)'!B:B,재고차이!A:A,'창고2(실사표)'!F:F)*D39+SUMIF('믹스(잔량실사표)'!B:B,재고차이!A:A,'믹스(잔량실사표)'!F:F)*D39</f>
        <v>0</v>
      </c>
      <c r="G39" s="2">
        <f>SUMIF('창고1(실사표)'!B:B,재고차이!A:A,'창고1(실사표)'!E:E)*E39+SUMIF('창고2(실사표)'!B:B,재고차이!A:A,'창고2(실사표)'!E:E)*E39+SUMIF('믹스(잔량실사표)'!B:B,재고차이!A:A,'믹스(잔량실사표)'!E:E)*E39</f>
        <v>0</v>
      </c>
      <c r="H39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3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39" s="2">
        <f t="shared" si="3"/>
        <v>0</v>
      </c>
      <c r="K39" s="2">
        <f>SUMIF(SAP!B:B,재고차이!B:B,SAP!Q:Q)</f>
        <v>0</v>
      </c>
      <c r="L39" s="2">
        <f>SUMIF(주간상차!A:A,재고차이!A:A,주간상차!E:E)</f>
        <v>0</v>
      </c>
      <c r="M39" s="37">
        <f t="shared" si="4"/>
        <v>0</v>
      </c>
      <c r="N39" s="41"/>
      <c r="O39" s="42"/>
      <c r="P39" s="125"/>
      <c r="Q39" s="8">
        <f>SUMIF(파손품!D:D,재고차이!B:B,파손품!I:I)+SUMIF(동파파손!D:D,재고차이!B:B,동파파손!I:I)</f>
        <v>0</v>
      </c>
      <c r="R39">
        <f t="shared" si="2"/>
        <v>0</v>
      </c>
    </row>
    <row r="40" spans="1:18" ht="17.25" hidden="1" customHeight="1" x14ac:dyDescent="0.3">
      <c r="A40" s="9">
        <v>7539</v>
      </c>
      <c r="B40" s="9" t="str">
        <f>VLOOKUP(A:A,제품등록!A:B,2,0)</f>
        <v>CC7539</v>
      </c>
      <c r="C40" s="31" t="str">
        <f>VLOOKUP(B40,제품등록!B:C,2,0)</f>
        <v>코크제로 스타더스트 355CAN 4X6</v>
      </c>
      <c r="D40" s="9"/>
      <c r="E40" s="9">
        <v>100</v>
      </c>
      <c r="F40" s="2">
        <f>SUMIF('창고1(실사표)'!B:B,재고차이!A:A,'창고1(실사표)'!F:F)*D40+SUMIF('창고2(실사표)'!B:B,재고차이!A:A,'창고2(실사표)'!F:F)*D40+SUMIF('믹스(잔량실사표)'!B:B,재고차이!A:A,'믹스(잔량실사표)'!F:F)*D40</f>
        <v>0</v>
      </c>
      <c r="G40" s="2">
        <f>SUMIF('창고1(실사표)'!B:B,재고차이!A:A,'창고1(실사표)'!E:E)*E40+SUMIF('창고2(실사표)'!B:B,재고차이!A:A,'창고2(실사표)'!E:E)*E40+SUMIF('믹스(잔량실사표)'!B:B,재고차이!A:A,'믹스(잔량실사표)'!E:E)*E40</f>
        <v>0</v>
      </c>
      <c r="H4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4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40" s="2">
        <f t="shared" si="3"/>
        <v>0</v>
      </c>
      <c r="K40" s="2">
        <f>SUMIF(SAP!B:B,재고차이!B:B,SAP!Q:Q)</f>
        <v>0</v>
      </c>
      <c r="L40" s="2">
        <f>SUMIF(주간상차!A:A,재고차이!A:A,주간상차!E:E)</f>
        <v>0</v>
      </c>
      <c r="M40" s="37">
        <f t="shared" si="4"/>
        <v>0</v>
      </c>
      <c r="N40" s="41"/>
      <c r="O40" s="42"/>
      <c r="P40" s="125"/>
      <c r="Q40" s="8">
        <f>SUMIF(파손품!D:D,재고차이!B:B,파손품!I:I)+SUMIF(동파파손!D:D,재고차이!B:B,동파파손!I:I)</f>
        <v>0</v>
      </c>
      <c r="R40">
        <f t="shared" si="2"/>
        <v>0</v>
      </c>
    </row>
    <row r="41" spans="1:18" x14ac:dyDescent="0.3">
      <c r="A41" s="9">
        <v>8273</v>
      </c>
      <c r="B41" s="9" t="str">
        <f>VLOOKUP(A:A,제품등록!A:B,2,0)</f>
        <v>CC8273</v>
      </c>
      <c r="C41" s="31" t="str">
        <f>VLOOKUP(B41,제품등록!B:C,2,0)</f>
        <v>코크 제로 250CAN 5X6</v>
      </c>
      <c r="D41" s="9">
        <v>99</v>
      </c>
      <c r="E41" s="9">
        <v>132</v>
      </c>
      <c r="F41" s="2">
        <f>SUMIF('창고1(실사표)'!B:B,재고차이!A:A,'창고1(실사표)'!F:F)*D41+SUMIF('창고2(실사표)'!B:B,재고차이!A:A,'창고2(실사표)'!F:F)*D41+SUMIF('믹스(잔량실사표)'!B:B,재고차이!A:A,'믹스(잔량실사표)'!F:F)*D41</f>
        <v>0</v>
      </c>
      <c r="G41" s="2">
        <f>SUMIF('창고1(실사표)'!B:B,재고차이!A:A,'창고1(실사표)'!E:E)*E41+SUMIF('창고2(실사표)'!B:B,재고차이!A:A,'창고2(실사표)'!E:E)*E41+SUMIF('믹스(잔량실사표)'!B:B,재고차이!A:A,'믹스(잔량실사표)'!E:E)*E41</f>
        <v>0</v>
      </c>
      <c r="H41" s="2">
        <f>SUMIF('창고1(실사표)'!B:B,재고차이!A:A,'창고1(실사표)'!G:G)+SUMIF('창고2(실사표)'!B:B,재고차이!A:A,'창고2(실사표)'!G:G)++SUMIF('믹스(잔량실사표)'!B:B,재고차이!A:A,'믹스(잔량실사표)'!G:G)</f>
        <v>14</v>
      </c>
      <c r="I4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41" s="2">
        <f t="shared" si="3"/>
        <v>14</v>
      </c>
      <c r="K41" s="2">
        <f>SUMIF(SAP!B:B,재고차이!B:B,SAP!Q:Q)</f>
        <v>14</v>
      </c>
      <c r="L41" s="2">
        <f>SUMIF(주간상차!A:A,재고차이!A:A,주간상차!E:E)</f>
        <v>0</v>
      </c>
      <c r="M41" s="37">
        <f t="shared" si="4"/>
        <v>0</v>
      </c>
      <c r="N41" s="41"/>
      <c r="O41" s="42"/>
      <c r="P41" s="125"/>
      <c r="Q41" s="8">
        <f>SUMIF(파손품!D:D,재고차이!B:B,파손품!I:I)+SUMIF(동파파손!D:D,재고차이!B:B,동파파손!I:I)</f>
        <v>0</v>
      </c>
      <c r="R41">
        <f t="shared" si="2"/>
        <v>0</v>
      </c>
    </row>
    <row r="42" spans="1:18" hidden="1" x14ac:dyDescent="0.3">
      <c r="A42" s="9">
        <v>8453</v>
      </c>
      <c r="B42" s="9" t="str">
        <f>VLOOKUP(A:A,제품등록!A:B,2,0)</f>
        <v>CC8453</v>
      </c>
      <c r="C42" s="31" t="str">
        <f>VLOOKUP(B42,제품등록!B:C,2,0)</f>
        <v>코크제로 드림월드 355CAN 4X6</v>
      </c>
      <c r="D42" s="9"/>
      <c r="E42" s="9">
        <v>100</v>
      </c>
      <c r="F42" s="2">
        <f>SUMIF('창고1(실사표)'!B:B,재고차이!A:A,'창고1(실사표)'!F:F)*D42+SUMIF('창고2(실사표)'!B:B,재고차이!A:A,'창고2(실사표)'!F:F)*D42+SUMIF('믹스(잔량실사표)'!B:B,재고차이!A:A,'믹스(잔량실사표)'!F:F)*D42</f>
        <v>0</v>
      </c>
      <c r="G42" s="2">
        <f>SUMIF('창고1(실사표)'!B:B,재고차이!A:A,'창고1(실사표)'!E:E)*E42+SUMIF('창고2(실사표)'!B:B,재고차이!A:A,'창고2(실사표)'!E:E)*E42+SUMIF('믹스(잔량실사표)'!B:B,재고차이!A:A,'믹스(잔량실사표)'!E:E)*E42</f>
        <v>0</v>
      </c>
      <c r="H42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4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42" s="2">
        <f t="shared" ref="J42:J73" si="9">SUM(F42:I42)</f>
        <v>0</v>
      </c>
      <c r="K42" s="2">
        <f>SUMIF(SAP!B:B,재고차이!B:B,SAP!Q:Q)</f>
        <v>0</v>
      </c>
      <c r="L42" s="2">
        <f>SUMIF(주간상차!A:A,재고차이!A:A,주간상차!E:E)</f>
        <v>0</v>
      </c>
      <c r="M42" s="37">
        <f t="shared" ref="M42:M73" si="10">J42-K42-L42-N42+O42+Q42</f>
        <v>0</v>
      </c>
      <c r="N42" s="41"/>
      <c r="O42" s="42"/>
      <c r="P42" s="125"/>
      <c r="Q42" s="8">
        <f>SUMIF(파손품!D:D,재고차이!B:B,파손품!I:I)+SUMIF(동파파손!D:D,재고차이!B:B,동파파손!I:I)</f>
        <v>0</v>
      </c>
      <c r="R42">
        <f t="shared" si="2"/>
        <v>0</v>
      </c>
    </row>
    <row r="43" spans="1:18" ht="18.75" hidden="1" customHeight="1" x14ac:dyDescent="0.3">
      <c r="A43" s="9">
        <v>7984</v>
      </c>
      <c r="B43" s="9" t="str">
        <f>VLOOKUP(A:A,제품등록!A:B,2,0)</f>
        <v>DP7984</v>
      </c>
      <c r="C43" s="31" t="str">
        <f>VLOOKUP(B43,제품등록!B:C,2,0)</f>
        <v>닥터 페퍼 355CAN X24</v>
      </c>
      <c r="D43" s="9">
        <v>88</v>
      </c>
      <c r="E43" s="9">
        <v>100</v>
      </c>
      <c r="F43" s="2">
        <f>SUMIF('창고1(실사표)'!B:B,재고차이!A:A,'창고1(실사표)'!F:F)*D43+SUMIF('창고2(실사표)'!B:B,재고차이!A:A,'창고2(실사표)'!F:F)*D43+SUMIF('믹스(잔량실사표)'!B:B,재고차이!A:A,'믹스(잔량실사표)'!F:F)*D43</f>
        <v>0</v>
      </c>
      <c r="G43" s="2">
        <f>SUMIF('창고1(실사표)'!B:B,재고차이!A:A,'창고1(실사표)'!E:E)*E43+SUMIF('창고2(실사표)'!B:B,재고차이!A:A,'창고2(실사표)'!E:E)*E43+SUMIF('믹스(잔량실사표)'!B:B,재고차이!A:A,'믹스(잔량실사표)'!E:E)*E43</f>
        <v>0</v>
      </c>
      <c r="H43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4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43" s="2">
        <f t="shared" si="9"/>
        <v>0</v>
      </c>
      <c r="K43" s="2">
        <f>SUMIF(SAP!B:B,재고차이!B:B,SAP!Q:Q)</f>
        <v>0</v>
      </c>
      <c r="L43" s="2">
        <f>SUMIF(주간상차!A:A,재고차이!A:A,주간상차!E:E)</f>
        <v>0</v>
      </c>
      <c r="M43" s="37">
        <f t="shared" si="10"/>
        <v>0</v>
      </c>
      <c r="N43" s="41"/>
      <c r="O43" s="42"/>
      <c r="P43" s="125"/>
      <c r="Q43" s="8">
        <f>SUMIF(파손품!D:D,재고차이!B:B,파손품!I:I)+SUMIF(동파파손!D:D,재고차이!B:B,동파파손!I:I)</f>
        <v>0</v>
      </c>
      <c r="R43">
        <f t="shared" si="2"/>
        <v>0</v>
      </c>
    </row>
    <row r="44" spans="1:18" ht="18.75" customHeight="1" x14ac:dyDescent="0.3">
      <c r="A44" s="9">
        <v>8429</v>
      </c>
      <c r="B44" s="9" t="str">
        <f>VLOOKUP(A:A,제품등록!A:B,2,0)</f>
        <v>CC8429</v>
      </c>
      <c r="C44" s="31" t="str">
        <f>VLOOKUP(B44,제품등록!B:C,2,0)</f>
        <v>코크제로 1.5PET 2X6</v>
      </c>
      <c r="D44" s="9">
        <v>32</v>
      </c>
      <c r="E44" s="9">
        <v>40</v>
      </c>
      <c r="F44" s="2">
        <f>SUMIF('창고1(실사표)'!B:B,재고차이!A:A,'창고1(실사표)'!F:F)*D44+SUMIF('창고2(실사표)'!B:B,재고차이!A:A,'창고2(실사표)'!F:F)*D44+SUMIF('믹스(잔량실사표)'!B:B,재고차이!A:A,'믹스(잔량실사표)'!F:F)*D44</f>
        <v>0</v>
      </c>
      <c r="G44" s="2">
        <f>SUMIF('창고1(실사표)'!B:B,재고차이!A:A,'창고1(실사표)'!E:E)*E44+SUMIF('창고2(실사표)'!B:B,재고차이!A:A,'창고2(실사표)'!E:E)*E44+SUMIF('믹스(잔량실사표)'!B:B,재고차이!A:A,'믹스(잔량실사표)'!E:E)*E44</f>
        <v>1320</v>
      </c>
      <c r="H44" s="2">
        <f>SUMIF('창고1(실사표)'!B:B,재고차이!A:A,'창고1(실사표)'!G:G)+SUMIF('창고2(실사표)'!B:B,재고차이!A:A,'창고2(실사표)'!G:G)++SUMIF('믹스(잔량실사표)'!B:B,재고차이!A:A,'믹스(잔량실사표)'!G:G)</f>
        <v>8</v>
      </c>
      <c r="I4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44" s="2">
        <f t="shared" ref="J44" si="11">SUM(F44:I44)</f>
        <v>1328</v>
      </c>
      <c r="K44" s="2">
        <f>SUMIF(SAP!B:B,재고차이!B:B,SAP!Q:Q)</f>
        <v>168</v>
      </c>
      <c r="L44" s="2">
        <f>SUMIF(주간상차!A:A,재고차이!A:A,주간상차!E:E)</f>
        <v>1160</v>
      </c>
      <c r="M44" s="37">
        <f t="shared" ref="M44" si="12">J44-K44-L44-N44+O44+Q44</f>
        <v>0</v>
      </c>
      <c r="N44" s="41"/>
      <c r="O44" s="42"/>
      <c r="P44" s="125"/>
      <c r="Q44" s="8">
        <f>SUMIF(파손품!D:D,재고차이!B:B,파손품!I:I)+SUMIF(동파파손!D:D,재고차이!B:B,동파파손!I:I)</f>
        <v>0</v>
      </c>
      <c r="R44">
        <f t="shared" ref="R44" si="13">M44/E44</f>
        <v>0</v>
      </c>
    </row>
    <row r="45" spans="1:18" ht="19.5" customHeight="1" x14ac:dyDescent="0.3">
      <c r="A45" s="9">
        <v>4112</v>
      </c>
      <c r="B45" s="9" t="str">
        <f>VLOOKUP(A:A,제품등록!A:B,2,0)</f>
        <v>CP4112</v>
      </c>
      <c r="C45" s="31" t="str">
        <f>VLOOKUP(B45,제품등록!B:C,2,0)</f>
        <v>S)코코팜 피치핑크 240CAN 5X6</v>
      </c>
      <c r="D45" s="9"/>
      <c r="E45" s="9">
        <v>132</v>
      </c>
      <c r="F45" s="2">
        <f>SUMIF('창고1(실사표)'!B:B,재고차이!A:A,'창고1(실사표)'!F:F)*D45+SUMIF('창고2(실사표)'!B:B,재고차이!A:A,'창고2(실사표)'!F:F)*D45+SUMIF('믹스(잔량실사표)'!B:B,재고차이!A:A,'믹스(잔량실사표)'!F:F)*D45</f>
        <v>0</v>
      </c>
      <c r="G45" s="2">
        <f>SUMIF('창고1(실사표)'!B:B,재고차이!A:A,'창고1(실사표)'!E:E)*E45+SUMIF('창고2(실사표)'!B:B,재고차이!A:A,'창고2(실사표)'!E:E)*E45+SUMIF('믹스(잔량실사표)'!B:B,재고차이!A:A,'믹스(잔량실사표)'!E:E)*E45</f>
        <v>132</v>
      </c>
      <c r="H45" s="2">
        <f>SUMIF('창고1(실사표)'!B:B,재고차이!A:A,'창고1(실사표)'!G:G)+SUMIF('창고2(실사표)'!B:B,재고차이!A:A,'창고2(실사표)'!G:G)++SUMIF('믹스(잔량실사표)'!B:B,재고차이!A:A,'믹스(잔량실사표)'!G:G)</f>
        <v>87</v>
      </c>
      <c r="I4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45" s="2">
        <f t="shared" si="9"/>
        <v>219</v>
      </c>
      <c r="K45" s="2">
        <f>SUMIF(SAP!B:B,재고차이!B:B,SAP!Q:Q)</f>
        <v>219</v>
      </c>
      <c r="L45" s="2">
        <f>SUMIF(주간상차!A:A,재고차이!A:A,주간상차!E:E)</f>
        <v>0</v>
      </c>
      <c r="M45" s="37">
        <f t="shared" si="10"/>
        <v>0</v>
      </c>
      <c r="N45" s="41"/>
      <c r="O45" s="42"/>
      <c r="P45" s="125"/>
      <c r="Q45" s="8">
        <f>SUMIF(파손품!D:D,재고차이!B:B,파손품!I:I)+SUMIF(동파파손!D:D,재고차이!B:B,동파파손!I:I)</f>
        <v>0</v>
      </c>
      <c r="R45">
        <f t="shared" si="2"/>
        <v>0</v>
      </c>
    </row>
    <row r="46" spans="1:18" ht="18.75" hidden="1" customHeight="1" x14ac:dyDescent="0.3">
      <c r="A46" s="9">
        <v>4947</v>
      </c>
      <c r="B46" s="9" t="str">
        <f>VLOOKUP(A:A,제품등록!A:B,2,0)</f>
        <v>FT4947</v>
      </c>
      <c r="C46" s="31" t="str">
        <f>VLOOKUP(B46,제품등록!B:C,2,0)</f>
        <v>환타오렌EDLP 355C 4X6</v>
      </c>
      <c r="D46" s="9">
        <v>88</v>
      </c>
      <c r="E46" s="9">
        <v>100</v>
      </c>
      <c r="F46" s="2">
        <f>SUMIF('창고1(실사표)'!B:B,재고차이!A:A,'창고1(실사표)'!F:F)*D46+SUMIF('창고2(실사표)'!B:B,재고차이!A:A,'창고2(실사표)'!F:F)*D46+SUMIF('믹스(잔량실사표)'!B:B,재고차이!A:A,'믹스(잔량실사표)'!F:F)*D46</f>
        <v>0</v>
      </c>
      <c r="G46" s="2">
        <f>SUMIF('창고1(실사표)'!B:B,재고차이!A:A,'창고1(실사표)'!E:E)*E46+SUMIF('창고2(실사표)'!B:B,재고차이!A:A,'창고2(실사표)'!E:E)*E46+SUMIF('믹스(잔량실사표)'!B:B,재고차이!A:A,'믹스(잔량실사표)'!E:E)*E46</f>
        <v>0</v>
      </c>
      <c r="H4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4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46" s="2">
        <f t="shared" si="9"/>
        <v>0</v>
      </c>
      <c r="K46" s="2">
        <f>SUMIF(SAP!B:B,재고차이!B:B,SAP!Q:Q)</f>
        <v>0</v>
      </c>
      <c r="L46" s="2">
        <f>SUMIF(주간상차!A:A,재고차이!A:A,주간상차!E:E)</f>
        <v>0</v>
      </c>
      <c r="M46" s="37">
        <f t="shared" si="10"/>
        <v>0</v>
      </c>
      <c r="N46" s="41"/>
      <c r="O46" s="42"/>
      <c r="P46" s="125"/>
      <c r="Q46" s="8">
        <f>SUMIF(파손품!D:D,재고차이!B:B,파손품!I:I)+SUMIF(동파파손!D:D,재고차이!B:B,동파파손!I:I)</f>
        <v>0</v>
      </c>
      <c r="R46">
        <f>M46/E46</f>
        <v>0</v>
      </c>
    </row>
    <row r="47" spans="1:18" ht="18.75" customHeight="1" x14ac:dyDescent="0.3">
      <c r="A47" s="9">
        <v>4125</v>
      </c>
      <c r="B47" s="9" t="str">
        <f>VLOOKUP(A:A,제품등록!A:B,2,0)</f>
        <v>CP4125</v>
      </c>
      <c r="C47" s="31" t="str">
        <f>VLOOKUP(B47,제품등록!B:C,2,0)</f>
        <v>S)코코팜 포도 340CAN 4X6</v>
      </c>
      <c r="D47" s="9"/>
      <c r="E47" s="9">
        <v>100</v>
      </c>
      <c r="F47" s="2">
        <f>SUMIF('창고1(실사표)'!B:B,재고차이!A:A,'창고1(실사표)'!F:F)*D47+SUMIF('창고2(실사표)'!B:B,재고차이!A:A,'창고2(실사표)'!F:F)*D47+SUMIF('믹스(잔량실사표)'!B:B,재고차이!A:A,'믹스(잔량실사표)'!F:F)*D47</f>
        <v>0</v>
      </c>
      <c r="G47" s="2">
        <f>SUMIF('창고1(실사표)'!B:B,재고차이!A:A,'창고1(실사표)'!E:E)*E47+SUMIF('창고2(실사표)'!B:B,재고차이!A:A,'창고2(실사표)'!E:E)*E47+SUMIF('믹스(잔량실사표)'!B:B,재고차이!A:A,'믹스(잔량실사표)'!E:E)*E47</f>
        <v>600</v>
      </c>
      <c r="H47" s="2">
        <f>SUMIF('창고1(실사표)'!B:B,재고차이!A:A,'창고1(실사표)'!G:G)+SUMIF('창고2(실사표)'!B:B,재고차이!A:A,'창고2(실사표)'!G:G)++SUMIF('믹스(잔량실사표)'!B:B,재고차이!A:A,'믹스(잔량실사표)'!G:G)</f>
        <v>21</v>
      </c>
      <c r="I4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47" s="2">
        <f t="shared" si="9"/>
        <v>621</v>
      </c>
      <c r="K47" s="2">
        <f>SUMIF(SAP!B:B,재고차이!B:B,SAP!Q:Q)</f>
        <v>621</v>
      </c>
      <c r="L47" s="2">
        <f>SUMIF(주간상차!A:A,재고차이!A:A,주간상차!E:E)</f>
        <v>0</v>
      </c>
      <c r="M47" s="37">
        <f t="shared" si="10"/>
        <v>0</v>
      </c>
      <c r="N47" s="41"/>
      <c r="O47" s="42"/>
      <c r="P47" s="125"/>
      <c r="Q47" s="8">
        <f>SUMIF(파손품!D:D,재고차이!B:B,파손품!I:I)+SUMIF(동파파손!D:D,재고차이!B:B,동파파손!I:I)</f>
        <v>0</v>
      </c>
      <c r="R47">
        <f t="shared" si="2"/>
        <v>0</v>
      </c>
    </row>
    <row r="48" spans="1:18" ht="18.75" hidden="1" customHeight="1" x14ac:dyDescent="0.3">
      <c r="A48" s="9">
        <v>2534</v>
      </c>
      <c r="B48" s="9" t="str">
        <f>VLOOKUP(A:A,제품등록!A:B,2,0)</f>
        <v>FT2534</v>
      </c>
      <c r="C48" s="31" t="str">
        <f>VLOOKUP(B48,제품등록!B:C,2,0)</f>
        <v>환타 제로 파인 355CAN 4X6</v>
      </c>
      <c r="D48" s="9">
        <v>88</v>
      </c>
      <c r="E48" s="9">
        <v>100</v>
      </c>
      <c r="F48" s="2">
        <f>SUMIF('창고1(실사표)'!B:B,재고차이!A:A,'창고1(실사표)'!F:F)*D48+SUMIF('창고2(실사표)'!B:B,재고차이!A:A,'창고2(실사표)'!F:F)*D48+SUMIF('믹스(잔량실사표)'!B:B,재고차이!A:A,'믹스(잔량실사표)'!F:F)*D48</f>
        <v>0</v>
      </c>
      <c r="G48" s="2">
        <f>SUMIF('창고1(실사표)'!B:B,재고차이!A:A,'창고1(실사표)'!E:E)*E48+SUMIF('창고2(실사표)'!B:B,재고차이!A:A,'창고2(실사표)'!E:E)*E48+SUMIF('믹스(잔량실사표)'!B:B,재고차이!A:A,'믹스(잔량실사표)'!E:E)*E48</f>
        <v>0</v>
      </c>
      <c r="H4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4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48" s="2">
        <f t="shared" si="9"/>
        <v>0</v>
      </c>
      <c r="K48" s="2">
        <f>SUMIF(SAP!B:B,재고차이!B:B,SAP!Q:Q)</f>
        <v>0</v>
      </c>
      <c r="L48" s="2">
        <f>SUMIF(주간상차!A:A,재고차이!A:A,주간상차!E:E)</f>
        <v>0</v>
      </c>
      <c r="M48" s="37">
        <f t="shared" si="10"/>
        <v>0</v>
      </c>
      <c r="N48" s="41"/>
      <c r="O48" s="42"/>
      <c r="P48" s="125"/>
      <c r="Q48" s="8">
        <f>SUMIF(파손품!D:D,재고차이!B:B,파손품!I:I)+SUMIF(동파파손!D:D,재고차이!B:B,동파파손!I:I)</f>
        <v>0</v>
      </c>
      <c r="R48">
        <f t="shared" si="2"/>
        <v>0</v>
      </c>
    </row>
    <row r="49" spans="1:18" ht="18.75" customHeight="1" x14ac:dyDescent="0.3">
      <c r="A49" s="9">
        <v>4281</v>
      </c>
      <c r="B49" s="9" t="str">
        <f>VLOOKUP(A:A,제품등록!A:B,2,0)</f>
        <v>CP4281</v>
      </c>
      <c r="C49" s="31" t="str">
        <f>VLOOKUP(B49,제품등록!B:C,2,0)</f>
        <v>S)코코팜 화이트 240CAN 5X6</v>
      </c>
      <c r="D49" s="9"/>
      <c r="E49" s="9">
        <v>132</v>
      </c>
      <c r="F49" s="2">
        <f>SUMIF('창고1(실사표)'!B:B,재고차이!A:A,'창고1(실사표)'!F:F)*D49+SUMIF('창고2(실사표)'!B:B,재고차이!A:A,'창고2(실사표)'!F:F)*D49+SUMIF('믹스(잔량실사표)'!B:B,재고차이!A:A,'믹스(잔량실사표)'!F:F)*D49</f>
        <v>0</v>
      </c>
      <c r="G49" s="2">
        <f>SUMIF('창고1(실사표)'!B:B,재고차이!A:A,'창고1(실사표)'!E:E)*E49+SUMIF('창고2(실사표)'!B:B,재고차이!A:A,'창고2(실사표)'!E:E)*E49+SUMIF('믹스(잔량실사표)'!B:B,재고차이!A:A,'믹스(잔량실사표)'!E:E)*E49</f>
        <v>792</v>
      </c>
      <c r="H49" s="2">
        <f>SUMIF('창고1(실사표)'!B:B,재고차이!A:A,'창고1(실사표)'!G:G)+SUMIF('창고2(실사표)'!B:B,재고차이!A:A,'창고2(실사표)'!G:G)++SUMIF('믹스(잔량실사표)'!B:B,재고차이!A:A,'믹스(잔량실사표)'!G:G)</f>
        <v>92</v>
      </c>
      <c r="I4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49" s="2">
        <f t="shared" si="9"/>
        <v>884</v>
      </c>
      <c r="K49" s="2">
        <f>SUMIF(SAP!B:B,재고차이!B:B,SAP!Q:Q)</f>
        <v>884</v>
      </c>
      <c r="L49" s="2">
        <f>SUMIF(주간상차!A:A,재고차이!A:A,주간상차!E:E)</f>
        <v>0</v>
      </c>
      <c r="M49" s="37">
        <f t="shared" si="10"/>
        <v>0</v>
      </c>
      <c r="N49" s="41"/>
      <c r="O49" s="42"/>
      <c r="P49" s="125"/>
      <c r="Q49" s="8">
        <f>SUMIF(파손품!D:D,재고차이!B:B,파손품!I:I)+SUMIF(동파파손!D:D,재고차이!B:B,동파파손!I:I)</f>
        <v>0</v>
      </c>
      <c r="R49">
        <f>M49/E49</f>
        <v>0</v>
      </c>
    </row>
    <row r="50" spans="1:18" ht="18.75" hidden="1" customHeight="1" x14ac:dyDescent="0.3">
      <c r="A50" s="9">
        <v>2536</v>
      </c>
      <c r="B50" s="9" t="str">
        <f>VLOOKUP(A:A,제품등록!A:B,2,0)</f>
        <v>FT2536</v>
      </c>
      <c r="C50" s="31" t="str">
        <f>VLOOKUP(B50,제품등록!B:C,2,0)</f>
        <v>환타 제로 오렌지 355CAN 4X6</v>
      </c>
      <c r="D50" s="9">
        <v>88</v>
      </c>
      <c r="E50" s="9">
        <v>100</v>
      </c>
      <c r="F50" s="2">
        <f>SUMIF('창고1(실사표)'!B:B,재고차이!A:A,'창고1(실사표)'!F:F)*D50+SUMIF('창고2(실사표)'!B:B,재고차이!A:A,'창고2(실사표)'!F:F)*D50+SUMIF('믹스(잔량실사표)'!B:B,재고차이!A:A,'믹스(잔량실사표)'!F:F)*D50</f>
        <v>0</v>
      </c>
      <c r="G50" s="2">
        <f>SUMIF('창고1(실사표)'!B:B,재고차이!A:A,'창고1(실사표)'!E:E)*E50+SUMIF('창고2(실사표)'!B:B,재고차이!A:A,'창고2(실사표)'!E:E)*E50+SUMIF('믹스(잔량실사표)'!B:B,재고차이!A:A,'믹스(잔량실사표)'!E:E)*E50</f>
        <v>0</v>
      </c>
      <c r="H5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5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50" s="2">
        <f t="shared" si="9"/>
        <v>0</v>
      </c>
      <c r="K50" s="2">
        <f>SUMIF(SAP!B:B,재고차이!B:B,SAP!Q:Q)</f>
        <v>0</v>
      </c>
      <c r="L50" s="2">
        <f>SUMIF(주간상차!A:A,재고차이!A:A,주간상차!E:E)</f>
        <v>0</v>
      </c>
      <c r="M50" s="37">
        <f t="shared" si="10"/>
        <v>0</v>
      </c>
      <c r="N50" s="41"/>
      <c r="O50" s="42"/>
      <c r="P50" s="125"/>
      <c r="Q50" s="8">
        <f>SUMIF(파손품!D:D,재고차이!B:B,파손품!I:I)+SUMIF(동파파손!D:D,재고차이!B:B,동파파손!I:I)</f>
        <v>0</v>
      </c>
      <c r="R50">
        <f>M50/E50</f>
        <v>0</v>
      </c>
    </row>
    <row r="51" spans="1:18" ht="18.75" customHeight="1" x14ac:dyDescent="0.3">
      <c r="A51" s="9" t="s">
        <v>2696</v>
      </c>
      <c r="B51" s="9" t="str">
        <f>VLOOKUP(A:A,제품등록!A:B,2,0)</f>
        <v>DP0439</v>
      </c>
      <c r="C51" s="31" t="str">
        <f>VLOOKUP(B51,제품등록!B:C,2,0)</f>
        <v>S)닥터페퍼제로 스트로베리&amp;크림 350CAN4X6</v>
      </c>
      <c r="D51" s="9">
        <v>88</v>
      </c>
      <c r="E51" s="9">
        <v>100</v>
      </c>
      <c r="F51" s="2">
        <f>SUMIF('창고1(실사표)'!B:B,재고차이!A:A,'창고1(실사표)'!F:F)*D51+SUMIF('창고2(실사표)'!B:B,재고차이!A:A,'창고2(실사표)'!F:F)*D51+SUMIF('믹스(잔량실사표)'!B:B,재고차이!A:A,'믹스(잔량실사표)'!F:F)*D51</f>
        <v>0</v>
      </c>
      <c r="G51" s="2">
        <f>SUMIF('창고1(실사표)'!B:B,재고차이!A:A,'창고1(실사표)'!E:E)*E51+SUMIF('창고2(실사표)'!B:B,재고차이!A:A,'창고2(실사표)'!E:E)*E51+SUMIF('믹스(잔량실사표)'!B:B,재고차이!A:A,'믹스(잔량실사표)'!E:E)*E51</f>
        <v>1100</v>
      </c>
      <c r="H51" s="2">
        <f>SUMIF('창고1(실사표)'!B:B,재고차이!A:A,'창고1(실사표)'!G:G)+SUMIF('창고2(실사표)'!B:B,재고차이!A:A,'창고2(실사표)'!G:G)++SUMIF('믹스(잔량실사표)'!B:B,재고차이!A:A,'믹스(잔량실사표)'!G:G)</f>
        <v>9</v>
      </c>
      <c r="I5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51" s="2">
        <f t="shared" si="9"/>
        <v>1109</v>
      </c>
      <c r="K51" s="2">
        <f>SUMIF(SAP!B:B,재고차이!B:B,SAP!Q:Q)</f>
        <v>809</v>
      </c>
      <c r="L51" s="2">
        <f>SUMIF(주간상차!A:A,재고차이!A:A,주간상차!E:E)</f>
        <v>300</v>
      </c>
      <c r="M51" s="37">
        <f t="shared" si="10"/>
        <v>0</v>
      </c>
      <c r="N51" s="41"/>
      <c r="O51" s="42"/>
      <c r="P51" s="125"/>
      <c r="Q51" s="8">
        <f>SUMIF(파손품!D:D,재고차이!B:B,파손품!I:I)+SUMIF(동파파손!D:D,재고차이!B:B,동파파손!I:I)</f>
        <v>0</v>
      </c>
      <c r="R51">
        <f t="shared" si="2"/>
        <v>0</v>
      </c>
    </row>
    <row r="52" spans="1:18" ht="18.75" hidden="1" customHeight="1" x14ac:dyDescent="0.3">
      <c r="A52" s="9">
        <v>6195</v>
      </c>
      <c r="B52" s="9" t="str">
        <f>VLOOKUP(A:A,제품등록!A:B,2,0)</f>
        <v>CC6195</v>
      </c>
      <c r="C52" s="31" t="str">
        <f>VLOOKUP(B52,제품등록!B:C,2,0)</f>
        <v>보100)코카콜라 355RGB X24</v>
      </c>
      <c r="D52" s="9">
        <v>36</v>
      </c>
      <c r="E52" s="9">
        <v>36</v>
      </c>
      <c r="F52" s="2">
        <f>SUMIF('창고1(실사표)'!B:B,재고차이!A:A,'창고1(실사표)'!F:F)*D52+SUMIF('창고2(실사표)'!B:B,재고차이!A:A,'창고2(실사표)'!F:F)*D52+SUMIF('믹스(잔량실사표)'!B:B,재고차이!A:A,'믹스(잔량실사표)'!F:F)*D52</f>
        <v>0</v>
      </c>
      <c r="G52" s="2">
        <f>SUMIF('창고1(실사표)'!B:B,재고차이!A:A,'창고1(실사표)'!E:E)*E52+SUMIF('창고2(실사표)'!B:B,재고차이!A:A,'창고2(실사표)'!E:E)*E52+SUMIF('믹스(잔량실사표)'!B:B,재고차이!A:A,'믹스(잔량실사표)'!E:E)*E52</f>
        <v>0</v>
      </c>
      <c r="H52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5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52" s="2">
        <f t="shared" si="9"/>
        <v>0</v>
      </c>
      <c r="K52" s="2">
        <f>SUMIF(SAP!B:B,재고차이!B:B,SAP!Q:Q)</f>
        <v>0</v>
      </c>
      <c r="L52" s="2">
        <f>SUMIF(주간상차!A:A,재고차이!A:A,주간상차!E:E)</f>
        <v>0</v>
      </c>
      <c r="M52" s="37">
        <f t="shared" si="10"/>
        <v>0</v>
      </c>
      <c r="N52" s="41"/>
      <c r="O52" s="42"/>
      <c r="P52" s="125"/>
      <c r="Q52" s="8">
        <f>SUMIF(파손품!D:D,재고차이!B:B,파손품!I:I)+SUMIF(동파파손!D:D,재고차이!B:B,동파파손!I:I)</f>
        <v>0</v>
      </c>
      <c r="R52">
        <f t="shared" si="2"/>
        <v>0</v>
      </c>
    </row>
    <row r="53" spans="1:18" ht="18.75" customHeight="1" x14ac:dyDescent="0.3">
      <c r="A53" s="9">
        <v>7988</v>
      </c>
      <c r="B53" s="9" t="str">
        <f>VLOOKUP(A:A,제품등록!A:B,2,0)</f>
        <v>DP7988</v>
      </c>
      <c r="C53" s="31" t="str">
        <f>VLOOKUP(B53,제품등록!B:C,2,0)</f>
        <v>닥터페퍼 500PET 4X6</v>
      </c>
      <c r="D53" s="9"/>
      <c r="E53" s="9">
        <v>60</v>
      </c>
      <c r="F53" s="2">
        <f>SUMIF('창고1(실사표)'!B:B,재고차이!A:A,'창고1(실사표)'!F:F)*D53+SUMIF('창고2(실사표)'!B:B,재고차이!A:A,'창고2(실사표)'!F:F)*D53+SUMIF('믹스(잔량실사표)'!B:B,재고차이!A:A,'믹스(잔량실사표)'!F:F)*D53</f>
        <v>0</v>
      </c>
      <c r="G53" s="2">
        <f>SUMIF('창고1(실사표)'!B:B,재고차이!A:A,'창고1(실사표)'!E:E)*E53+SUMIF('창고2(실사표)'!B:B,재고차이!A:A,'창고2(실사표)'!E:E)*E53+SUMIF('믹스(잔량실사표)'!B:B,재고차이!A:A,'믹스(잔량실사표)'!E:E)*E53</f>
        <v>1680</v>
      </c>
      <c r="H53" s="2">
        <f>SUMIF('창고1(실사표)'!B:B,재고차이!A:A,'창고1(실사표)'!G:G)+SUMIF('창고2(실사표)'!B:B,재고차이!A:A,'창고2(실사표)'!G:G)++SUMIF('믹스(잔량실사표)'!B:B,재고차이!A:A,'믹스(잔량실사표)'!G:G)</f>
        <v>28</v>
      </c>
      <c r="I5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53" s="2">
        <f t="shared" si="9"/>
        <v>1708</v>
      </c>
      <c r="K53" s="2">
        <f>SUMIF(SAP!B:B,재고차이!B:B,SAP!Q:Q)</f>
        <v>1708</v>
      </c>
      <c r="L53" s="2">
        <f>SUMIF(주간상차!A:A,재고차이!A:A,주간상차!E:E)</f>
        <v>0</v>
      </c>
      <c r="M53" s="37">
        <f t="shared" si="10"/>
        <v>0</v>
      </c>
      <c r="N53" s="41"/>
      <c r="O53" s="42"/>
      <c r="P53" s="125"/>
      <c r="Q53" s="8">
        <f>SUMIF(파손품!D:D,재고차이!B:B,파손품!I:I)+SUMIF(동파파손!D:D,재고차이!B:B,동파파손!I:I)</f>
        <v>0</v>
      </c>
      <c r="R53">
        <f t="shared" si="2"/>
        <v>0</v>
      </c>
    </row>
    <row r="54" spans="1:18" ht="18.75" customHeight="1" x14ac:dyDescent="0.3">
      <c r="A54" s="9">
        <v>7994</v>
      </c>
      <c r="B54" s="9" t="str">
        <f>VLOOKUP(A:A,제품등록!A:B,2,0)</f>
        <v>DP7994</v>
      </c>
      <c r="C54" s="31" t="str">
        <f>VLOOKUP(B54,제품등록!B:C,2,0)</f>
        <v>닥터페퍼 제로 350CAN 4X6</v>
      </c>
      <c r="D54" s="9">
        <v>88</v>
      </c>
      <c r="E54" s="9">
        <v>100</v>
      </c>
      <c r="F54" s="2">
        <f>SUMIF('창고1(실사표)'!B:B,재고차이!A:A,'창고1(실사표)'!F:F)*D54+SUMIF('창고2(실사표)'!B:B,재고차이!A:A,'창고2(실사표)'!F:F)*D54+SUMIF('믹스(잔량실사표)'!B:B,재고차이!A:A,'믹스(잔량실사표)'!F:F)*D54</f>
        <v>0</v>
      </c>
      <c r="G54" s="2">
        <f>SUMIF('창고1(실사표)'!B:B,재고차이!A:A,'창고1(실사표)'!E:E)*E54+SUMIF('창고2(실사표)'!B:B,재고차이!A:A,'창고2(실사표)'!E:E)*E54+SUMIF('믹스(잔량실사표)'!B:B,재고차이!A:A,'믹스(잔량실사표)'!E:E)*E54</f>
        <v>1700</v>
      </c>
      <c r="H54" s="2">
        <f>SUMIF('창고1(실사표)'!B:B,재고차이!A:A,'창고1(실사표)'!G:G)+SUMIF('창고2(실사표)'!B:B,재고차이!A:A,'창고2(실사표)'!G:G)++SUMIF('믹스(잔량실사표)'!B:B,재고차이!A:A,'믹스(잔량실사표)'!G:G)</f>
        <v>30</v>
      </c>
      <c r="I5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54" s="2">
        <f t="shared" si="9"/>
        <v>1730</v>
      </c>
      <c r="K54" s="2">
        <f>SUMIF(SAP!B:B,재고차이!B:B,SAP!Q:Q)</f>
        <v>1730</v>
      </c>
      <c r="L54" s="2">
        <f>SUMIF(주간상차!A:A,재고차이!A:A,주간상차!E:E)</f>
        <v>0</v>
      </c>
      <c r="M54" s="37">
        <f t="shared" si="10"/>
        <v>0</v>
      </c>
      <c r="N54" s="41"/>
      <c r="O54" s="42"/>
      <c r="P54" s="125"/>
      <c r="Q54" s="8">
        <f>SUMIF(파손품!D:D,재고차이!B:B,파손품!I:I)+SUMIF(동파파손!D:D,재고차이!B:B,동파파손!I:I)</f>
        <v>0</v>
      </c>
      <c r="R54">
        <f t="shared" ref="R54" si="14">M54/E54</f>
        <v>0</v>
      </c>
    </row>
    <row r="55" spans="1:18" ht="18.75" customHeight="1" x14ac:dyDescent="0.3">
      <c r="A55" s="9">
        <v>4177</v>
      </c>
      <c r="B55" s="9" t="str">
        <f>VLOOKUP(A:A,제품등록!A:B,2,0)</f>
        <v>FT4177</v>
      </c>
      <c r="C55" s="31" t="str">
        <f>VLOOKUP(B55,제품등록!B:C,2,0)</f>
        <v>S)환타 오렌지 350CAN 4X6</v>
      </c>
      <c r="D55" s="9">
        <v>88</v>
      </c>
      <c r="E55" s="9">
        <v>100</v>
      </c>
      <c r="F55" s="2">
        <f>SUMIF('창고1(실사표)'!B:B,재고차이!A:A,'창고1(실사표)'!F:F)*D55+SUMIF('창고2(실사표)'!B:B,재고차이!A:A,'창고2(실사표)'!F:F)*D55+SUMIF('믹스(잔량실사표)'!B:B,재고차이!A:A,'믹스(잔량실사표)'!F:F)*D55</f>
        <v>0</v>
      </c>
      <c r="G55" s="2">
        <f>SUMIF('창고1(실사표)'!B:B,재고차이!A:A,'창고1(실사표)'!E:E)*E55+SUMIF('창고2(실사표)'!B:B,재고차이!A:A,'창고2(실사표)'!E:E)*E55+SUMIF('믹스(잔량실사표)'!B:B,재고차이!A:A,'믹스(잔량실사표)'!E:E)*E55</f>
        <v>0</v>
      </c>
      <c r="H55" s="2">
        <f>SUMIF('창고1(실사표)'!B:B,재고차이!A:A,'창고1(실사표)'!G:G)+SUMIF('창고2(실사표)'!B:B,재고차이!A:A,'창고2(실사표)'!G:G)++SUMIF('믹스(잔량실사표)'!B:B,재고차이!A:A,'믹스(잔량실사표)'!G:G)</f>
        <v>36</v>
      </c>
      <c r="I5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55" s="2">
        <f t="shared" si="9"/>
        <v>36</v>
      </c>
      <c r="K55" s="2">
        <f>SUMIF(SAP!B:B,재고차이!B:B,SAP!Q:Q)</f>
        <v>36</v>
      </c>
      <c r="L55" s="2">
        <f>SUMIF(주간상차!A:A,재고차이!A:A,주간상차!E:E)</f>
        <v>0</v>
      </c>
      <c r="M55" s="37">
        <f t="shared" si="10"/>
        <v>0</v>
      </c>
      <c r="N55" s="41"/>
      <c r="O55" s="42"/>
      <c r="P55" s="125"/>
      <c r="Q55" s="8">
        <f>SUMIF(파손품!D:D,재고차이!B:B,파손품!I:I)+SUMIF(동파파손!D:D,재고차이!B:B,동파파손!I:I)</f>
        <v>0</v>
      </c>
      <c r="R55">
        <f t="shared" si="2"/>
        <v>0</v>
      </c>
    </row>
    <row r="56" spans="1:18" ht="18.75" hidden="1" customHeight="1" x14ac:dyDescent="0.3">
      <c r="A56" s="9">
        <v>5181</v>
      </c>
      <c r="B56" s="9" t="str">
        <f>VLOOKUP(A:A,제품등록!A:B,2,0)</f>
        <v>CC5181</v>
      </c>
      <c r="C56" s="31" t="str">
        <f>VLOOKUP(B56,제품등록!B:C,2,0)</f>
        <v>코카콜라 무라벨 370PET X6</v>
      </c>
      <c r="D56" s="9"/>
      <c r="E56" s="9">
        <v>280</v>
      </c>
      <c r="F56" s="2">
        <f>SUMIF('창고1(실사표)'!B:B,재고차이!A:A,'창고1(실사표)'!F:F)*D56+SUMIF('창고2(실사표)'!B:B,재고차이!A:A,'창고2(실사표)'!F:F)*D56+SUMIF('믹스(잔량실사표)'!B:B,재고차이!A:A,'믹스(잔량실사표)'!F:F)*D56</f>
        <v>0</v>
      </c>
      <c r="G56" s="2">
        <f>SUMIF('창고1(실사표)'!B:B,재고차이!A:A,'창고1(실사표)'!E:E)*E56+SUMIF('창고2(실사표)'!B:B,재고차이!A:A,'창고2(실사표)'!E:E)*E56+SUMIF('믹스(잔량실사표)'!B:B,재고차이!A:A,'믹스(잔량실사표)'!E:E)*E56</f>
        <v>0</v>
      </c>
      <c r="H5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5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56" s="2">
        <f t="shared" si="9"/>
        <v>0</v>
      </c>
      <c r="K56" s="2">
        <f>SUMIF(SAP!B:B,재고차이!B:B,SAP!Q:Q)</f>
        <v>0</v>
      </c>
      <c r="L56" s="2">
        <f>SUMIF(주간상차!A:A,재고차이!A:A,주간상차!E:E)</f>
        <v>0</v>
      </c>
      <c r="M56" s="37">
        <f t="shared" si="10"/>
        <v>0</v>
      </c>
      <c r="N56" s="41"/>
      <c r="O56" s="42"/>
      <c r="P56" s="125"/>
      <c r="Q56" s="8">
        <f>SUMIF(파손품!D:D,재고차이!B:B,파손품!I:I)+SUMIF(동파파손!D:D,재고차이!B:B,동파파손!I:I)</f>
        <v>0</v>
      </c>
      <c r="R56">
        <f t="shared" si="2"/>
        <v>0</v>
      </c>
    </row>
    <row r="57" spans="1:18" ht="18.75" hidden="1" customHeight="1" x14ac:dyDescent="0.3">
      <c r="A57" s="9">
        <v>5182</v>
      </c>
      <c r="B57" s="9" t="str">
        <f>VLOOKUP(A:A,제품등록!A:B,2,0)</f>
        <v>CC5182</v>
      </c>
      <c r="C57" s="31" t="str">
        <f>VLOOKUP(B57,제품등록!B:C,2,0)</f>
        <v>코크제로 무라벨 370PET X6</v>
      </c>
      <c r="D57" s="9"/>
      <c r="E57" s="9">
        <v>280</v>
      </c>
      <c r="F57" s="2">
        <f>SUMIF('창고1(실사표)'!B:B,재고차이!A:A,'창고1(실사표)'!F:F)*D57+SUMIF('창고2(실사표)'!B:B,재고차이!A:A,'창고2(실사표)'!F:F)*D57+SUMIF('믹스(잔량실사표)'!B:B,재고차이!A:A,'믹스(잔량실사표)'!F:F)*D57</f>
        <v>0</v>
      </c>
      <c r="G57" s="2">
        <f>SUMIF('창고1(실사표)'!B:B,재고차이!A:A,'창고1(실사표)'!E:E)*E57+SUMIF('창고2(실사표)'!B:B,재고차이!A:A,'창고2(실사표)'!E:E)*E57+SUMIF('믹스(잔량실사표)'!B:B,재고차이!A:A,'믹스(잔량실사표)'!E:E)*E57</f>
        <v>0</v>
      </c>
      <c r="H5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5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57" s="2">
        <f t="shared" si="9"/>
        <v>0</v>
      </c>
      <c r="K57" s="2">
        <f>SUMIF(SAP!B:B,재고차이!B:B,SAP!Q:Q)</f>
        <v>0</v>
      </c>
      <c r="L57" s="2">
        <f>SUMIF(주간상차!A:A,재고차이!A:A,주간상차!E:E)</f>
        <v>0</v>
      </c>
      <c r="M57" s="37">
        <f t="shared" si="10"/>
        <v>0</v>
      </c>
      <c r="N57" s="41"/>
      <c r="O57" s="42"/>
      <c r="P57" s="125"/>
      <c r="Q57" s="8">
        <f>SUMIF(파손품!D:D,재고차이!B:B,파손품!I:I)+SUMIF(동파파손!D:D,재고차이!B:B,동파파손!I:I)</f>
        <v>0</v>
      </c>
      <c r="R57">
        <f t="shared" si="2"/>
        <v>0</v>
      </c>
    </row>
    <row r="58" spans="1:18" ht="18.75" customHeight="1" x14ac:dyDescent="0.3">
      <c r="A58" s="9" t="s">
        <v>2599</v>
      </c>
      <c r="B58" s="9" t="str">
        <f>VLOOKUP(A:A,제품등록!A:B,2,0)</f>
        <v>FT4181</v>
      </c>
      <c r="C58" s="31" t="str">
        <f>VLOOKUP(B58,제품등록!B:C,2,0)</f>
        <v>환타 제로 파인 350CAN 4X6</v>
      </c>
      <c r="D58" s="9">
        <v>88</v>
      </c>
      <c r="E58" s="9">
        <v>100</v>
      </c>
      <c r="F58" s="2">
        <f>SUMIF('창고1(실사표)'!B:B,재고차이!A:A,'창고1(실사표)'!F:F)*D58+SUMIF('창고2(실사표)'!B:B,재고차이!A:A,'창고2(실사표)'!F:F)*D58+SUMIF('믹스(잔량실사표)'!B:B,재고차이!A:A,'믹스(잔량실사표)'!F:F)*D58</f>
        <v>0</v>
      </c>
      <c r="G58" s="2">
        <f>SUMIF('창고1(실사표)'!B:B,재고차이!A:A,'창고1(실사표)'!E:E)*E58+SUMIF('창고2(실사표)'!B:B,재고차이!A:A,'창고2(실사표)'!E:E)*E58+SUMIF('믹스(잔량실사표)'!B:B,재고차이!A:A,'믹스(잔량실사표)'!E:E)*E58</f>
        <v>1700</v>
      </c>
      <c r="H58" s="2">
        <f>SUMIF('창고1(실사표)'!B:B,재고차이!A:A,'창고1(실사표)'!G:G)+SUMIF('창고2(실사표)'!B:B,재고차이!A:A,'창고2(실사표)'!G:G)++SUMIF('믹스(잔량실사표)'!B:B,재고차이!A:A,'믹스(잔량실사표)'!G:G)</f>
        <v>17</v>
      </c>
      <c r="I5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58" s="2">
        <f t="shared" si="9"/>
        <v>1717</v>
      </c>
      <c r="K58" s="2">
        <f>SUMIF(SAP!B:B,재고차이!B:B,SAP!Q:Q)</f>
        <v>1617</v>
      </c>
      <c r="L58" s="2">
        <f>SUMIF(주간상차!A:A,재고차이!A:A,주간상차!E:E)</f>
        <v>100</v>
      </c>
      <c r="M58" s="37">
        <f t="shared" si="10"/>
        <v>0</v>
      </c>
      <c r="N58" s="41"/>
      <c r="O58" s="42"/>
      <c r="P58" s="125"/>
      <c r="Q58" s="8">
        <f>SUMIF(파손품!D:D,재고차이!B:B,파손품!I:I)+SUMIF(동파파손!D:D,재고차이!B:B,동파파손!I:I)</f>
        <v>0</v>
      </c>
      <c r="R58">
        <f t="shared" si="2"/>
        <v>0</v>
      </c>
    </row>
    <row r="59" spans="1:18" ht="18.75" hidden="1" customHeight="1" x14ac:dyDescent="0.3">
      <c r="A59" s="9">
        <v>7532</v>
      </c>
      <c r="B59" s="9" t="str">
        <f>VLOOKUP(A:A,제품등록!A:B,2,0)</f>
        <v>CC7532</v>
      </c>
      <c r="C59" s="31" t="str">
        <f>VLOOKUP(B59,제품등록!B:C,2,0)</f>
        <v>코크 제로 1.5PET X12</v>
      </c>
      <c r="D59" s="9">
        <v>40</v>
      </c>
      <c r="E59" s="9">
        <v>44</v>
      </c>
      <c r="F59" s="2">
        <f>SUMIF('창고1(실사표)'!B:B,재고차이!A:A,'창고1(실사표)'!F:F)*D59+SUMIF('창고2(실사표)'!B:B,재고차이!A:A,'창고2(실사표)'!F:F)*D59+SUMIF('믹스(잔량실사표)'!B:B,재고차이!A:A,'믹스(잔량실사표)'!F:F)*D59</f>
        <v>0</v>
      </c>
      <c r="G59" s="2">
        <f>SUMIF('창고1(실사표)'!B:B,재고차이!A:A,'창고1(실사표)'!E:E)*E59+SUMIF('창고2(실사표)'!B:B,재고차이!A:A,'창고2(실사표)'!E:E)*E59+SUMIF('믹스(잔량실사표)'!B:B,재고차이!A:A,'믹스(잔량실사표)'!E:E)*E59</f>
        <v>0</v>
      </c>
      <c r="H59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5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59" s="2">
        <f t="shared" si="9"/>
        <v>0</v>
      </c>
      <c r="K59" s="2">
        <f>SUMIF(SAP!B:B,재고차이!B:B,SAP!Q:Q)</f>
        <v>0</v>
      </c>
      <c r="L59" s="2">
        <f>SUMIF(주간상차!A:A,재고차이!A:A,주간상차!E:E)</f>
        <v>0</v>
      </c>
      <c r="M59" s="37">
        <f t="shared" si="10"/>
        <v>0</v>
      </c>
      <c r="N59" s="41"/>
      <c r="O59" s="42"/>
      <c r="P59" s="125"/>
      <c r="Q59" s="8">
        <f>SUMIF(파손품!D:D,재고차이!B:B,파손품!I:I)+SUMIF(동파파손!D:D,재고차이!B:B,동파파손!I:I)</f>
        <v>0</v>
      </c>
      <c r="R59">
        <f t="shared" si="2"/>
        <v>0</v>
      </c>
    </row>
    <row r="60" spans="1:18" ht="18.75" customHeight="1" x14ac:dyDescent="0.3">
      <c r="A60" s="9">
        <v>4182</v>
      </c>
      <c r="B60" s="9" t="str">
        <f>VLOOKUP(A:A,제품등록!A:B,2,0)</f>
        <v>FT4182</v>
      </c>
      <c r="C60" s="31" t="str">
        <f>VLOOKUP(B60,제품등록!B:C,2,0)</f>
        <v>환타 제로 오렌지 350CAN 4X6</v>
      </c>
      <c r="D60" s="9">
        <v>88</v>
      </c>
      <c r="E60" s="9">
        <v>100</v>
      </c>
      <c r="F60" s="2">
        <f>SUMIF('창고1(실사표)'!B:B,재고차이!A:A,'창고1(실사표)'!F:F)*D60+SUMIF('창고2(실사표)'!B:B,재고차이!A:A,'창고2(실사표)'!F:F)*D60+SUMIF('믹스(잔량실사표)'!B:B,재고차이!A:A,'믹스(잔량실사표)'!F:F)*D60</f>
        <v>0</v>
      </c>
      <c r="G60" s="2">
        <f>SUMIF('창고1(실사표)'!B:B,재고차이!A:A,'창고1(실사표)'!E:E)*E60+SUMIF('창고2(실사표)'!B:B,재고차이!A:A,'창고2(실사표)'!E:E)*E60+SUMIF('믹스(잔량실사표)'!B:B,재고차이!A:A,'믹스(잔량실사표)'!E:E)*E60</f>
        <v>1800</v>
      </c>
      <c r="H60" s="2">
        <f>SUMIF('창고1(실사표)'!B:B,재고차이!A:A,'창고1(실사표)'!G:G)+SUMIF('창고2(실사표)'!B:B,재고차이!A:A,'창고2(실사표)'!G:G)++SUMIF('믹스(잔량실사표)'!B:B,재고차이!A:A,'믹스(잔량실사표)'!G:G)</f>
        <v>8</v>
      </c>
      <c r="I6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60" s="2">
        <f t="shared" si="9"/>
        <v>1808</v>
      </c>
      <c r="K60" s="2">
        <f>SUMIF(SAP!B:B,재고차이!B:B,SAP!Q:Q)</f>
        <v>1608</v>
      </c>
      <c r="L60" s="2">
        <f>SUMIF(주간상차!A:A,재고차이!A:A,주간상차!E:E)</f>
        <v>200</v>
      </c>
      <c r="M60" s="37">
        <f t="shared" si="10"/>
        <v>0</v>
      </c>
      <c r="N60" s="41"/>
      <c r="O60" s="42"/>
      <c r="P60" s="125"/>
      <c r="Q60" s="8">
        <f>SUMIF(파손품!D:D,재고차이!B:B,파손품!I:I)+SUMIF(동파파손!D:D,재고차이!B:B,동파파손!I:I)</f>
        <v>0</v>
      </c>
      <c r="R60">
        <f t="shared" si="2"/>
        <v>0</v>
      </c>
    </row>
    <row r="61" spans="1:18" ht="18.75" customHeight="1" x14ac:dyDescent="0.3">
      <c r="A61" s="9">
        <v>4183</v>
      </c>
      <c r="B61" s="9" t="str">
        <f>VLOOKUP(A:A,제품등록!A:B,2,0)</f>
        <v>FT4183</v>
      </c>
      <c r="C61" s="31" t="str">
        <f>VLOOKUP(B61,제품등록!B:C,2,0)</f>
        <v>S)환타 멜론 600PET 4X6</v>
      </c>
      <c r="D61" s="9">
        <v>36</v>
      </c>
      <c r="E61" s="9">
        <v>32</v>
      </c>
      <c r="F61" s="2">
        <f>SUMIF('창고1(실사표)'!B:B,재고차이!A:A,'창고1(실사표)'!F:F)*D61+SUMIF('창고2(실사표)'!B:B,재고차이!A:A,'창고2(실사표)'!F:F)*D61+SUMIF('믹스(잔량실사표)'!B:B,재고차이!A:A,'믹스(잔량실사표)'!F:F)*D61</f>
        <v>0</v>
      </c>
      <c r="G61" s="2">
        <f>SUMIF('창고1(실사표)'!B:B,재고차이!A:A,'창고1(실사표)'!E:E)*E61+SUMIF('창고2(실사표)'!B:B,재고차이!A:A,'창고2(실사표)'!E:E)*E61+SUMIF('믹스(잔량실사표)'!B:B,재고차이!A:A,'믹스(잔량실사표)'!E:E)*E61</f>
        <v>1216</v>
      </c>
      <c r="H61" s="2">
        <f>SUMIF('창고1(실사표)'!B:B,재고차이!A:A,'창고1(실사표)'!G:G)+SUMIF('창고2(실사표)'!B:B,재고차이!A:A,'창고2(실사표)'!G:G)++SUMIF('믹스(잔량실사표)'!B:B,재고차이!A:A,'믹스(잔량실사표)'!G:G)</f>
        <v>31</v>
      </c>
      <c r="I6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61" s="2">
        <f t="shared" si="9"/>
        <v>1247</v>
      </c>
      <c r="K61" s="2">
        <f>SUMIF(SAP!B:B,재고차이!B:B,SAP!Q:Q)</f>
        <v>927</v>
      </c>
      <c r="L61" s="2">
        <f>SUMIF(주간상차!A:A,재고차이!A:A,주간상차!E:E)</f>
        <v>320</v>
      </c>
      <c r="M61" s="37">
        <f t="shared" si="10"/>
        <v>0</v>
      </c>
      <c r="N61" s="41"/>
      <c r="O61" s="42"/>
      <c r="P61" s="125"/>
      <c r="Q61" s="8">
        <f>SUMIF(파손품!D:D,재고차이!B:B,파손품!I:I)+SUMIF(동파파손!D:D,재고차이!B:B,동파파손!I:I)</f>
        <v>0</v>
      </c>
      <c r="R61">
        <f t="shared" si="2"/>
        <v>0</v>
      </c>
    </row>
    <row r="62" spans="1:18" ht="18.75" hidden="1" customHeight="1" x14ac:dyDescent="0.3">
      <c r="A62" s="9">
        <v>4951</v>
      </c>
      <c r="B62" s="9" t="str">
        <f>VLOOKUP(A:A,제품등록!A:B,2,0)</f>
        <v>FT4951</v>
      </c>
      <c r="C62" s="31" t="str">
        <f>VLOOKUP(B62,제품등록!B:C,2,0)</f>
        <v>S)환타 파인355CAN 4X6</v>
      </c>
      <c r="D62" s="9"/>
      <c r="E62" s="9">
        <v>100</v>
      </c>
      <c r="F62" s="2">
        <f>SUMIF('창고1(실사표)'!B:B,재고차이!A:A,'창고1(실사표)'!F:F)*D62+SUMIF('창고2(실사표)'!B:B,재고차이!A:A,'창고2(실사표)'!F:F)*D62+SUMIF('믹스(잔량실사표)'!B:B,재고차이!A:A,'믹스(잔량실사표)'!F:F)*D62</f>
        <v>0</v>
      </c>
      <c r="G62" s="2">
        <f>SUMIF('창고1(실사표)'!B:B,재고차이!A:A,'창고1(실사표)'!E:E)*E62+SUMIF('창고2(실사표)'!B:B,재고차이!A:A,'창고2(실사표)'!E:E)*E62+SUMIF('믹스(잔량실사표)'!B:B,재고차이!A:A,'믹스(잔량실사표)'!E:E)*E62</f>
        <v>0</v>
      </c>
      <c r="H62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6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62" s="2">
        <f t="shared" si="9"/>
        <v>0</v>
      </c>
      <c r="K62" s="2">
        <f>SUMIF(SAP!B:B,재고차이!B:B,SAP!Q:Q)</f>
        <v>0</v>
      </c>
      <c r="L62" s="2">
        <f>SUMIF(주간상차!A:A,재고차이!A:A,주간상차!E:E)</f>
        <v>0</v>
      </c>
      <c r="M62" s="37">
        <f t="shared" si="10"/>
        <v>0</v>
      </c>
      <c r="N62" s="41"/>
      <c r="O62" s="42"/>
      <c r="P62" s="125"/>
      <c r="Q62" s="8">
        <f>SUMIF(파손품!D:D,재고차이!B:B,파손품!I:I)+SUMIF(동파파손!D:D,재고차이!B:B,동파파손!I:I)</f>
        <v>0</v>
      </c>
      <c r="R62">
        <f t="shared" si="2"/>
        <v>0</v>
      </c>
    </row>
    <row r="63" spans="1:18" ht="19.5" customHeight="1" x14ac:dyDescent="0.3">
      <c r="A63" s="9">
        <v>4823</v>
      </c>
      <c r="B63" s="9" t="str">
        <f>VLOOKUP(A:A,제품등록!A:B,2,0)</f>
        <v>FT4823</v>
      </c>
      <c r="C63" s="31" t="str">
        <f>VLOOKUP(B63,제품등록!B:C,2,0)</f>
        <v>환타오렌지250CAN 5X6 M</v>
      </c>
      <c r="D63" s="9">
        <v>99</v>
      </c>
      <c r="E63" s="9">
        <v>132</v>
      </c>
      <c r="F63" s="2">
        <f>SUMIF('창고1(실사표)'!B:B,재고차이!A:A,'창고1(실사표)'!F:F)*D63+SUMIF('창고2(실사표)'!B:B,재고차이!A:A,'창고2(실사표)'!F:F)*D63+SUMIF('믹스(잔량실사표)'!B:B,재고차이!A:A,'믹스(잔량실사표)'!F:F)*D63</f>
        <v>0</v>
      </c>
      <c r="G63" s="2">
        <f>SUMIF('창고1(실사표)'!B:B,재고차이!A:A,'창고1(실사표)'!E:E)*E63+SUMIF('창고2(실사표)'!B:B,재고차이!A:A,'창고2(실사표)'!E:E)*E63+SUMIF('믹스(잔량실사표)'!B:B,재고차이!A:A,'믹스(잔량실사표)'!E:E)*E63</f>
        <v>396</v>
      </c>
      <c r="H63" s="2">
        <f>SUMIF('창고1(실사표)'!B:B,재고차이!A:A,'창고1(실사표)'!G:G)+SUMIF('창고2(실사표)'!B:B,재고차이!A:A,'창고2(실사표)'!G:G)++SUMIF('믹스(잔량실사표)'!B:B,재고차이!A:A,'믹스(잔량실사표)'!G:G)</f>
        <v>92</v>
      </c>
      <c r="I6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63" s="2">
        <f t="shared" si="9"/>
        <v>488</v>
      </c>
      <c r="K63" s="2">
        <f>SUMIF(SAP!B:B,재고차이!B:B,SAP!Q:Q)</f>
        <v>488</v>
      </c>
      <c r="L63" s="2">
        <f>SUMIF(주간상차!A:A,재고차이!A:A,주간상차!E:E)</f>
        <v>0</v>
      </c>
      <c r="M63" s="37">
        <f t="shared" si="10"/>
        <v>0</v>
      </c>
      <c r="N63" s="41"/>
      <c r="O63" s="42"/>
      <c r="P63" s="125"/>
      <c r="Q63" s="8">
        <f>SUMIF(파손품!D:D,재고차이!B:B,파손품!I:I)+SUMIF(동파파손!D:D,재고차이!B:B,동파파손!I:I)</f>
        <v>0</v>
      </c>
      <c r="R63">
        <f t="shared" si="2"/>
        <v>0</v>
      </c>
    </row>
    <row r="64" spans="1:18" ht="18.75" hidden="1" customHeight="1" x14ac:dyDescent="0.3">
      <c r="A64" s="9">
        <v>8265</v>
      </c>
      <c r="B64" s="9" t="str">
        <f>VLOOKUP(A:A,제품등록!A:B,2,0)</f>
        <v>GG8265</v>
      </c>
      <c r="C64" s="31" t="str">
        <f>VLOOKUP(B64,제품등록!B:C,2,0)</f>
        <v>조지아 라떼니스타 크리미 280PET 4X6</v>
      </c>
      <c r="D64" s="9"/>
      <c r="E64" s="9">
        <v>90</v>
      </c>
      <c r="F64" s="2">
        <f>SUMIF('창고1(실사표)'!B:B,재고차이!A:A,'창고1(실사표)'!F:F)*D64+SUMIF('창고2(실사표)'!B:B,재고차이!A:A,'창고2(실사표)'!F:F)*D64+SUMIF('믹스(잔량실사표)'!B:B,재고차이!A:A,'믹스(잔량실사표)'!F:F)*D64</f>
        <v>0</v>
      </c>
      <c r="G64" s="2">
        <f>SUMIF('창고1(실사표)'!B:B,재고차이!A:A,'창고1(실사표)'!E:E)*E64+SUMIF('창고2(실사표)'!B:B,재고차이!A:A,'창고2(실사표)'!E:E)*E64+SUMIF('믹스(잔량실사표)'!B:B,재고차이!A:A,'믹스(잔량실사표)'!E:E)*E64</f>
        <v>0</v>
      </c>
      <c r="H6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6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64" s="2">
        <f t="shared" si="9"/>
        <v>0</v>
      </c>
      <c r="K64" s="2">
        <f>SUMIF(SAP!B:B,재고차이!B:B,SAP!Q:Q)</f>
        <v>0</v>
      </c>
      <c r="L64" s="2">
        <f>SUMIF(주간상차!A:A,재고차이!A:A,주간상차!E:E)</f>
        <v>0</v>
      </c>
      <c r="M64" s="37">
        <f t="shared" si="10"/>
        <v>0</v>
      </c>
      <c r="N64" s="41"/>
      <c r="O64" s="42"/>
      <c r="P64" s="125"/>
      <c r="Q64" s="8">
        <f>SUMIF(파손품!D:D,재고차이!B:B,파손품!I:I)+SUMIF(동파파손!D:D,재고차이!B:B,동파파손!I:I)</f>
        <v>0</v>
      </c>
      <c r="R64">
        <f t="shared" si="2"/>
        <v>0</v>
      </c>
    </row>
    <row r="65" spans="1:18" ht="18.75" hidden="1" customHeight="1" x14ac:dyDescent="0.3">
      <c r="A65" s="9">
        <v>8266</v>
      </c>
      <c r="B65" s="9" t="str">
        <f>VLOOKUP(A:A,제품등록!A:B,2,0)</f>
        <v>GG8266</v>
      </c>
      <c r="C65" s="31" t="str">
        <f>VLOOKUP(B65,제품등록!B:C,2,0)</f>
        <v>조지아 라떼니스타 카라멜 280PET 4X6</v>
      </c>
      <c r="D65" s="9"/>
      <c r="E65" s="9">
        <v>90</v>
      </c>
      <c r="F65" s="2">
        <f>SUMIF('창고1(실사표)'!B:B,재고차이!A:A,'창고1(실사표)'!F:F)*D65+SUMIF('창고2(실사표)'!B:B,재고차이!A:A,'창고2(실사표)'!F:F)*D65+SUMIF('믹스(잔량실사표)'!B:B,재고차이!A:A,'믹스(잔량실사표)'!F:F)*D65</f>
        <v>0</v>
      </c>
      <c r="G65" s="2">
        <f>SUMIF('창고1(실사표)'!B:B,재고차이!A:A,'창고1(실사표)'!E:E)*E65+SUMIF('창고2(실사표)'!B:B,재고차이!A:A,'창고2(실사표)'!E:E)*E65+SUMIF('믹스(잔량실사표)'!B:B,재고차이!A:A,'믹스(잔량실사표)'!E:E)*E65</f>
        <v>0</v>
      </c>
      <c r="H6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6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65" s="2">
        <f t="shared" si="9"/>
        <v>0</v>
      </c>
      <c r="K65" s="2">
        <f>SUMIF(SAP!B:B,재고차이!B:B,SAP!Q:Q)</f>
        <v>0</v>
      </c>
      <c r="L65" s="2">
        <f>SUMIF(주간상차!A:A,재고차이!A:A,주간상차!E:E)</f>
        <v>0</v>
      </c>
      <c r="M65" s="37">
        <f t="shared" si="10"/>
        <v>0</v>
      </c>
      <c r="N65" s="41"/>
      <c r="O65" s="42"/>
      <c r="P65" s="125"/>
      <c r="Q65" s="8">
        <f>SUMIF(파손품!D:D,재고차이!B:B,파손품!I:I)+SUMIF(동파파손!D:D,재고차이!B:B,동파파손!I:I)</f>
        <v>0</v>
      </c>
      <c r="R65">
        <f t="shared" si="2"/>
        <v>0</v>
      </c>
    </row>
    <row r="66" spans="1:18" ht="18.75" hidden="1" customHeight="1" x14ac:dyDescent="0.3">
      <c r="A66" s="9">
        <v>8268</v>
      </c>
      <c r="B66" s="9" t="str">
        <f>VLOOKUP(A:A,제품등록!A:B,2,0)</f>
        <v>GG8268</v>
      </c>
      <c r="C66" s="31" t="str">
        <f>VLOOKUP(B66,제품등록!B:C,2,0)</f>
        <v>조지아 카페 마일드 라떼 500PET 4X6</v>
      </c>
      <c r="D66" s="9"/>
      <c r="E66" s="9">
        <v>70</v>
      </c>
      <c r="F66" s="2">
        <f>SUMIF('창고1(실사표)'!B:B,재고차이!A:A,'창고1(실사표)'!F:F)*D66+SUMIF('창고2(실사표)'!B:B,재고차이!A:A,'창고2(실사표)'!F:F)*D66+SUMIF('믹스(잔량실사표)'!B:B,재고차이!A:A,'믹스(잔량실사표)'!F:F)*D66</f>
        <v>0</v>
      </c>
      <c r="G66" s="2">
        <f>SUMIF('창고1(실사표)'!B:B,재고차이!A:A,'창고1(실사표)'!E:E)*E66+SUMIF('창고2(실사표)'!B:B,재고차이!A:A,'창고2(실사표)'!E:E)*E66+SUMIF('믹스(잔량실사표)'!B:B,재고차이!A:A,'믹스(잔량실사표)'!E:E)*E66</f>
        <v>0</v>
      </c>
      <c r="H6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6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66" s="2">
        <f t="shared" si="9"/>
        <v>0</v>
      </c>
      <c r="K66" s="2">
        <f>SUMIF(SAP!B:B,재고차이!B:B,SAP!Q:Q)</f>
        <v>0</v>
      </c>
      <c r="L66" s="2">
        <f>SUMIF(주간상차!A:A,재고차이!A:A,주간상차!E:E)</f>
        <v>0</v>
      </c>
      <c r="M66" s="37">
        <f t="shared" si="10"/>
        <v>0</v>
      </c>
      <c r="N66" s="41"/>
      <c r="O66" s="42"/>
      <c r="P66" s="125"/>
      <c r="Q66" s="8">
        <f>SUMIF(파손품!D:D,재고차이!B:B,파손품!I:I)+SUMIF(동파파손!D:D,재고차이!B:B,동파파손!I:I)</f>
        <v>0</v>
      </c>
      <c r="R66">
        <f t="shared" si="2"/>
        <v>0</v>
      </c>
    </row>
    <row r="67" spans="1:18" ht="18.75" hidden="1" customHeight="1" x14ac:dyDescent="0.3">
      <c r="A67" s="9">
        <v>8269</v>
      </c>
      <c r="B67" s="9" t="str">
        <f>VLOOKUP(A:A,제품등록!A:B,2,0)</f>
        <v>GG8269</v>
      </c>
      <c r="C67" s="31" t="str">
        <f>VLOOKUP(B67,제품등록!B:C,2,0)</f>
        <v>조지아 카페 헤이즐넛 아메 500PET 4X6</v>
      </c>
      <c r="D67" s="9"/>
      <c r="E67" s="9">
        <v>70</v>
      </c>
      <c r="F67" s="2">
        <f>SUMIF('창고1(실사표)'!B:B,재고차이!A:A,'창고1(실사표)'!F:F)*D67+SUMIF('창고2(실사표)'!B:B,재고차이!A:A,'창고2(실사표)'!F:F)*D67+SUMIF('믹스(잔량실사표)'!B:B,재고차이!A:A,'믹스(잔량실사표)'!F:F)*D67</f>
        <v>0</v>
      </c>
      <c r="G67" s="2">
        <f>SUMIF('창고1(실사표)'!B:B,재고차이!A:A,'창고1(실사표)'!E:E)*E67+SUMIF('창고2(실사표)'!B:B,재고차이!A:A,'창고2(실사표)'!E:E)*E67+SUMIF('믹스(잔량실사표)'!B:B,재고차이!A:A,'믹스(잔량실사표)'!E:E)*E67</f>
        <v>0</v>
      </c>
      <c r="H6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6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67" s="2">
        <f t="shared" si="9"/>
        <v>0</v>
      </c>
      <c r="K67" s="2">
        <f>SUMIF(SAP!B:B,재고차이!B:B,SAP!Q:Q)</f>
        <v>0</v>
      </c>
      <c r="L67" s="2">
        <f>SUMIF(주간상차!A:A,재고차이!A:A,주간상차!E:E)</f>
        <v>0</v>
      </c>
      <c r="M67" s="37">
        <f t="shared" si="10"/>
        <v>0</v>
      </c>
      <c r="N67" s="41"/>
      <c r="O67" s="42"/>
      <c r="P67" s="125"/>
      <c r="Q67" s="8">
        <f>SUMIF(파손품!D:D,재고차이!B:B,파손품!I:I)+SUMIF(동파파손!D:D,재고차이!B:B,동파파손!I:I)</f>
        <v>0</v>
      </c>
      <c r="R67">
        <f t="shared" si="2"/>
        <v>0</v>
      </c>
    </row>
    <row r="68" spans="1:18" ht="18.75" hidden="1" customHeight="1" x14ac:dyDescent="0.3">
      <c r="A68" s="9">
        <v>8057</v>
      </c>
      <c r="B68" s="9" t="str">
        <f>VLOOKUP(A:A,제품등록!A:B,2,0)</f>
        <v>GG8057</v>
      </c>
      <c r="C68" s="31" t="str">
        <f>VLOOKUP(B68,제품등록!B:C,2,0)</f>
        <v>조지아 크래프트 밀크티 470PET 4X6</v>
      </c>
      <c r="D68" s="9"/>
      <c r="E68" s="9">
        <v>56</v>
      </c>
      <c r="F68" s="2">
        <f>SUMIF('창고1(실사표)'!B:B,재고차이!A:A,'창고1(실사표)'!F:F)*D68+SUMIF('창고2(실사표)'!B:B,재고차이!A:A,'창고2(실사표)'!F:F)*D68+SUMIF('믹스(잔량실사표)'!B:B,재고차이!A:A,'믹스(잔량실사표)'!F:F)*D68</f>
        <v>0</v>
      </c>
      <c r="G68" s="2">
        <f>SUMIF('창고1(실사표)'!B:B,재고차이!A:A,'창고1(실사표)'!E:E)*E68+SUMIF('창고2(실사표)'!B:B,재고차이!A:A,'창고2(실사표)'!E:E)*E68+SUMIF('믹스(잔량실사표)'!B:B,재고차이!A:A,'믹스(잔량실사표)'!E:E)*E68</f>
        <v>0</v>
      </c>
      <c r="H6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6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68" s="2">
        <f t="shared" si="9"/>
        <v>0</v>
      </c>
      <c r="K68" s="2">
        <f>SUMIF(SAP!B:B,재고차이!B:B,SAP!Q:Q)</f>
        <v>0</v>
      </c>
      <c r="L68" s="2">
        <f>SUMIF(주간상차!A:A,재고차이!A:A,주간상차!E:E)</f>
        <v>0</v>
      </c>
      <c r="M68" s="37">
        <f t="shared" si="10"/>
        <v>0</v>
      </c>
      <c r="N68" s="41"/>
      <c r="O68" s="42"/>
      <c r="P68" s="125"/>
      <c r="Q68" s="8">
        <f>SUMIF(파손품!D:D,재고차이!B:B,파손품!I:I)+SUMIF(동파파손!D:D,재고차이!B:B,동파파손!I:I)</f>
        <v>0</v>
      </c>
      <c r="R68">
        <f>M68/E68</f>
        <v>0</v>
      </c>
    </row>
    <row r="69" spans="1:18" ht="18.75" hidden="1" customHeight="1" x14ac:dyDescent="0.3">
      <c r="A69" s="9">
        <v>8285</v>
      </c>
      <c r="B69" s="9" t="str">
        <f>VLOOKUP(A:A,제품등록!A:B,2,0)</f>
        <v>GG8285</v>
      </c>
      <c r="C69" s="31" t="str">
        <f>VLOOKUP(B69,제품등록!B:C,2,0)</f>
        <v>조지아 디카페인블랙 470PET X24</v>
      </c>
      <c r="D69" s="9"/>
      <c r="E69" s="9">
        <v>56</v>
      </c>
      <c r="F69" s="2">
        <f>SUMIF('창고1(실사표)'!B:B,재고차이!A:A,'창고1(실사표)'!F:F)*D69+SUMIF('창고2(실사표)'!B:B,재고차이!A:A,'창고2(실사표)'!F:F)*D69+SUMIF('믹스(잔량실사표)'!B:B,재고차이!A:A,'믹스(잔량실사표)'!F:F)*D69</f>
        <v>0</v>
      </c>
      <c r="G69" s="2">
        <f>SUMIF('창고1(실사표)'!B:B,재고차이!A:A,'창고1(실사표)'!E:E)*E69+SUMIF('창고2(실사표)'!B:B,재고차이!A:A,'창고2(실사표)'!E:E)*E69+SUMIF('믹스(잔량실사표)'!B:B,재고차이!A:A,'믹스(잔량실사표)'!E:E)*E69</f>
        <v>0</v>
      </c>
      <c r="H69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6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69" s="2">
        <f t="shared" si="9"/>
        <v>0</v>
      </c>
      <c r="K69" s="2">
        <f>SUMIF(SAP!B:B,재고차이!B:B,SAP!Q:Q)</f>
        <v>0</v>
      </c>
      <c r="L69" s="2">
        <f>SUMIF(주간상차!A:A,재고차이!A:A,주간상차!E:E)</f>
        <v>0</v>
      </c>
      <c r="M69" s="37">
        <f t="shared" si="10"/>
        <v>0</v>
      </c>
      <c r="N69" s="41"/>
      <c r="O69" s="42"/>
      <c r="P69" s="125"/>
      <c r="Q69" s="8">
        <f>SUMIF(파손품!D:D,재고차이!B:B,파손품!I:I)+SUMIF(동파파손!D:D,재고차이!B:B,동파파손!I:I)</f>
        <v>0</v>
      </c>
      <c r="R69">
        <f t="shared" si="2"/>
        <v>0</v>
      </c>
    </row>
    <row r="70" spans="1:18" ht="18.75" customHeight="1" x14ac:dyDescent="0.3">
      <c r="A70" s="9">
        <v>5312</v>
      </c>
      <c r="B70" s="9" t="str">
        <f>VLOOKUP(A:A,제품등록!A:B,2,0)</f>
        <v>FT5312</v>
      </c>
      <c r="C70" s="31" t="str">
        <f>VLOOKUP(B70,제품등록!B:C,2,0)</f>
        <v>환타 파인 250CAN 5X6</v>
      </c>
      <c r="D70" s="9"/>
      <c r="E70" s="9">
        <v>132</v>
      </c>
      <c r="F70" s="2">
        <f>SUMIF('창고1(실사표)'!B:B,재고차이!A:A,'창고1(실사표)'!F:F)*D70+SUMIF('창고2(실사표)'!B:B,재고차이!A:A,'창고2(실사표)'!F:F)*D70+SUMIF('믹스(잔량실사표)'!B:B,재고차이!A:A,'믹스(잔량실사표)'!F:F)*D70</f>
        <v>0</v>
      </c>
      <c r="G70" s="2">
        <f>SUMIF('창고1(실사표)'!B:B,재고차이!A:A,'창고1(실사표)'!E:E)*E70+SUMIF('창고2(실사표)'!B:B,재고차이!A:A,'창고2(실사표)'!E:E)*E70+SUMIF('믹스(잔량실사표)'!B:B,재고차이!A:A,'믹스(잔량실사표)'!E:E)*E70</f>
        <v>924</v>
      </c>
      <c r="H70" s="2">
        <f>SUMIF('창고1(실사표)'!B:B,재고차이!A:A,'창고1(실사표)'!G:G)+SUMIF('창고2(실사표)'!B:B,재고차이!A:A,'창고2(실사표)'!G:G)++SUMIF('믹스(잔량실사표)'!B:B,재고차이!A:A,'믹스(잔량실사표)'!G:G)</f>
        <v>128</v>
      </c>
      <c r="I7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70" s="2">
        <f t="shared" si="9"/>
        <v>1052</v>
      </c>
      <c r="K70" s="2">
        <f>SUMIF(SAP!B:B,재고차이!B:B,SAP!Q:Q)</f>
        <v>1052</v>
      </c>
      <c r="L70" s="2">
        <f>SUMIF(주간상차!A:A,재고차이!A:A,주간상차!E:E)</f>
        <v>0</v>
      </c>
      <c r="M70" s="37">
        <f t="shared" si="10"/>
        <v>0</v>
      </c>
      <c r="N70" s="41"/>
      <c r="O70" s="42"/>
      <c r="P70" s="125"/>
      <c r="Q70" s="8">
        <f>SUMIF(파손품!D:D,재고차이!B:B,파손품!I:I)+SUMIF(동파파손!D:D,재고차이!B:B,동파파손!I:I)</f>
        <v>0</v>
      </c>
      <c r="R70">
        <f t="shared" si="2"/>
        <v>0</v>
      </c>
    </row>
    <row r="71" spans="1:18" ht="18.75" customHeight="1" x14ac:dyDescent="0.3">
      <c r="A71" s="9">
        <v>5748</v>
      </c>
      <c r="B71" s="9" t="str">
        <f>VLOOKUP(A:A,제품등록!A:B,2,0)</f>
        <v>FT5748</v>
      </c>
      <c r="C71" s="31" t="str">
        <f>VLOOKUP(B71,제품등록!B:C,2,0)</f>
        <v>환타오렌지(S) 600P 4X6</v>
      </c>
      <c r="D71" s="9">
        <v>24</v>
      </c>
      <c r="E71" s="9">
        <v>32</v>
      </c>
      <c r="F71" s="2">
        <f>SUMIF('창고1(실사표)'!B:B,재고차이!A:A,'창고1(실사표)'!F:F)*D71+SUMIF('창고2(실사표)'!B:B,재고차이!A:A,'창고2(실사표)'!F:F)*D71+SUMIF('믹스(잔량실사표)'!B:B,재고차이!A:A,'믹스(잔량실사표)'!F:F)*D71</f>
        <v>0</v>
      </c>
      <c r="G71" s="2">
        <f>SUMIF('창고1(실사표)'!B:B,재고차이!A:A,'창고1(실사표)'!E:E)*E71+SUMIF('창고2(실사표)'!B:B,재고차이!A:A,'창고2(실사표)'!E:E)*E71+SUMIF('믹스(잔량실사표)'!B:B,재고차이!A:A,'믹스(잔량실사표)'!E:E)*E71</f>
        <v>160</v>
      </c>
      <c r="H71" s="2">
        <f>SUMIF('창고1(실사표)'!B:B,재고차이!A:A,'창고1(실사표)'!G:G)+SUMIF('창고2(실사표)'!B:B,재고차이!A:A,'창고2(실사표)'!G:G)++SUMIF('믹스(잔량실사표)'!B:B,재고차이!A:A,'믹스(잔량실사표)'!G:G)</f>
        <v>29</v>
      </c>
      <c r="I7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71" s="2">
        <f t="shared" si="9"/>
        <v>189</v>
      </c>
      <c r="K71" s="2">
        <f>SUMIF(SAP!B:B,재고차이!B:B,SAP!Q:Q)</f>
        <v>61</v>
      </c>
      <c r="L71" s="2">
        <f>SUMIF(주간상차!A:A,재고차이!A:A,주간상차!E:E)</f>
        <v>128</v>
      </c>
      <c r="M71" s="37">
        <f t="shared" si="10"/>
        <v>0</v>
      </c>
      <c r="N71" s="41"/>
      <c r="O71" s="42"/>
      <c r="P71" s="125"/>
      <c r="Q71" s="8">
        <f>SUMIF(파손품!D:D,재고차이!B:B,파손품!I:I)+SUMIF(동파파손!D:D,재고차이!B:B,동파파손!I:I)</f>
        <v>0</v>
      </c>
      <c r="R71">
        <f t="shared" si="2"/>
        <v>0</v>
      </c>
    </row>
    <row r="72" spans="1:18" ht="18.75" customHeight="1" x14ac:dyDescent="0.3">
      <c r="A72" s="9">
        <v>5749</v>
      </c>
      <c r="B72" s="9" t="str">
        <f>VLOOKUP(A:A,제품등록!A:B,2,0)</f>
        <v>FT5749</v>
      </c>
      <c r="C72" s="31" t="str">
        <f>VLOOKUP(B72,제품등록!B:C,2,0)</f>
        <v>S)환타 파인 600PET 4X6</v>
      </c>
      <c r="D72" s="9">
        <v>36</v>
      </c>
      <c r="E72" s="9">
        <v>32</v>
      </c>
      <c r="F72" s="2">
        <f>SUMIF('창고1(실사표)'!B:B,재고차이!A:A,'창고1(실사표)'!F:F)*D72+SUMIF('창고2(실사표)'!B:B,재고차이!A:A,'창고2(실사표)'!F:F)*D72+SUMIF('믹스(잔량실사표)'!B:B,재고차이!A:A,'믹스(잔량실사표)'!F:F)*D72</f>
        <v>0</v>
      </c>
      <c r="G72" s="2">
        <f>SUMIF('창고1(실사표)'!B:B,재고차이!A:A,'창고1(실사표)'!E:E)*E72+SUMIF('창고2(실사표)'!B:B,재고차이!A:A,'창고2(실사표)'!E:E)*E72+SUMIF('믹스(잔량실사표)'!B:B,재고차이!A:A,'믹스(잔량실사표)'!E:E)*E72</f>
        <v>704</v>
      </c>
      <c r="H72" s="2">
        <f>SUMIF('창고1(실사표)'!B:B,재고차이!A:A,'창고1(실사표)'!G:G)+SUMIF('창고2(실사표)'!B:B,재고차이!A:A,'창고2(실사표)'!G:G)++SUMIF('믹스(잔량실사표)'!B:B,재고차이!A:A,'믹스(잔량실사표)'!G:G)</f>
        <v>30</v>
      </c>
      <c r="I7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72" s="2">
        <f t="shared" si="9"/>
        <v>734</v>
      </c>
      <c r="K72" s="2">
        <f>SUMIF(SAP!B:B,재고차이!B:B,SAP!Q:Q)</f>
        <v>735</v>
      </c>
      <c r="L72" s="2">
        <f>SUMIF(주간상차!A:A,재고차이!A:A,주간상차!E:E)</f>
        <v>0</v>
      </c>
      <c r="M72" s="37">
        <f t="shared" si="10"/>
        <v>0</v>
      </c>
      <c r="N72" s="41"/>
      <c r="O72" s="42"/>
      <c r="P72" s="125"/>
      <c r="Q72" s="8">
        <f>SUMIF(파손품!D:D,재고차이!B:B,파손품!I:I)+SUMIF(동파파손!D:D,재고차이!B:B,동파파손!I:I)</f>
        <v>1</v>
      </c>
      <c r="R72">
        <f t="shared" si="2"/>
        <v>0</v>
      </c>
    </row>
    <row r="73" spans="1:18" ht="18.75" hidden="1" customHeight="1" x14ac:dyDescent="0.3">
      <c r="A73" s="9">
        <v>8259</v>
      </c>
      <c r="B73" s="9" t="str">
        <f>VLOOKUP(A:A,제품등록!A:B,2,0)</f>
        <v>GG8259</v>
      </c>
      <c r="C73" s="31" t="str">
        <f>VLOOKUP(B73,제품등록!B:C,2,0)</f>
        <v>조지아 오리지널 200CAN 5X6</v>
      </c>
      <c r="D73" s="9"/>
      <c r="E73" s="9">
        <v>144</v>
      </c>
      <c r="F73" s="2">
        <f>SUMIF('창고1(실사표)'!B:B,재고차이!A:A,'창고1(실사표)'!F:F)*D73+SUMIF('창고2(실사표)'!B:B,재고차이!A:A,'창고2(실사표)'!F:F)*D73+SUMIF('믹스(잔량실사표)'!B:B,재고차이!A:A,'믹스(잔량실사표)'!F:F)*D73</f>
        <v>0</v>
      </c>
      <c r="G73" s="2">
        <f>SUMIF('창고1(실사표)'!B:B,재고차이!A:A,'창고1(실사표)'!E:E)*E73+SUMIF('창고2(실사표)'!B:B,재고차이!A:A,'창고2(실사표)'!E:E)*E73+SUMIF('믹스(잔량실사표)'!B:B,재고차이!A:A,'믹스(잔량실사표)'!E:E)*E73</f>
        <v>0</v>
      </c>
      <c r="H73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7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73" s="2">
        <f t="shared" si="9"/>
        <v>0</v>
      </c>
      <c r="K73" s="2">
        <f>SUMIF(SAP!B:B,재고차이!B:B,SAP!Q:Q)</f>
        <v>0</v>
      </c>
      <c r="L73" s="2">
        <f>SUMIF(주간상차!A:A,재고차이!A:A,주간상차!E:E)</f>
        <v>0</v>
      </c>
      <c r="M73" s="37">
        <f t="shared" si="10"/>
        <v>0</v>
      </c>
      <c r="N73" s="41"/>
      <c r="O73" s="42"/>
      <c r="P73" s="125"/>
      <c r="Q73" s="8">
        <f>SUMIF(파손품!D:D,재고차이!B:B,파손품!I:I)+SUMIF(동파파손!D:D,재고차이!B:B,동파파손!I:I)</f>
        <v>0</v>
      </c>
      <c r="R73">
        <f t="shared" si="2"/>
        <v>0</v>
      </c>
    </row>
    <row r="74" spans="1:18" ht="18.75" hidden="1" customHeight="1" x14ac:dyDescent="0.3">
      <c r="A74" s="9">
        <v>4867</v>
      </c>
      <c r="B74" s="9" t="str">
        <f>VLOOKUP(A:A,제품등록!A:B,2,0)</f>
        <v>GG4867</v>
      </c>
      <c r="C74" s="31" t="str">
        <f>VLOOKUP(B74,제품등록!B:C,2,0)</f>
        <v>조지아오리지널175C 5X6</v>
      </c>
      <c r="D74" s="9"/>
      <c r="E74" s="9">
        <v>156</v>
      </c>
      <c r="F74" s="2">
        <f>SUMIF('창고1(실사표)'!B:B,재고차이!A:A,'창고1(실사표)'!F:F)*D74+SUMIF('창고2(실사표)'!B:B,재고차이!A:A,'창고2(실사표)'!F:F)*D74+SUMIF('믹스(잔량실사표)'!B:B,재고차이!A:A,'믹스(잔량실사표)'!F:F)*D74</f>
        <v>0</v>
      </c>
      <c r="G74" s="2">
        <f>SUMIF('창고1(실사표)'!B:B,재고차이!A:A,'창고1(실사표)'!E:E)*E74+SUMIF('창고2(실사표)'!B:B,재고차이!A:A,'창고2(실사표)'!E:E)*E74+SUMIF('믹스(잔량실사표)'!B:B,재고차이!A:A,'믹스(잔량실사표)'!E:E)*E74</f>
        <v>0</v>
      </c>
      <c r="H7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7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74" s="2">
        <f t="shared" ref="J74:J105" si="15">SUM(F74:I74)</f>
        <v>0</v>
      </c>
      <c r="K74" s="2">
        <f>SUMIF(SAP!B:B,재고차이!B:B,SAP!Q:Q)</f>
        <v>0</v>
      </c>
      <c r="L74" s="2">
        <f>SUMIF(주간상차!A:A,재고차이!A:A,주간상차!E:E)</f>
        <v>0</v>
      </c>
      <c r="M74" s="37">
        <f t="shared" ref="M74:M105" si="16">J74-K74-L74-N74+O74+Q74</f>
        <v>0</v>
      </c>
      <c r="N74" s="41"/>
      <c r="O74" s="42"/>
      <c r="P74" s="125"/>
      <c r="Q74" s="8">
        <f>SUMIF(파손품!D:D,재고차이!B:B,파손품!I:I)+SUMIF(동파파손!D:D,재고차이!B:B,동파파손!I:I)</f>
        <v>0</v>
      </c>
      <c r="R74">
        <f t="shared" si="2"/>
        <v>0</v>
      </c>
    </row>
    <row r="75" spans="1:18" ht="18.75" hidden="1" customHeight="1" x14ac:dyDescent="0.3">
      <c r="A75" s="9">
        <v>4881</v>
      </c>
      <c r="B75" s="9" t="str">
        <f>VLOOKUP(A:A,제품등록!A:B,2,0)</f>
        <v>GG4881</v>
      </c>
      <c r="C75" s="31" t="str">
        <f>VLOOKUP(B75,제품등록!B:C,2,0)</f>
        <v>조지아 아메리카노 240CAN 5X6</v>
      </c>
      <c r="D75" s="9">
        <v>99</v>
      </c>
      <c r="E75" s="9">
        <v>132</v>
      </c>
      <c r="F75" s="2">
        <f>SUMIF('창고1(실사표)'!B:B,재고차이!A:A,'창고1(실사표)'!F:F)*D75+SUMIF('창고2(실사표)'!B:B,재고차이!A:A,'창고2(실사표)'!F:F)*D75+SUMIF('믹스(잔량실사표)'!B:B,재고차이!A:A,'믹스(잔량실사표)'!F:F)*D75</f>
        <v>0</v>
      </c>
      <c r="G75" s="2">
        <f>SUMIF('창고1(실사표)'!B:B,재고차이!A:A,'창고1(실사표)'!E:E)*E75+SUMIF('창고2(실사표)'!B:B,재고차이!A:A,'창고2(실사표)'!E:E)*E75+SUMIF('믹스(잔량실사표)'!B:B,재고차이!A:A,'믹스(잔량실사표)'!E:E)*E75</f>
        <v>0</v>
      </c>
      <c r="H7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7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75" s="2">
        <f t="shared" si="15"/>
        <v>0</v>
      </c>
      <c r="K75" s="2">
        <f>SUMIF(SAP!B:B,재고차이!B:B,SAP!Q:Q)</f>
        <v>0</v>
      </c>
      <c r="L75" s="2">
        <f>SUMIF(주간상차!A:A,재고차이!A:A,주간상차!E:E)</f>
        <v>0</v>
      </c>
      <c r="M75" s="37">
        <f t="shared" si="16"/>
        <v>0</v>
      </c>
      <c r="N75" s="41"/>
      <c r="O75" s="42"/>
      <c r="P75" s="125"/>
      <c r="Q75" s="8">
        <f>SUMIF(파손품!D:D,재고차이!B:B,파손품!I:I)+SUMIF(동파파손!D:D,재고차이!B:B,동파파손!I:I)</f>
        <v>0</v>
      </c>
      <c r="R75">
        <f t="shared" si="2"/>
        <v>0</v>
      </c>
    </row>
    <row r="76" spans="1:18" ht="18.75" hidden="1" customHeight="1" x14ac:dyDescent="0.3">
      <c r="A76" s="9">
        <v>8067</v>
      </c>
      <c r="B76" s="9" t="str">
        <f>VLOOKUP(A:A,제품등록!A:B,2,0)</f>
        <v>GG8067</v>
      </c>
      <c r="C76" s="31" t="str">
        <f>VLOOKUP(B76,제품등록!B:C,2,0)</f>
        <v>조지아 콜드브루 라떼 240CAN 5X6</v>
      </c>
      <c r="D76" s="9"/>
      <c r="E76" s="9">
        <v>132</v>
      </c>
      <c r="F76" s="2">
        <f>SUMIF('창고1(실사표)'!B:B,재고차이!A:A,'창고1(실사표)'!F:F)*D76+SUMIF('창고2(실사표)'!B:B,재고차이!A:A,'창고2(실사표)'!F:F)*D76+SUMIF('믹스(잔량실사표)'!B:B,재고차이!A:A,'믹스(잔량실사표)'!F:F)*D76</f>
        <v>0</v>
      </c>
      <c r="G76" s="2">
        <f>SUMIF('창고1(실사표)'!B:B,재고차이!A:A,'창고1(실사표)'!E:E)*E76+SUMIF('창고2(실사표)'!B:B,재고차이!A:A,'창고2(실사표)'!E:E)*E76+SUMIF('믹스(잔량실사표)'!B:B,재고차이!A:A,'믹스(잔량실사표)'!E:E)*E76</f>
        <v>0</v>
      </c>
      <c r="H7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7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76" s="2">
        <f t="shared" si="15"/>
        <v>0</v>
      </c>
      <c r="K76" s="2">
        <f>SUMIF(SAP!B:B,재고차이!B:B,SAP!Q:Q)</f>
        <v>0</v>
      </c>
      <c r="L76" s="2">
        <f>SUMIF(주간상차!A:A,재고차이!A:A,주간상차!E:E)</f>
        <v>0</v>
      </c>
      <c r="M76" s="37">
        <f t="shared" si="16"/>
        <v>0</v>
      </c>
      <c r="N76" s="41"/>
      <c r="O76" s="42"/>
      <c r="P76" s="125"/>
      <c r="Q76" s="8">
        <f>SUMIF(파손품!D:D,재고차이!B:B,파손품!I:I)+SUMIF(동파파손!D:D,재고차이!B:B,동파파손!I:I)</f>
        <v>0</v>
      </c>
      <c r="R76">
        <f t="shared" si="2"/>
        <v>0</v>
      </c>
    </row>
    <row r="77" spans="1:18" ht="18.75" hidden="1" customHeight="1" x14ac:dyDescent="0.3">
      <c r="A77" s="9">
        <v>8068</v>
      </c>
      <c r="B77" s="9" t="str">
        <f>VLOOKUP(A:A,제품등록!A:B,2,0)</f>
        <v>GG8068</v>
      </c>
      <c r="C77" s="31" t="str">
        <f>VLOOKUP(B77,제품등록!B:C,2,0)</f>
        <v>조지아 콜드브루 아메 240CAN 5X6</v>
      </c>
      <c r="D77" s="9"/>
      <c r="E77" s="9">
        <v>132</v>
      </c>
      <c r="F77" s="2">
        <f>SUMIF('창고1(실사표)'!B:B,재고차이!A:A,'창고1(실사표)'!F:F)*D77+SUMIF('창고2(실사표)'!B:B,재고차이!A:A,'창고2(실사표)'!F:F)*D77+SUMIF('믹스(잔량실사표)'!B:B,재고차이!A:A,'믹스(잔량실사표)'!F:F)*D77</f>
        <v>0</v>
      </c>
      <c r="G77" s="2">
        <f>SUMIF('창고1(실사표)'!B:B,재고차이!A:A,'창고1(실사표)'!E:E)*E77+SUMIF('창고2(실사표)'!B:B,재고차이!A:A,'창고2(실사표)'!E:E)*E77+SUMIF('믹스(잔량실사표)'!B:B,재고차이!A:A,'믹스(잔량실사표)'!E:E)*E77</f>
        <v>0</v>
      </c>
      <c r="H7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7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77" s="2">
        <f t="shared" si="15"/>
        <v>0</v>
      </c>
      <c r="K77" s="2">
        <f>SUMIF(SAP!B:B,재고차이!B:B,SAP!Q:Q)</f>
        <v>0</v>
      </c>
      <c r="L77" s="2">
        <f>SUMIF(주간상차!A:A,재고차이!A:A,주간상차!E:E)</f>
        <v>0</v>
      </c>
      <c r="M77" s="37">
        <f t="shared" si="16"/>
        <v>0</v>
      </c>
      <c r="N77" s="41"/>
      <c r="O77" s="42"/>
      <c r="P77" s="125"/>
      <c r="Q77" s="8">
        <f>SUMIF(파손품!D:D,재고차이!B:B,파손품!I:I)+SUMIF(동파파손!D:D,재고차이!B:B,동파파손!I:I)</f>
        <v>0</v>
      </c>
      <c r="R77">
        <f t="shared" si="2"/>
        <v>0</v>
      </c>
    </row>
    <row r="78" spans="1:18" ht="18.75" hidden="1" customHeight="1" x14ac:dyDescent="0.3">
      <c r="A78" s="9">
        <v>8082</v>
      </c>
      <c r="B78" s="9" t="str">
        <f>VLOOKUP(A:A,제품등록!A:B,2,0)</f>
        <v>GG8082</v>
      </c>
      <c r="C78" s="31" t="str">
        <f>VLOOKUP(B78,제품등록!B:C,2,0)</f>
        <v>S)조지아 리치아로마 블랙 270BTC 4X6</v>
      </c>
      <c r="D78" s="9"/>
      <c r="E78" s="9">
        <v>100</v>
      </c>
      <c r="F78" s="2">
        <f>SUMIF('창고1(실사표)'!B:B,재고차이!A:A,'창고1(실사표)'!F:F)*D78+SUMIF('창고2(실사표)'!B:B,재고차이!A:A,'창고2(실사표)'!F:F)*D78+SUMIF('믹스(잔량실사표)'!B:B,재고차이!A:A,'믹스(잔량실사표)'!F:F)*D78</f>
        <v>0</v>
      </c>
      <c r="G78" s="2">
        <f>SUMIF('창고1(실사표)'!B:B,재고차이!A:A,'창고1(실사표)'!E:E)*E78+SUMIF('창고2(실사표)'!B:B,재고차이!A:A,'창고2(실사표)'!E:E)*E78+SUMIF('믹스(잔량실사표)'!B:B,재고차이!A:A,'믹스(잔량실사표)'!E:E)*E78</f>
        <v>0</v>
      </c>
      <c r="H7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7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78" s="2">
        <f t="shared" si="15"/>
        <v>0</v>
      </c>
      <c r="K78" s="2">
        <f>SUMIF(SAP!B:B,재고차이!B:B,SAP!Q:Q)</f>
        <v>0</v>
      </c>
      <c r="L78" s="2">
        <f>SUMIF(주간상차!A:A,재고차이!A:A,주간상차!E:E)</f>
        <v>0</v>
      </c>
      <c r="M78" s="37">
        <f t="shared" si="16"/>
        <v>0</v>
      </c>
      <c r="N78" s="41"/>
      <c r="O78" s="42"/>
      <c r="P78" s="125"/>
      <c r="Q78" s="8">
        <f>SUMIF(파손품!D:D,재고차이!B:B,파손품!I:I)+SUMIF(동파파손!D:D,재고차이!B:B,동파파손!I:I)</f>
        <v>0</v>
      </c>
      <c r="R78">
        <f t="shared" si="2"/>
        <v>0</v>
      </c>
    </row>
    <row r="79" spans="1:18" ht="18.75" hidden="1" customHeight="1" x14ac:dyDescent="0.3">
      <c r="A79" s="9">
        <v>8291</v>
      </c>
      <c r="B79" s="9" t="str">
        <f>VLOOKUP(A:A,제품등록!A:B,2,0)</f>
        <v>GG8291</v>
      </c>
      <c r="C79" s="31" t="str">
        <f>VLOOKUP(B79,제품등록!B:C,2,0)</f>
        <v>S)조지아 리치아로마 블랙 270PET 4X6</v>
      </c>
      <c r="D79" s="9"/>
      <c r="E79" s="9">
        <v>100</v>
      </c>
      <c r="F79" s="2">
        <f>SUMIF('창고1(실사표)'!B:B,재고차이!A:A,'창고1(실사표)'!F:F)*D79+SUMIF('창고2(실사표)'!B:B,재고차이!A:A,'창고2(실사표)'!F:F)*D79+SUMIF('믹스(잔량실사표)'!B:B,재고차이!A:A,'믹스(잔량실사표)'!F:F)*D79</f>
        <v>0</v>
      </c>
      <c r="G79" s="2">
        <f>SUMIF('창고1(실사표)'!B:B,재고차이!A:A,'창고1(실사표)'!E:E)*E79+SUMIF('창고2(실사표)'!B:B,재고차이!A:A,'창고2(실사표)'!E:E)*E79+SUMIF('믹스(잔량실사표)'!B:B,재고차이!A:A,'믹스(잔량실사표)'!E:E)*E79</f>
        <v>0</v>
      </c>
      <c r="H79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7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79" s="2">
        <f t="shared" si="15"/>
        <v>0</v>
      </c>
      <c r="K79" s="2">
        <f>SUMIF(SAP!B:B,재고차이!B:B,SAP!Q:Q)</f>
        <v>0</v>
      </c>
      <c r="L79" s="2">
        <f>SUMIF(주간상차!A:A,재고차이!A:A,주간상차!E:E)</f>
        <v>0</v>
      </c>
      <c r="M79" s="37">
        <f t="shared" si="16"/>
        <v>0</v>
      </c>
      <c r="N79" s="41"/>
      <c r="O79" s="42"/>
      <c r="P79" s="125"/>
      <c r="Q79" s="8">
        <f>SUMIF(파손품!D:D,재고차이!B:B,파손품!I:I)+SUMIF(동파파손!D:D,재고차이!B:B,동파파손!I:I)</f>
        <v>0</v>
      </c>
      <c r="R79">
        <f t="shared" si="2"/>
        <v>0</v>
      </c>
    </row>
    <row r="80" spans="1:18" ht="18.75" hidden="1" customHeight="1" x14ac:dyDescent="0.3">
      <c r="A80" s="9">
        <v>8292</v>
      </c>
      <c r="B80" s="9" t="str">
        <f>VLOOKUP(A:A,제품등록!A:B,2,0)</f>
        <v>GG8292</v>
      </c>
      <c r="C80" s="31" t="str">
        <f>VLOOKUP(B80,제품등록!B:C,2,0)</f>
        <v>S)조지아 리치아로마 스윗아메 270PET 4X6</v>
      </c>
      <c r="D80" s="9"/>
      <c r="E80" s="9">
        <v>100</v>
      </c>
      <c r="F80" s="2">
        <f>SUMIF('창고1(실사표)'!B:B,재고차이!A:A,'창고1(실사표)'!F:F)*D80+SUMIF('창고2(실사표)'!B:B,재고차이!A:A,'창고2(실사표)'!F:F)*D80+SUMIF('믹스(잔량실사표)'!B:B,재고차이!A:A,'믹스(잔량실사표)'!F:F)*D80</f>
        <v>0</v>
      </c>
      <c r="G80" s="2">
        <f>SUMIF('창고1(실사표)'!B:B,재고차이!A:A,'창고1(실사표)'!E:E)*E80+SUMIF('창고2(실사표)'!B:B,재고차이!A:A,'창고2(실사표)'!E:E)*E80+SUMIF('믹스(잔량실사표)'!B:B,재고차이!A:A,'믹스(잔량실사표)'!E:E)*E80</f>
        <v>0</v>
      </c>
      <c r="H8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8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80" s="2">
        <f t="shared" si="15"/>
        <v>0</v>
      </c>
      <c r="K80" s="2">
        <f>SUMIF(SAP!B:B,재고차이!B:B,SAP!Q:Q)</f>
        <v>0</v>
      </c>
      <c r="L80" s="2">
        <f>SUMIF(주간상차!A:A,재고차이!A:A,주간상차!E:E)</f>
        <v>0</v>
      </c>
      <c r="M80" s="37">
        <f t="shared" si="16"/>
        <v>0</v>
      </c>
      <c r="N80" s="41"/>
      <c r="O80" s="42"/>
      <c r="P80" s="125"/>
      <c r="Q80" s="8">
        <f>SUMIF(파손품!D:D,재고차이!B:B,파손품!I:I)+SUMIF(동파파손!D:D,재고차이!B:B,동파파손!I:I)</f>
        <v>0</v>
      </c>
      <c r="R80">
        <f t="shared" si="2"/>
        <v>0</v>
      </c>
    </row>
    <row r="81" spans="1:18" ht="18.75" hidden="1" customHeight="1" x14ac:dyDescent="0.3">
      <c r="A81" s="9">
        <v>8293</v>
      </c>
      <c r="B81" s="9" t="str">
        <f>VLOOKUP(A:A,제품등록!A:B,2,0)</f>
        <v>GG8293</v>
      </c>
      <c r="C81" s="31" t="str">
        <f>VLOOKUP(B81,제품등록!B:C,2,0)</f>
        <v>S)조지아 리치아로마 라떼 270PET 4X6</v>
      </c>
      <c r="D81" s="9"/>
      <c r="E81" s="9">
        <v>100</v>
      </c>
      <c r="F81" s="2">
        <f>SUMIF('창고1(실사표)'!B:B,재고차이!A:A,'창고1(실사표)'!F:F)*D81+SUMIF('창고2(실사표)'!B:B,재고차이!A:A,'창고2(실사표)'!F:F)*D81+SUMIF('믹스(잔량실사표)'!B:B,재고차이!A:A,'믹스(잔량실사표)'!F:F)*D81</f>
        <v>0</v>
      </c>
      <c r="G81" s="2">
        <f>SUMIF('창고1(실사표)'!B:B,재고차이!A:A,'창고1(실사표)'!E:E)*E81+SUMIF('창고2(실사표)'!B:B,재고차이!A:A,'창고2(실사표)'!E:E)*E81+SUMIF('믹스(잔량실사표)'!B:B,재고차이!A:A,'믹스(잔량실사표)'!E:E)*E81</f>
        <v>0</v>
      </c>
      <c r="H81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8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81" s="2">
        <f t="shared" si="15"/>
        <v>0</v>
      </c>
      <c r="K81" s="2">
        <f>SUMIF(SAP!B:B,재고차이!B:B,SAP!Q:Q)</f>
        <v>0</v>
      </c>
      <c r="L81" s="2">
        <f>SUMIF(주간상차!A:A,재고차이!A:A,주간상차!E:E)</f>
        <v>0</v>
      </c>
      <c r="M81" s="37">
        <f t="shared" si="16"/>
        <v>0</v>
      </c>
      <c r="N81" s="41"/>
      <c r="O81" s="42"/>
      <c r="P81" s="125"/>
      <c r="Q81" s="8">
        <f>SUMIF(파손품!D:D,재고차이!B:B,파손품!I:I)+SUMIF(동파파손!D:D,재고차이!B:B,동파파손!I:I)</f>
        <v>0</v>
      </c>
      <c r="R81">
        <f t="shared" si="2"/>
        <v>0</v>
      </c>
    </row>
    <row r="82" spans="1:18" ht="18.75" hidden="1" customHeight="1" x14ac:dyDescent="0.3">
      <c r="A82" s="9">
        <v>8051</v>
      </c>
      <c r="B82" s="9" t="str">
        <f>VLOOKUP(A:A,제품등록!A:B,2,0)</f>
        <v>GG8051</v>
      </c>
      <c r="C82" s="31" t="str">
        <f>VLOOKUP(B82,제품등록!B:C,2,0)</f>
        <v>조지아 크래프트 콜드블랙 370PET 4X6</v>
      </c>
      <c r="D82" s="9"/>
      <c r="E82" s="9">
        <v>70</v>
      </c>
      <c r="F82" s="2">
        <f>SUMIF('창고1(실사표)'!B:B,재고차이!A:A,'창고1(실사표)'!F:F)*D82+SUMIF('창고2(실사표)'!B:B,재고차이!A:A,'창고2(실사표)'!F:F)*D82+SUMIF('믹스(잔량실사표)'!B:B,재고차이!A:A,'믹스(잔량실사표)'!F:F)*D82</f>
        <v>0</v>
      </c>
      <c r="G82" s="2">
        <f>SUMIF('창고1(실사표)'!B:B,재고차이!A:A,'창고1(실사표)'!E:E)*E82+SUMIF('창고2(실사표)'!B:B,재고차이!A:A,'창고2(실사표)'!E:E)*E82+SUMIF('믹스(잔량실사표)'!B:B,재고차이!A:A,'믹스(잔량실사표)'!E:E)*E82</f>
        <v>0</v>
      </c>
      <c r="H82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8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82" s="2">
        <f t="shared" si="15"/>
        <v>0</v>
      </c>
      <c r="K82" s="2">
        <f>SUMIF(SAP!B:B,재고차이!B:B,SAP!Q:Q)</f>
        <v>0</v>
      </c>
      <c r="L82" s="2">
        <f>SUMIF(주간상차!A:A,재고차이!A:A,주간상차!E:E)</f>
        <v>0</v>
      </c>
      <c r="M82" s="37">
        <f t="shared" si="16"/>
        <v>0</v>
      </c>
      <c r="N82" s="41"/>
      <c r="O82" s="42"/>
      <c r="P82" s="125"/>
      <c r="Q82" s="8">
        <f>SUMIF(파손품!D:D,재고차이!B:B,파손품!I:I)+SUMIF(동파파손!D:D,재고차이!B:B,동파파손!I:I)</f>
        <v>0</v>
      </c>
      <c r="R82">
        <f t="shared" si="2"/>
        <v>0</v>
      </c>
    </row>
    <row r="83" spans="1:18" ht="18.75" hidden="1" customHeight="1" x14ac:dyDescent="0.3">
      <c r="A83" s="9">
        <v>8052</v>
      </c>
      <c r="B83" s="9" t="str">
        <f>VLOOKUP(A:A,제품등록!A:B,2,0)</f>
        <v>GG8052</v>
      </c>
      <c r="C83" s="31" t="str">
        <f>VLOOKUP(B83,제품등록!B:C,2,0)</f>
        <v>조지아 크래프트 콜드라떼 370PET 4X6</v>
      </c>
      <c r="D83" s="9"/>
      <c r="E83" s="9">
        <v>70</v>
      </c>
      <c r="F83" s="2">
        <f>SUMIF('창고1(실사표)'!B:B,재고차이!A:A,'창고1(실사표)'!F:F)*D83+SUMIF('창고2(실사표)'!B:B,재고차이!A:A,'창고2(실사표)'!F:F)*D83+SUMIF('믹스(잔량실사표)'!B:B,재고차이!A:A,'믹스(잔량실사표)'!F:F)*D83</f>
        <v>0</v>
      </c>
      <c r="G83" s="2">
        <f>SUMIF('창고1(실사표)'!B:B,재고차이!A:A,'창고1(실사표)'!E:E)*E83+SUMIF('창고2(실사표)'!B:B,재고차이!A:A,'창고2(실사표)'!E:E)*E83+SUMIF('믹스(잔량실사표)'!B:B,재고차이!A:A,'믹스(잔량실사표)'!E:E)*E83</f>
        <v>0</v>
      </c>
      <c r="H83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8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83" s="2">
        <f t="shared" si="15"/>
        <v>0</v>
      </c>
      <c r="K83" s="2">
        <f>SUMIF(SAP!B:B,재고차이!B:B,SAP!Q:Q)</f>
        <v>0</v>
      </c>
      <c r="L83" s="2">
        <f>SUMIF(주간상차!A:A,재고차이!A:A,주간상차!E:E)</f>
        <v>0</v>
      </c>
      <c r="M83" s="37">
        <f t="shared" si="16"/>
        <v>0</v>
      </c>
      <c r="N83" s="41"/>
      <c r="O83" s="42"/>
      <c r="P83" s="125"/>
      <c r="Q83" s="8">
        <f>SUMIF(파손품!D:D,재고차이!B:B,파손품!I:I)+SUMIF(동파파손!D:D,재고차이!B:B,동파파손!I:I)</f>
        <v>0</v>
      </c>
      <c r="R83">
        <f t="shared" si="2"/>
        <v>0</v>
      </c>
    </row>
    <row r="84" spans="1:18" ht="18.75" hidden="1" customHeight="1" x14ac:dyDescent="0.3">
      <c r="A84" s="9">
        <v>8115</v>
      </c>
      <c r="B84" s="9" t="str">
        <f>VLOOKUP(A:A,제품등록!A:B,2,0)</f>
        <v>GG8115</v>
      </c>
      <c r="C84" s="31" t="str">
        <f>VLOOKUP(B84,제품등록!B:C,2,0)</f>
        <v>조지아 크래프트 블랙 800PET 2X6</v>
      </c>
      <c r="D84" s="9"/>
      <c r="E84" s="9">
        <v>65</v>
      </c>
      <c r="F84" s="2">
        <f>SUMIF('창고1(실사표)'!B:B,재고차이!A:A,'창고1(실사표)'!F:F)*D84+SUMIF('창고2(실사표)'!B:B,재고차이!A:A,'창고2(실사표)'!F:F)*D84+SUMIF('믹스(잔량실사표)'!B:B,재고차이!A:A,'믹스(잔량실사표)'!F:F)*D84</f>
        <v>0</v>
      </c>
      <c r="G84" s="2">
        <f>SUMIF('창고1(실사표)'!B:B,재고차이!A:A,'창고1(실사표)'!E:E)*E84+SUMIF('창고2(실사표)'!B:B,재고차이!A:A,'창고2(실사표)'!E:E)*E84+SUMIF('믹스(잔량실사표)'!B:B,재고차이!A:A,'믹스(잔량실사표)'!E:E)*E84</f>
        <v>0</v>
      </c>
      <c r="H8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8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84" s="2">
        <f t="shared" si="15"/>
        <v>0</v>
      </c>
      <c r="K84" s="2">
        <f>SUMIF(SAP!B:B,재고차이!B:B,SAP!Q:Q)</f>
        <v>0</v>
      </c>
      <c r="L84" s="2">
        <f>SUMIF(주간상차!A:A,재고차이!A:A,주간상차!E:E)</f>
        <v>0</v>
      </c>
      <c r="M84" s="37">
        <f t="shared" si="16"/>
        <v>0</v>
      </c>
      <c r="N84" s="41"/>
      <c r="O84" s="42"/>
      <c r="P84" s="125"/>
      <c r="Q84" s="8">
        <f>SUMIF(파손품!D:D,재고차이!B:B,파손품!I:I)+SUMIF(동파파손!D:D,재고차이!B:B,동파파손!I:I)</f>
        <v>0</v>
      </c>
      <c r="R84">
        <f t="shared" si="2"/>
        <v>0</v>
      </c>
    </row>
    <row r="85" spans="1:18" ht="18.75" hidden="1" customHeight="1" x14ac:dyDescent="0.3">
      <c r="A85" s="9">
        <v>8090</v>
      </c>
      <c r="B85" s="9" t="str">
        <f>VLOOKUP(A:A,제품등록!A:B,2,0)</f>
        <v>GG8090</v>
      </c>
      <c r="C85" s="31" t="str">
        <f>VLOOKUP(B85,제품등록!B:C,2,0)</f>
        <v>조지아 고티카 콜드라떼 265BTC 4X6</v>
      </c>
      <c r="D85" s="9"/>
      <c r="E85" s="9">
        <v>96</v>
      </c>
      <c r="F85" s="2">
        <f>SUMIF('창고1(실사표)'!B:B,재고차이!A:A,'창고1(실사표)'!F:F)*D85+SUMIF('창고2(실사표)'!B:B,재고차이!A:A,'창고2(실사표)'!F:F)*D85+SUMIF('믹스(잔량실사표)'!B:B,재고차이!A:A,'믹스(잔량실사표)'!F:F)*D85</f>
        <v>0</v>
      </c>
      <c r="G85" s="2">
        <f>SUMIF('창고1(실사표)'!B:B,재고차이!A:A,'창고1(실사표)'!E:E)*E85+SUMIF('창고2(실사표)'!B:B,재고차이!A:A,'창고2(실사표)'!E:E)*E85+SUMIF('믹스(잔량실사표)'!B:B,재고차이!A:A,'믹스(잔량실사표)'!E:E)*E85</f>
        <v>0</v>
      </c>
      <c r="H8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8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85" s="2">
        <f t="shared" si="15"/>
        <v>0</v>
      </c>
      <c r="K85" s="2">
        <f>SUMIF(SAP!B:B,재고차이!B:B,SAP!Q:Q)</f>
        <v>0</v>
      </c>
      <c r="L85" s="2">
        <f>SUMIF(주간상차!A:A,재고차이!A:A,주간상차!E:E)</f>
        <v>0</v>
      </c>
      <c r="M85" s="37">
        <f t="shared" si="16"/>
        <v>0</v>
      </c>
      <c r="N85" s="41"/>
      <c r="O85" s="42"/>
      <c r="P85" s="125"/>
      <c r="Q85" s="8">
        <f>SUMIF(파손품!D:D,재고차이!B:B,파손품!I:I)+SUMIF(동파파손!D:D,재고차이!B:B,동파파손!I:I)</f>
        <v>0</v>
      </c>
      <c r="R85">
        <f t="shared" si="2"/>
        <v>0</v>
      </c>
    </row>
    <row r="86" spans="1:18" ht="18.75" hidden="1" customHeight="1" x14ac:dyDescent="0.3">
      <c r="A86" s="9">
        <v>8167</v>
      </c>
      <c r="B86" s="9" t="str">
        <f>VLOOKUP(A:A,제품등록!A:B,2,0)</f>
        <v>GG8167</v>
      </c>
      <c r="C86" s="31" t="str">
        <f>VLOOKUP(B86,제품등록!B:C,2,0)</f>
        <v>S)조지아 리치아로마 라떼 270BTC 4X6</v>
      </c>
      <c r="D86" s="9"/>
      <c r="E86" s="9">
        <v>100</v>
      </c>
      <c r="F86" s="2">
        <f>SUMIF('창고1(실사표)'!B:B,재고차이!A:A,'창고1(실사표)'!F:F)*D86+SUMIF('창고2(실사표)'!B:B,재고차이!A:A,'창고2(실사표)'!F:F)*D86+SUMIF('믹스(잔량실사표)'!B:B,재고차이!A:A,'믹스(잔량실사표)'!F:F)*D86</f>
        <v>0</v>
      </c>
      <c r="G86" s="2">
        <f>SUMIF('창고1(실사표)'!B:B,재고차이!A:A,'창고1(실사표)'!E:E)*E86+SUMIF('창고2(실사표)'!B:B,재고차이!A:A,'창고2(실사표)'!E:E)*E86+SUMIF('믹스(잔량실사표)'!B:B,재고차이!A:A,'믹스(잔량실사표)'!E:E)*E86</f>
        <v>0</v>
      </c>
      <c r="H8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8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86" s="2">
        <f t="shared" si="15"/>
        <v>0</v>
      </c>
      <c r="K86" s="2">
        <f>SUMIF(SAP!B:B,재고차이!B:B,SAP!Q:Q)</f>
        <v>0</v>
      </c>
      <c r="L86" s="2">
        <f>SUMIF(주간상차!A:A,재고차이!A:A,주간상차!E:E)</f>
        <v>0</v>
      </c>
      <c r="M86" s="37">
        <f t="shared" si="16"/>
        <v>0</v>
      </c>
      <c r="N86" s="41"/>
      <c r="O86" s="42"/>
      <c r="P86" s="125"/>
      <c r="Q86" s="8">
        <f>SUMIF(파손품!D:D,재고차이!B:B,파손품!I:I)+SUMIF(동파파손!D:D,재고차이!B:B,동파파손!I:I)</f>
        <v>0</v>
      </c>
      <c r="R86">
        <f t="shared" si="2"/>
        <v>0</v>
      </c>
    </row>
    <row r="87" spans="1:18" ht="18.75" hidden="1" customHeight="1" x14ac:dyDescent="0.3">
      <c r="A87" s="9">
        <v>8091</v>
      </c>
      <c r="B87" s="9" t="str">
        <f>VLOOKUP(A:A,제품등록!A:B,2,0)</f>
        <v>GG8091</v>
      </c>
      <c r="C87" s="31" t="str">
        <f>VLOOKUP(B87,제품등록!B:C,2,0)</f>
        <v>조지아 고티카 콜드아메 265BTC 4X6</v>
      </c>
      <c r="D87" s="9"/>
      <c r="E87" s="9">
        <v>96</v>
      </c>
      <c r="F87" s="2">
        <f>SUMIF('창고1(실사표)'!B:B,재고차이!A:A,'창고1(실사표)'!F:F)*D87+SUMIF('창고2(실사표)'!B:B,재고차이!A:A,'창고2(실사표)'!F:F)*D87+SUMIF('믹스(잔량실사표)'!B:B,재고차이!A:A,'믹스(잔량실사표)'!F:F)*D87</f>
        <v>0</v>
      </c>
      <c r="G87" s="2">
        <f>SUMIF('창고1(실사표)'!B:B,재고차이!A:A,'창고1(실사표)'!E:E)*E87+SUMIF('창고2(실사표)'!B:B,재고차이!A:A,'창고2(실사표)'!E:E)*E87+SUMIF('믹스(잔량실사표)'!B:B,재고차이!A:A,'믹스(잔량실사표)'!E:E)*E87</f>
        <v>0</v>
      </c>
      <c r="H8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8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87" s="2">
        <f t="shared" si="15"/>
        <v>0</v>
      </c>
      <c r="K87" s="2">
        <f>SUMIF(SAP!B:B,재고차이!B:B,SAP!Q:Q)</f>
        <v>0</v>
      </c>
      <c r="L87" s="2">
        <f>SUMIF(주간상차!A:A,재고차이!A:A,주간상차!E:E)</f>
        <v>0</v>
      </c>
      <c r="M87" s="37">
        <f t="shared" si="16"/>
        <v>0</v>
      </c>
      <c r="N87" s="41"/>
      <c r="O87" s="42"/>
      <c r="P87" s="125"/>
      <c r="Q87" s="8">
        <f>SUMIF(파손품!D:D,재고차이!B:B,파손품!I:I)+SUMIF(동파파손!D:D,재고차이!B:B,동파파손!I:I)</f>
        <v>0</v>
      </c>
      <c r="R87">
        <f t="shared" ref="R87:R160" si="17">M87/E87</f>
        <v>0</v>
      </c>
    </row>
    <row r="88" spans="1:18" ht="18.75" hidden="1" customHeight="1" x14ac:dyDescent="0.3">
      <c r="A88" s="32">
        <v>8223</v>
      </c>
      <c r="B88" s="9" t="str">
        <f>VLOOKUP(A:A,제품등록!A:B,2,0)</f>
        <v>GG8223</v>
      </c>
      <c r="C88" s="31" t="str">
        <f>VLOOKUP(B88,제품등록!B:C,2,0)</f>
        <v>조지아 아이스아메 230PU 5X10</v>
      </c>
      <c r="D88" s="9"/>
      <c r="E88" s="9">
        <v>40</v>
      </c>
      <c r="F88" s="2">
        <f>SUMIF('창고1(실사표)'!B:B,재고차이!A:A,'창고1(실사표)'!F:F)*D88+SUMIF('창고2(실사표)'!B:B,재고차이!A:A,'창고2(실사표)'!F:F)*D88+SUMIF('믹스(잔량실사표)'!B:B,재고차이!A:A,'믹스(잔량실사표)'!F:F)*D88</f>
        <v>0</v>
      </c>
      <c r="G88" s="2">
        <f>SUMIF('창고1(실사표)'!B:B,재고차이!A:A,'창고1(실사표)'!E:E)*E88+SUMIF('창고2(실사표)'!B:B,재고차이!A:A,'창고2(실사표)'!E:E)*E88+SUMIF('믹스(잔량실사표)'!B:B,재고차이!A:A,'믹스(잔량실사표)'!E:E)*E88</f>
        <v>0</v>
      </c>
      <c r="H8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8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88" s="2">
        <f t="shared" si="15"/>
        <v>0</v>
      </c>
      <c r="K88" s="2">
        <f>SUMIF(SAP!B:B,재고차이!B:B,SAP!Q:Q)</f>
        <v>0</v>
      </c>
      <c r="L88" s="2">
        <f>SUMIF(주간상차!A:A,재고차이!A:A,주간상차!E:E)</f>
        <v>0</v>
      </c>
      <c r="M88" s="37">
        <f t="shared" si="16"/>
        <v>0</v>
      </c>
      <c r="N88" s="41"/>
      <c r="O88" s="42"/>
      <c r="P88" s="125"/>
      <c r="Q88" s="8">
        <f>SUMIF(파손품!D:D,재고차이!B:B,파손품!I:I)+SUMIF(동파파손!D:D,재고차이!B:B,동파파손!I:I)</f>
        <v>0</v>
      </c>
      <c r="R88">
        <f t="shared" si="17"/>
        <v>0</v>
      </c>
    </row>
    <row r="89" spans="1:18" ht="18.75" hidden="1" customHeight="1" x14ac:dyDescent="0.3">
      <c r="A89" s="32">
        <v>8222</v>
      </c>
      <c r="B89" s="9" t="str">
        <f>VLOOKUP(A:A,제품등록!A:B,2,0)</f>
        <v>GG8222</v>
      </c>
      <c r="C89" s="31" t="str">
        <f>VLOOKUP(B89,제품등록!B:C,2,0)</f>
        <v>조지아 스윗아메 230PU 5X10</v>
      </c>
      <c r="D89" s="9"/>
      <c r="E89" s="9">
        <v>40</v>
      </c>
      <c r="F89" s="2">
        <f>SUMIF('창고1(실사표)'!B:B,재고차이!A:A,'창고1(실사표)'!F:F)*D89+SUMIF('창고2(실사표)'!B:B,재고차이!A:A,'창고2(실사표)'!F:F)*D89+SUMIF('믹스(잔량실사표)'!B:B,재고차이!A:A,'믹스(잔량실사표)'!F:F)*D89</f>
        <v>0</v>
      </c>
      <c r="G89" s="2">
        <f>SUMIF('창고1(실사표)'!B:B,재고차이!A:A,'창고1(실사표)'!E:E)*E89+SUMIF('창고2(실사표)'!B:B,재고차이!A:A,'창고2(실사표)'!E:E)*E89+SUMIF('믹스(잔량실사표)'!B:B,재고차이!A:A,'믹스(잔량실사표)'!E:E)*E89</f>
        <v>0</v>
      </c>
      <c r="H89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8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89" s="2">
        <f t="shared" si="15"/>
        <v>0</v>
      </c>
      <c r="K89" s="2">
        <f>SUMIF(SAP!B:B,재고차이!B:B,SAP!Q:Q)</f>
        <v>0</v>
      </c>
      <c r="L89" s="2">
        <f>SUMIF(주간상차!A:A,재고차이!A:A,주간상차!E:E)</f>
        <v>0</v>
      </c>
      <c r="M89" s="37">
        <f t="shared" si="16"/>
        <v>0</v>
      </c>
      <c r="N89" s="41"/>
      <c r="O89" s="42"/>
      <c r="P89" s="125"/>
      <c r="Q89" s="8">
        <f>SUMIF(파손품!D:D,재고차이!B:B,파손품!I:I)+SUMIF(동파파손!D:D,재고차이!B:B,동파파손!I:I)</f>
        <v>0</v>
      </c>
      <c r="R89">
        <f t="shared" si="17"/>
        <v>0</v>
      </c>
    </row>
    <row r="90" spans="1:18" ht="18.75" hidden="1" customHeight="1" x14ac:dyDescent="0.3">
      <c r="A90" s="9" t="s">
        <v>1780</v>
      </c>
      <c r="B90" s="9" t="str">
        <f>VLOOKUP(A:A,제품등록!A:B,2,0)</f>
        <v>GG8143</v>
      </c>
      <c r="C90" s="31" t="str">
        <f>VLOOKUP(B90,제품등록!B:C,2,0)</f>
        <v>S)조지아 고티카 마스터스 390BTC 4X6</v>
      </c>
      <c r="D90" s="9"/>
      <c r="E90" s="9">
        <v>80</v>
      </c>
      <c r="F90" s="2">
        <f>SUMIF('창고1(실사표)'!B:B,재고차이!A:A,'창고1(실사표)'!F:F)*D90+SUMIF('창고2(실사표)'!B:B,재고차이!A:A,'창고2(실사표)'!F:F)*D90+SUMIF('믹스(잔량실사표)'!B:B,재고차이!A:A,'믹스(잔량실사표)'!F:F)*D90</f>
        <v>0</v>
      </c>
      <c r="G90" s="2">
        <f>SUMIF('창고1(실사표)'!B:B,재고차이!A:A,'창고1(실사표)'!E:E)*E90+SUMIF('창고2(실사표)'!B:B,재고차이!A:A,'창고2(실사표)'!E:E)*E90+SUMIF('믹스(잔량실사표)'!B:B,재고차이!A:A,'믹스(잔량실사표)'!E:E)*E90</f>
        <v>0</v>
      </c>
      <c r="H9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9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90" s="2">
        <f t="shared" si="15"/>
        <v>0</v>
      </c>
      <c r="K90" s="2">
        <f>SUMIF(SAP!B:B,재고차이!B:B,SAP!Q:Q)</f>
        <v>0</v>
      </c>
      <c r="L90" s="2">
        <f>SUMIF(주간상차!A:A,재고차이!A:A,주간상차!E:E)</f>
        <v>0</v>
      </c>
      <c r="M90" s="37">
        <f t="shared" si="16"/>
        <v>0</v>
      </c>
      <c r="N90" s="41"/>
      <c r="O90" s="42"/>
      <c r="P90" s="125"/>
      <c r="Q90" s="8">
        <f>SUMIF(파손품!D:D,재고차이!B:B,파손품!I:I)+SUMIF(동파파손!D:D,재고차이!B:B,동파파손!I:I)</f>
        <v>0</v>
      </c>
      <c r="R90">
        <f t="shared" si="17"/>
        <v>0</v>
      </c>
    </row>
    <row r="91" spans="1:18" ht="18.75" hidden="1" customHeight="1" x14ac:dyDescent="0.3">
      <c r="A91" s="9">
        <v>5570</v>
      </c>
      <c r="B91" s="9" t="str">
        <f>VLOOKUP(A:A,제품등록!A:B,2,0)</f>
        <v>GL5570</v>
      </c>
      <c r="C91" s="31" t="str">
        <f>VLOOKUP(B91,제품등록!B:C,2,0)</f>
        <v>글라소 파워씨 500PET 2X6</v>
      </c>
      <c r="D91" s="9"/>
      <c r="E91" s="9">
        <v>96</v>
      </c>
      <c r="F91" s="2">
        <f>SUMIF('창고1(실사표)'!B:B,재고차이!A:A,'창고1(실사표)'!F:F)*D91+SUMIF('창고2(실사표)'!B:B,재고차이!A:A,'창고2(실사표)'!F:F)*D91+SUMIF('믹스(잔량실사표)'!B:B,재고차이!A:A,'믹스(잔량실사표)'!F:F)*D91</f>
        <v>0</v>
      </c>
      <c r="G91" s="2">
        <f>SUMIF('창고1(실사표)'!B:B,재고차이!A:A,'창고1(실사표)'!E:E)*E91+SUMIF('창고2(실사표)'!B:B,재고차이!A:A,'창고2(실사표)'!E:E)*E91+SUMIF('믹스(잔량실사표)'!B:B,재고차이!A:A,'믹스(잔량실사표)'!E:E)*E91</f>
        <v>0</v>
      </c>
      <c r="H91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9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91" s="2">
        <f t="shared" si="15"/>
        <v>0</v>
      </c>
      <c r="K91" s="2">
        <f>SUMIF(SAP!B:B,재고차이!B:B,SAP!Q:Q)</f>
        <v>0</v>
      </c>
      <c r="L91" s="2">
        <f>SUMIF(주간상차!A:A,재고차이!A:A,주간상차!E:E)</f>
        <v>0</v>
      </c>
      <c r="M91" s="37">
        <f t="shared" si="16"/>
        <v>0</v>
      </c>
      <c r="N91" s="41"/>
      <c r="O91" s="42"/>
      <c r="P91" s="125"/>
      <c r="Q91" s="8">
        <f>SUMIF(파손품!D:D,재고차이!B:B,파손품!I:I)+SUMIF(동파파손!D:D,재고차이!B:B,동파파손!I:I)</f>
        <v>0</v>
      </c>
      <c r="R91">
        <f t="shared" si="17"/>
        <v>0</v>
      </c>
    </row>
    <row r="92" spans="1:18" ht="18.75" hidden="1" customHeight="1" x14ac:dyDescent="0.3">
      <c r="A92" s="9">
        <v>5571</v>
      </c>
      <c r="B92" s="9" t="str">
        <f>VLOOKUP(A:A,제품등록!A:B,2,0)</f>
        <v>GL5571</v>
      </c>
      <c r="C92" s="31" t="str">
        <f>VLOOKUP(B92,제품등록!B:C,2,0)</f>
        <v>글라소 에너지 500PET 2X6</v>
      </c>
      <c r="D92" s="9"/>
      <c r="E92" s="9">
        <v>96</v>
      </c>
      <c r="F92" s="2">
        <f>SUMIF('창고1(실사표)'!B:B,재고차이!A:A,'창고1(실사표)'!F:F)*D92+SUMIF('창고2(실사표)'!B:B,재고차이!A:A,'창고2(실사표)'!F:F)*D92+SUMIF('믹스(잔량실사표)'!B:B,재고차이!A:A,'믹스(잔량실사표)'!F:F)*D92</f>
        <v>0</v>
      </c>
      <c r="G92" s="2">
        <f>SUMIF('창고1(실사표)'!B:B,재고차이!A:A,'창고1(실사표)'!E:E)*E92+SUMIF('창고2(실사표)'!B:B,재고차이!A:A,'창고2(실사표)'!E:E)*E92+SUMIF('믹스(잔량실사표)'!B:B,재고차이!A:A,'믹스(잔량실사표)'!E:E)*E92</f>
        <v>0</v>
      </c>
      <c r="H92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9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92" s="2">
        <f t="shared" si="15"/>
        <v>0</v>
      </c>
      <c r="K92" s="2">
        <f>SUMIF(SAP!B:B,재고차이!B:B,SAP!Q:Q)</f>
        <v>0</v>
      </c>
      <c r="L92" s="2">
        <f>SUMIF(주간상차!A:A,재고차이!A:A,주간상차!E:E)</f>
        <v>0</v>
      </c>
      <c r="M92" s="37">
        <f t="shared" si="16"/>
        <v>0</v>
      </c>
      <c r="N92" s="41"/>
      <c r="O92" s="42"/>
      <c r="P92" s="125"/>
      <c r="Q92" s="8">
        <f>SUMIF(파손품!D:D,재고차이!B:B,파손품!I:I)+SUMIF(동파파손!D:D,재고차이!B:B,동파파손!I:I)</f>
        <v>0</v>
      </c>
      <c r="R92">
        <f t="shared" si="17"/>
        <v>0</v>
      </c>
    </row>
    <row r="93" spans="1:18" ht="18.75" hidden="1" customHeight="1" x14ac:dyDescent="0.3">
      <c r="A93" s="9">
        <v>4042</v>
      </c>
      <c r="B93" s="9" t="str">
        <f>VLOOKUP(A:A,제품등록!A:B,2,0)</f>
        <v>MM4042</v>
      </c>
      <c r="C93" s="31" t="str">
        <f>VLOOKUP(B93,제품등록!B:C,2,0)</f>
        <v>미닛 스파클링 청포도 칼로리 350CAN 4X6</v>
      </c>
      <c r="D93" s="9"/>
      <c r="E93" s="9">
        <v>100</v>
      </c>
      <c r="F93" s="2">
        <f>SUMIF('창고1(실사표)'!B:B,재고차이!A:A,'창고1(실사표)'!F:F)*D93+SUMIF('창고2(실사표)'!B:B,재고차이!A:A,'창고2(실사표)'!F:F)*D93+SUMIF('믹스(잔량실사표)'!B:B,재고차이!A:A,'믹스(잔량실사표)'!F:F)*D93</f>
        <v>0</v>
      </c>
      <c r="G93" s="2">
        <f>SUMIF('창고1(실사표)'!B:B,재고차이!A:A,'창고1(실사표)'!E:E)*E93+SUMIF('창고2(실사표)'!B:B,재고차이!A:A,'창고2(실사표)'!E:E)*E93+SUMIF('믹스(잔량실사표)'!B:B,재고차이!A:A,'믹스(잔량실사표)'!E:E)*E93</f>
        <v>0</v>
      </c>
      <c r="H93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9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93" s="2">
        <f t="shared" si="15"/>
        <v>0</v>
      </c>
      <c r="K93" s="2">
        <f>SUMIF(SAP!B:B,재고차이!B:B,SAP!Q:Q)</f>
        <v>0</v>
      </c>
      <c r="L93" s="2">
        <f>SUMIF(주간상차!A:A,재고차이!A:A,주간상차!E:E)</f>
        <v>0</v>
      </c>
      <c r="M93" s="37">
        <f t="shared" si="16"/>
        <v>0</v>
      </c>
      <c r="N93" s="41"/>
      <c r="O93" s="42"/>
      <c r="P93" s="125"/>
      <c r="Q93" s="8">
        <f>SUMIF(파손품!D:D,재고차이!B:B,파손품!I:I)+SUMIF(동파파손!D:D,재고차이!B:B,동파파손!I:I)</f>
        <v>0</v>
      </c>
      <c r="R93">
        <f t="shared" si="17"/>
        <v>0</v>
      </c>
    </row>
    <row r="94" spans="1:18" ht="18.75" hidden="1" customHeight="1" x14ac:dyDescent="0.3">
      <c r="A94" s="9">
        <v>4044</v>
      </c>
      <c r="B94" s="9" t="str">
        <f>VLOOKUP(A:A,제품등록!A:B,2,0)</f>
        <v>MM4044</v>
      </c>
      <c r="C94" s="31" t="str">
        <f>VLOOKUP(B94,제품등록!B:C,2,0)</f>
        <v>미닛 스파클링 사과 칼로리 350CAN 4X6</v>
      </c>
      <c r="D94" s="9"/>
      <c r="E94" s="9">
        <v>100</v>
      </c>
      <c r="F94" s="2">
        <f>SUMIF('창고1(실사표)'!B:B,재고차이!A:A,'창고1(실사표)'!F:F)*D94+SUMIF('창고2(실사표)'!B:B,재고차이!A:A,'창고2(실사표)'!F:F)*D94+SUMIF('믹스(잔량실사표)'!B:B,재고차이!A:A,'믹스(잔량실사표)'!F:F)*D94</f>
        <v>0</v>
      </c>
      <c r="G94" s="2">
        <f>SUMIF('창고1(실사표)'!B:B,재고차이!A:A,'창고1(실사표)'!E:E)*E94+SUMIF('창고2(실사표)'!B:B,재고차이!A:A,'창고2(실사표)'!E:E)*E94+SUMIF('믹스(잔량실사표)'!B:B,재고차이!A:A,'믹스(잔량실사표)'!E:E)*E94</f>
        <v>0</v>
      </c>
      <c r="H9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9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94" s="2">
        <f t="shared" si="15"/>
        <v>0</v>
      </c>
      <c r="K94" s="2">
        <f>SUMIF(SAP!B:B,재고차이!B:B,SAP!Q:Q)</f>
        <v>0</v>
      </c>
      <c r="L94" s="2">
        <f>SUMIF(주간상차!A:A,재고차이!A:A,주간상차!E:E)</f>
        <v>0</v>
      </c>
      <c r="M94" s="37">
        <f t="shared" si="16"/>
        <v>0</v>
      </c>
      <c r="N94" s="41"/>
      <c r="O94" s="42"/>
      <c r="P94" s="125"/>
      <c r="Q94" s="8">
        <f>SUMIF(파손품!D:D,재고차이!B:B,파손품!I:I)+SUMIF(동파파손!D:D,재고차이!B:B,동파파손!I:I)</f>
        <v>0</v>
      </c>
      <c r="R94">
        <f t="shared" si="17"/>
        <v>0</v>
      </c>
    </row>
    <row r="95" spans="1:18" ht="18.75" hidden="1" customHeight="1" x14ac:dyDescent="0.3">
      <c r="A95" s="9">
        <v>8181</v>
      </c>
      <c r="B95" s="9" t="str">
        <f>VLOOKUP(A:A,제품등록!A:B,2,0)</f>
        <v>GG8181</v>
      </c>
      <c r="C95" s="31" t="str">
        <f>VLOOKUP(B95,제품등록!B:C,2,0)</f>
        <v>조지아 오리지널 350PET 4X6</v>
      </c>
      <c r="D95" s="9"/>
      <c r="E95" s="9">
        <v>91</v>
      </c>
      <c r="F95" s="2">
        <f>SUMIF('창고1(실사표)'!B:B,재고차이!A:A,'창고1(실사표)'!F:F)*D95+SUMIF('창고2(실사표)'!B:B,재고차이!A:A,'창고2(실사표)'!F:F)*D95+SUMIF('믹스(잔량실사표)'!B:B,재고차이!A:A,'믹스(잔량실사표)'!F:F)*D95</f>
        <v>0</v>
      </c>
      <c r="G95" s="2">
        <f>SUMIF('창고1(실사표)'!B:B,재고차이!A:A,'창고1(실사표)'!E:E)*E95+SUMIF('창고2(실사표)'!B:B,재고차이!A:A,'창고2(실사표)'!E:E)*E95+SUMIF('믹스(잔량실사표)'!B:B,재고차이!A:A,'믹스(잔량실사표)'!E:E)*E95</f>
        <v>0</v>
      </c>
      <c r="H9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9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95" s="2">
        <f t="shared" si="15"/>
        <v>0</v>
      </c>
      <c r="K95" s="2">
        <f>SUMIF(SAP!B:B,재고차이!B:B,SAP!Q:Q)</f>
        <v>0</v>
      </c>
      <c r="L95" s="2">
        <f>SUMIF(주간상차!A:A,재고차이!A:A,주간상차!E:E)</f>
        <v>0</v>
      </c>
      <c r="M95" s="37">
        <f t="shared" si="16"/>
        <v>0</v>
      </c>
      <c r="N95" s="41"/>
      <c r="O95" s="42"/>
      <c r="P95" s="125"/>
      <c r="Q95" s="8">
        <f>SUMIF(파손품!D:D,재고차이!B:B,파손품!I:I)+SUMIF(동파파손!D:D,재고차이!B:B,동파파손!I:I)</f>
        <v>0</v>
      </c>
      <c r="R95">
        <f t="shared" si="17"/>
        <v>0</v>
      </c>
    </row>
    <row r="96" spans="1:18" ht="18.75" hidden="1" customHeight="1" x14ac:dyDescent="0.3">
      <c r="A96" s="32">
        <v>8224</v>
      </c>
      <c r="B96" s="9" t="str">
        <f>VLOOKUP(A:A,제품등록!A:B,2,0)</f>
        <v>GG8224</v>
      </c>
      <c r="C96" s="31" t="str">
        <f>VLOOKUP(B96,제품등록!B:C,2,0)</f>
        <v>조지아 아이스블랙 230PU 5X10</v>
      </c>
      <c r="D96" s="9"/>
      <c r="E96" s="9">
        <v>40</v>
      </c>
      <c r="F96" s="2">
        <f>SUMIF('창고1(실사표)'!B:B,재고차이!A:A,'창고1(실사표)'!F:F)*D96+SUMIF('창고2(실사표)'!B:B,재고차이!A:A,'창고2(실사표)'!F:F)*D96+SUMIF('믹스(잔량실사표)'!B:B,재고차이!A:A,'믹스(잔량실사표)'!F:F)*D96</f>
        <v>0</v>
      </c>
      <c r="G96" s="2">
        <f>SUMIF('창고1(실사표)'!B:B,재고차이!A:A,'창고1(실사표)'!E:E)*E96+SUMIF('창고2(실사표)'!B:B,재고차이!A:A,'창고2(실사표)'!E:E)*E96+SUMIF('믹스(잔량실사표)'!B:B,재고차이!A:A,'믹스(잔량실사표)'!E:E)*E96</f>
        <v>0</v>
      </c>
      <c r="H9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9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96" s="2">
        <f t="shared" si="15"/>
        <v>0</v>
      </c>
      <c r="K96" s="2">
        <f>SUMIF(SAP!B:B,재고차이!B:B,SAP!Q:Q)</f>
        <v>0</v>
      </c>
      <c r="L96" s="2">
        <f>SUMIF(주간상차!A:A,재고차이!A:A,주간상차!E:E)</f>
        <v>0</v>
      </c>
      <c r="M96" s="37">
        <f t="shared" si="16"/>
        <v>0</v>
      </c>
      <c r="N96" s="41"/>
      <c r="O96" s="42"/>
      <c r="P96" s="125"/>
      <c r="Q96" s="8">
        <f>SUMIF(파손품!D:D,재고차이!B:B,파손품!I:I)+SUMIF(동파파손!D:D,재고차이!B:B,동파파손!I:I)</f>
        <v>0</v>
      </c>
      <c r="R96">
        <f t="shared" si="17"/>
        <v>0</v>
      </c>
    </row>
    <row r="97" spans="1:18" ht="18.75" customHeight="1" x14ac:dyDescent="0.3">
      <c r="A97" s="9">
        <v>6349</v>
      </c>
      <c r="B97" s="9" t="str">
        <f>VLOOKUP(A:A,제품등록!A:B,2,0)</f>
        <v>FT6349</v>
      </c>
      <c r="C97" s="31" t="str">
        <f>VLOOKUP(B97,제품등록!B:C,2,0)</f>
        <v>환타오렌지(S) 1.5P 2X6</v>
      </c>
      <c r="D97" s="9">
        <v>32</v>
      </c>
      <c r="E97" s="9">
        <v>33</v>
      </c>
      <c r="F97" s="2">
        <f>SUMIF('창고1(실사표)'!B:B,재고차이!A:A,'창고1(실사표)'!F:F)*D97+SUMIF('창고2(실사표)'!B:B,재고차이!A:A,'창고2(실사표)'!F:F)*D97+SUMIF('믹스(잔량실사표)'!B:B,재고차이!A:A,'믹스(잔량실사표)'!F:F)*D97</f>
        <v>0</v>
      </c>
      <c r="G97" s="2">
        <f>SUMIF('창고1(실사표)'!B:B,재고차이!A:A,'창고1(실사표)'!E:E)*E97+SUMIF('창고2(실사표)'!B:B,재고차이!A:A,'창고2(실사표)'!E:E)*E97+SUMIF('믹스(잔량실사표)'!B:B,재고차이!A:A,'믹스(잔량실사표)'!E:E)*E97</f>
        <v>561</v>
      </c>
      <c r="H97" s="2">
        <f>SUMIF('창고1(실사표)'!B:B,재고차이!A:A,'창고1(실사표)'!G:G)+SUMIF('창고2(실사표)'!B:B,재고차이!A:A,'창고2(실사표)'!G:G)++SUMIF('믹스(잔량실사표)'!B:B,재고차이!A:A,'믹스(잔량실사표)'!G:G)</f>
        <v>5</v>
      </c>
      <c r="I9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97" s="2">
        <f t="shared" si="15"/>
        <v>566</v>
      </c>
      <c r="K97" s="2">
        <f>SUMIF(SAP!B:B,재고차이!B:B,SAP!Q:Q)</f>
        <v>71</v>
      </c>
      <c r="L97" s="2">
        <f>SUMIF(주간상차!A:A,재고차이!A:A,주간상차!E:E)</f>
        <v>495</v>
      </c>
      <c r="M97" s="37">
        <f t="shared" si="16"/>
        <v>0</v>
      </c>
      <c r="N97" s="41"/>
      <c r="O97" s="42"/>
      <c r="P97" s="125"/>
      <c r="Q97" s="8">
        <f>SUMIF(파손품!D:D,재고차이!B:B,파손품!I:I)+SUMIF(동파파손!D:D,재고차이!B:B,동파파손!I:I)</f>
        <v>0</v>
      </c>
      <c r="R97">
        <f t="shared" si="17"/>
        <v>0</v>
      </c>
    </row>
    <row r="98" spans="1:18" ht="18.75" hidden="1" customHeight="1" x14ac:dyDescent="0.3">
      <c r="A98" s="9">
        <v>6510</v>
      </c>
      <c r="B98" s="9" t="str">
        <f>VLOOKUP(A:A,제품등록!A:B,2,0)</f>
        <v>MM6510</v>
      </c>
      <c r="C98" s="31" t="str">
        <f>VLOOKUP(B98,제품등록!B:C,2,0)</f>
        <v>S)MM오리지널GR100 1.5P 2X6</v>
      </c>
      <c r="D98" s="9">
        <v>32</v>
      </c>
      <c r="E98" s="9">
        <v>44</v>
      </c>
      <c r="F98" s="2">
        <f>SUMIF('창고1(실사표)'!B:B,재고차이!A:A,'창고1(실사표)'!F:F)*D98+SUMIF('창고2(실사표)'!B:B,재고차이!A:A,'창고2(실사표)'!F:F)*D98+SUMIF('믹스(잔량실사표)'!B:B,재고차이!A:A,'믹스(잔량실사표)'!F:F)*D98</f>
        <v>0</v>
      </c>
      <c r="G98" s="2">
        <f>SUMIF('창고1(실사표)'!B:B,재고차이!A:A,'창고1(실사표)'!E:E)*E98+SUMIF('창고2(실사표)'!B:B,재고차이!A:A,'창고2(실사표)'!E:E)*E98+SUMIF('믹스(잔량실사표)'!B:B,재고차이!A:A,'믹스(잔량실사표)'!E:E)*E98</f>
        <v>0</v>
      </c>
      <c r="H9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9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98" s="2">
        <f t="shared" si="15"/>
        <v>0</v>
      </c>
      <c r="K98" s="2">
        <f>SUMIF(SAP!B:B,재고차이!B:B,SAP!Q:Q)</f>
        <v>0</v>
      </c>
      <c r="L98" s="2">
        <f>SUMIF(주간상차!A:A,재고차이!A:A,주간상차!E:E)</f>
        <v>0</v>
      </c>
      <c r="M98" s="37">
        <f t="shared" si="16"/>
        <v>0</v>
      </c>
      <c r="N98" s="41"/>
      <c r="O98" s="42"/>
      <c r="P98" s="125"/>
      <c r="Q98" s="8">
        <f>SUMIF(파손품!D:D,재고차이!B:B,파손품!I:I)+SUMIF(동파파손!D:D,재고차이!B:B,동파파손!I:I)</f>
        <v>0</v>
      </c>
      <c r="R98">
        <f t="shared" si="17"/>
        <v>0</v>
      </c>
    </row>
    <row r="99" spans="1:18" ht="18.75" customHeight="1" x14ac:dyDescent="0.3">
      <c r="A99" s="9">
        <v>4872</v>
      </c>
      <c r="B99" s="9" t="str">
        <f>VLOOKUP(A:A,제품등록!A:B,2,0)</f>
        <v>GG4872</v>
      </c>
      <c r="C99" s="31" t="str">
        <f>VLOOKUP(B99,제품등록!B:C,2,0)</f>
        <v>조지아오리지널240C 5X6</v>
      </c>
      <c r="D99" s="9">
        <v>99</v>
      </c>
      <c r="E99" s="9">
        <v>132</v>
      </c>
      <c r="F99" s="2">
        <f>SUMIF('창고1(실사표)'!B:B,재고차이!A:A,'창고1(실사표)'!F:F)*D99+SUMIF('창고2(실사표)'!B:B,재고차이!A:A,'창고2(실사표)'!F:F)*D99+SUMIF('믹스(잔량실사표)'!B:B,재고차이!A:A,'믹스(잔량실사표)'!F:F)*D99</f>
        <v>0</v>
      </c>
      <c r="G99" s="2">
        <f>SUMIF('창고1(실사표)'!B:B,재고차이!A:A,'창고1(실사표)'!E:E)*E99+SUMIF('창고2(실사표)'!B:B,재고차이!A:A,'창고2(실사표)'!E:E)*E99+SUMIF('믹스(잔량실사표)'!B:B,재고차이!A:A,'믹스(잔량실사표)'!E:E)*E99</f>
        <v>0</v>
      </c>
      <c r="H99" s="2">
        <f>SUMIF('창고1(실사표)'!B:B,재고차이!A:A,'창고1(실사표)'!G:G)+SUMIF('창고2(실사표)'!B:B,재고차이!A:A,'창고2(실사표)'!G:G)++SUMIF('믹스(잔량실사표)'!B:B,재고차이!A:A,'믹스(잔량실사표)'!G:G)</f>
        <v>72</v>
      </c>
      <c r="I9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99" s="2">
        <f t="shared" si="15"/>
        <v>72</v>
      </c>
      <c r="K99" s="2">
        <f>SUMIF(SAP!B:B,재고차이!B:B,SAP!Q:Q)</f>
        <v>72</v>
      </c>
      <c r="L99" s="2">
        <f>SUMIF(주간상차!A:A,재고차이!A:A,주간상차!E:E)</f>
        <v>0</v>
      </c>
      <c r="M99" s="37">
        <f t="shared" si="16"/>
        <v>0</v>
      </c>
      <c r="N99" s="41"/>
      <c r="O99" s="42"/>
      <c r="P99" s="125"/>
      <c r="Q99" s="8">
        <f>SUMIF(파손품!D:D,재고차이!B:B,파손품!I:I)+SUMIF(동파파손!D:D,재고차이!B:B,동파파손!I:I)</f>
        <v>0</v>
      </c>
      <c r="R99">
        <f t="shared" si="17"/>
        <v>0</v>
      </c>
    </row>
    <row r="100" spans="1:18" ht="18.75" hidden="1" customHeight="1" x14ac:dyDescent="0.3">
      <c r="A100" s="9">
        <v>6706</v>
      </c>
      <c r="B100" s="9" t="str">
        <f>VLOOKUP(A:A,제품등록!A:B,2,0)</f>
        <v>MM6706</v>
      </c>
      <c r="C100" s="31" t="str">
        <f>VLOOKUP(B100,제품등록!B:C,2,0)</f>
        <v>S)미닛 포도 350PET 4X6</v>
      </c>
      <c r="D100" s="9">
        <v>64</v>
      </c>
      <c r="E100" s="9">
        <v>60</v>
      </c>
      <c r="F100" s="2">
        <f>SUMIF('창고1(실사표)'!B:B,재고차이!A:A,'창고1(실사표)'!F:F)*D100+SUMIF('창고2(실사표)'!B:B,재고차이!A:A,'창고2(실사표)'!F:F)*D100+SUMIF('믹스(잔량실사표)'!B:B,재고차이!A:A,'믹스(잔량실사표)'!F:F)*D100</f>
        <v>0</v>
      </c>
      <c r="G100" s="2">
        <f>SUMIF('창고1(실사표)'!B:B,재고차이!A:A,'창고1(실사표)'!E:E)*E100+SUMIF('창고2(실사표)'!B:B,재고차이!A:A,'창고2(실사표)'!E:E)*E100+SUMIF('믹스(잔량실사표)'!B:B,재고차이!A:A,'믹스(잔량실사표)'!E:E)*E100</f>
        <v>0</v>
      </c>
      <c r="H10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0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00" s="2">
        <f t="shared" si="15"/>
        <v>0</v>
      </c>
      <c r="K100" s="2">
        <f>SUMIF(SAP!B:B,재고차이!B:B,SAP!Q:Q)</f>
        <v>0</v>
      </c>
      <c r="L100" s="2">
        <f>SUMIF(주간상차!A:A,재고차이!A:A,주간상차!E:E)</f>
        <v>0</v>
      </c>
      <c r="M100" s="37">
        <f t="shared" si="16"/>
        <v>0</v>
      </c>
      <c r="N100" s="41"/>
      <c r="O100" s="42"/>
      <c r="P100" s="125"/>
      <c r="Q100" s="8">
        <f>SUMIF(파손품!D:D,재고차이!B:B,파손품!I:I)+SUMIF(동파파손!D:D,재고차이!B:B,동파파손!I:I)</f>
        <v>0</v>
      </c>
      <c r="R100">
        <f t="shared" si="17"/>
        <v>0</v>
      </c>
    </row>
    <row r="101" spans="1:18" ht="18.75" customHeight="1" x14ac:dyDescent="0.3">
      <c r="A101" s="9">
        <v>4879</v>
      </c>
      <c r="B101" s="9" t="str">
        <f>VLOOKUP(A:A,제품등록!A:B,2,0)</f>
        <v>GG4879</v>
      </c>
      <c r="C101" s="31" t="str">
        <f>VLOOKUP(B101,제품등록!B:C,2,0)</f>
        <v>조지아카페라테240C 5X6</v>
      </c>
      <c r="D101" s="9">
        <v>99</v>
      </c>
      <c r="E101" s="9">
        <v>132</v>
      </c>
      <c r="F101" s="2">
        <f>SUMIF('창고1(실사표)'!B:B,재고차이!A:A,'창고1(실사표)'!F:F)*D101+SUMIF('창고2(실사표)'!B:B,재고차이!A:A,'창고2(실사표)'!F:F)*D101+SUMIF('믹스(잔량실사표)'!B:B,재고차이!A:A,'믹스(잔량실사표)'!F:F)*D101</f>
        <v>0</v>
      </c>
      <c r="G101" s="2">
        <f>SUMIF('창고1(실사표)'!B:B,재고차이!A:A,'창고1(실사표)'!E:E)*E101+SUMIF('창고2(실사표)'!B:B,재고차이!A:A,'창고2(실사표)'!E:E)*E101+SUMIF('믹스(잔량실사표)'!B:B,재고차이!A:A,'믹스(잔량실사표)'!E:E)*E101</f>
        <v>1056</v>
      </c>
      <c r="H101" s="2">
        <f>SUMIF('창고1(실사표)'!B:B,재고차이!A:A,'창고1(실사표)'!G:G)+SUMIF('창고2(실사표)'!B:B,재고차이!A:A,'창고2(실사표)'!G:G)++SUMIF('믹스(잔량실사표)'!B:B,재고차이!A:A,'믹스(잔량실사표)'!G:G)</f>
        <v>43</v>
      </c>
      <c r="I10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01" s="2">
        <f t="shared" si="15"/>
        <v>1099</v>
      </c>
      <c r="K101" s="2">
        <f>SUMIF(SAP!B:B,재고차이!B:B,SAP!Q:Q)</f>
        <v>1099</v>
      </c>
      <c r="L101" s="2">
        <f>SUMIF(주간상차!A:A,재고차이!A:A,주간상차!E:E)</f>
        <v>0</v>
      </c>
      <c r="M101" s="37">
        <f t="shared" si="16"/>
        <v>0</v>
      </c>
      <c r="N101" s="41"/>
      <c r="O101" s="42"/>
      <c r="P101" s="125"/>
      <c r="Q101" s="8">
        <f>SUMIF(파손품!D:D,재고차이!B:B,파손품!I:I)+SUMIF(동파파손!D:D,재고차이!B:B,동파파손!I:I)</f>
        <v>0</v>
      </c>
      <c r="R101">
        <f t="shared" si="17"/>
        <v>0</v>
      </c>
    </row>
    <row r="102" spans="1:18" ht="18.75" hidden="1" customHeight="1" x14ac:dyDescent="0.3">
      <c r="A102" s="9">
        <v>4142</v>
      </c>
      <c r="B102" s="9" t="str">
        <f>VLOOKUP(A:A,제품등록!A:B,2,0)</f>
        <v>MM4142</v>
      </c>
      <c r="C102" s="31" t="str">
        <f>VLOOKUP(B102,제품등록!B:C,2,0)</f>
        <v>미닛 스파클링 복숭아 345CAN 4X6</v>
      </c>
      <c r="D102" s="9"/>
      <c r="E102" s="9">
        <v>99</v>
      </c>
      <c r="F102" s="2">
        <f>SUMIF('창고1(실사표)'!B:B,재고차이!A:A,'창고1(실사표)'!F:F)*D102+SUMIF('창고2(실사표)'!B:B,재고차이!A:A,'창고2(실사표)'!F:F)*D102+SUMIF('믹스(잔량실사표)'!B:B,재고차이!A:A,'믹스(잔량실사표)'!F:F)*D102</f>
        <v>0</v>
      </c>
      <c r="G102" s="2">
        <f>SUMIF('창고1(실사표)'!B:B,재고차이!A:A,'창고1(실사표)'!E:E)*E102+SUMIF('창고2(실사표)'!B:B,재고차이!A:A,'창고2(실사표)'!E:E)*E102+SUMIF('믹스(잔량실사표)'!B:B,재고차이!A:A,'믹스(잔량실사표)'!E:E)*E102</f>
        <v>0</v>
      </c>
      <c r="H102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0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02" s="2">
        <f t="shared" si="15"/>
        <v>0</v>
      </c>
      <c r="K102" s="2">
        <f>SUMIF(SAP!B:B,재고차이!B:B,SAP!Q:Q)</f>
        <v>0</v>
      </c>
      <c r="L102" s="2">
        <f>SUMIF(주간상차!A:A,재고차이!A:A,주간상차!E:E)</f>
        <v>0</v>
      </c>
      <c r="M102" s="37">
        <f t="shared" si="16"/>
        <v>0</v>
      </c>
      <c r="N102" s="41"/>
      <c r="O102" s="42"/>
      <c r="P102" s="125"/>
      <c r="Q102" s="8">
        <f>SUMIF(파손품!D:D,재고차이!B:B,파손품!I:I)+SUMIF(동파파손!D:D,재고차이!B:B,동파파손!I:I)</f>
        <v>0</v>
      </c>
      <c r="R102">
        <f t="shared" si="17"/>
        <v>0</v>
      </c>
    </row>
    <row r="103" spans="1:18" ht="18.75" hidden="1" customHeight="1" x14ac:dyDescent="0.3">
      <c r="A103" s="9">
        <v>4149</v>
      </c>
      <c r="B103" s="9" t="str">
        <f>VLOOKUP(A:A,제품등록!A:B,2,0)</f>
        <v>MM4149</v>
      </c>
      <c r="C103" s="31" t="str">
        <f>VLOOKUP(B103,제품등록!B:C,2,0)</f>
        <v>미닛 스파클링 청포도 345CAN 4X6</v>
      </c>
      <c r="D103" s="9"/>
      <c r="E103" s="9">
        <v>99</v>
      </c>
      <c r="F103" s="2">
        <f>SUMIF('창고1(실사표)'!B:B,재고차이!A:A,'창고1(실사표)'!F:F)*D103+SUMIF('창고2(실사표)'!B:B,재고차이!A:A,'창고2(실사표)'!F:F)*D103+SUMIF('믹스(잔량실사표)'!B:B,재고차이!A:A,'믹스(잔량실사표)'!F:F)*D103</f>
        <v>0</v>
      </c>
      <c r="G103" s="2">
        <f>SUMIF('창고1(실사표)'!B:B,재고차이!A:A,'창고1(실사표)'!E:E)*E103+SUMIF('창고2(실사표)'!B:B,재고차이!A:A,'창고2(실사표)'!E:E)*E103+SUMIF('믹스(잔량실사표)'!B:B,재고차이!A:A,'믹스(잔량실사표)'!E:E)*E103</f>
        <v>0</v>
      </c>
      <c r="H103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0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03" s="2">
        <f t="shared" si="15"/>
        <v>0</v>
      </c>
      <c r="K103" s="2">
        <f>SUMIF(SAP!B:B,재고차이!B:B,SAP!Q:Q)</f>
        <v>0</v>
      </c>
      <c r="L103" s="2">
        <f>SUMIF(주간상차!A:A,재고차이!A:A,주간상차!E:E)</f>
        <v>0</v>
      </c>
      <c r="M103" s="37">
        <f t="shared" si="16"/>
        <v>0</v>
      </c>
      <c r="N103" s="41"/>
      <c r="O103" s="42"/>
      <c r="P103" s="125"/>
      <c r="Q103" s="8">
        <f>SUMIF(파손품!D:D,재고차이!B:B,파손품!I:I)+SUMIF(동파파손!D:D,재고차이!B:B,동파파손!I:I)</f>
        <v>0</v>
      </c>
      <c r="R103">
        <f t="shared" si="17"/>
        <v>0</v>
      </c>
    </row>
    <row r="104" spans="1:18" ht="18.75" hidden="1" customHeight="1" x14ac:dyDescent="0.3">
      <c r="A104" s="9">
        <v>7877</v>
      </c>
      <c r="B104" s="9" t="str">
        <f>VLOOKUP(A:A,제품등록!A:B,2,0)</f>
        <v>MM7877</v>
      </c>
      <c r="C104" s="31" t="str">
        <f>VLOOKUP(B104,제품등록!B:C,2,0)</f>
        <v>신MM감알토180N 3X12</v>
      </c>
      <c r="D104" s="9"/>
      <c r="E104" s="9">
        <v>72</v>
      </c>
      <c r="F104" s="2">
        <f>SUMIF('창고1(실사표)'!B:B,재고차이!A:A,'창고1(실사표)'!F:F)*D104+SUMIF('창고2(실사표)'!B:B,재고차이!A:A,'창고2(실사표)'!F:F)*D104+SUMIF('믹스(잔량실사표)'!B:B,재고차이!A:A,'믹스(잔량실사표)'!F:F)*D104</f>
        <v>0</v>
      </c>
      <c r="G104" s="2">
        <f>SUMIF('창고1(실사표)'!B:B,재고차이!A:A,'창고1(실사표)'!E:E)*E104+SUMIF('창고2(실사표)'!B:B,재고차이!A:A,'창고2(실사표)'!E:E)*E104+SUMIF('믹스(잔량실사표)'!B:B,재고차이!A:A,'믹스(잔량실사표)'!E:E)*E104</f>
        <v>0</v>
      </c>
      <c r="H10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0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04" s="2">
        <f t="shared" si="15"/>
        <v>0</v>
      </c>
      <c r="K104" s="2">
        <f>SUMIF(SAP!B:B,재고차이!B:B,SAP!Q:Q)</f>
        <v>0</v>
      </c>
      <c r="L104" s="2">
        <f>SUMIF(주간상차!A:A,재고차이!A:A,주간상차!E:E)</f>
        <v>0</v>
      </c>
      <c r="M104" s="37">
        <f t="shared" si="16"/>
        <v>0</v>
      </c>
      <c r="N104" s="41"/>
      <c r="O104" s="42"/>
      <c r="P104" s="125"/>
      <c r="Q104" s="8">
        <f>SUMIF(파손품!D:D,재고차이!B:B,파손품!I:I)+SUMIF(동파파손!D:D,재고차이!B:B,동파파손!I:I)</f>
        <v>0</v>
      </c>
      <c r="R104">
        <f t="shared" si="17"/>
        <v>0</v>
      </c>
    </row>
    <row r="105" spans="1:18" ht="18.75" hidden="1" customHeight="1" x14ac:dyDescent="0.3">
      <c r="A105" s="9">
        <v>7941</v>
      </c>
      <c r="B105" s="9" t="str">
        <f>VLOOKUP(A:A,제품등록!A:B,2,0)</f>
        <v>MM7941</v>
      </c>
      <c r="C105" s="31" t="str">
        <f>VLOOKUP(B105,제품등록!B:C,2,0)</f>
        <v>미닛 오렌지 180NRB 3X12</v>
      </c>
      <c r="D105" s="9"/>
      <c r="E105" s="9">
        <v>72</v>
      </c>
      <c r="F105" s="2">
        <f>SUMIF('창고1(실사표)'!B:B,재고차이!A:A,'창고1(실사표)'!F:F)*D105+SUMIF('창고2(실사표)'!B:B,재고차이!A:A,'창고2(실사표)'!F:F)*D105+SUMIF('믹스(잔량실사표)'!B:B,재고차이!A:A,'믹스(잔량실사표)'!F:F)*D105</f>
        <v>0</v>
      </c>
      <c r="G105" s="2">
        <f>SUMIF('창고1(실사표)'!B:B,재고차이!A:A,'창고1(실사표)'!E:E)*E105+SUMIF('창고2(실사표)'!B:B,재고차이!A:A,'창고2(실사표)'!E:E)*E105+SUMIF('믹스(잔량실사표)'!B:B,재고차이!A:A,'믹스(잔량실사표)'!E:E)*E105</f>
        <v>0</v>
      </c>
      <c r="H10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0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05" s="2">
        <f t="shared" si="15"/>
        <v>0</v>
      </c>
      <c r="K105" s="2">
        <f>SUMIF(SAP!B:B,재고차이!B:B,SAP!Q:Q)</f>
        <v>0</v>
      </c>
      <c r="L105" s="2">
        <f>SUMIF(주간상차!A:A,재고차이!A:A,주간상차!E:E)</f>
        <v>0</v>
      </c>
      <c r="M105" s="37">
        <f t="shared" si="16"/>
        <v>0</v>
      </c>
      <c r="N105" s="41"/>
      <c r="O105" s="42"/>
      <c r="P105" s="125"/>
      <c r="Q105" s="8">
        <f>SUMIF(파손품!D:D,재고차이!B:B,파손품!I:I)+SUMIF(동파파손!D:D,재고차이!B:B,동파파손!I:I)</f>
        <v>0</v>
      </c>
      <c r="R105">
        <f t="shared" si="17"/>
        <v>0</v>
      </c>
    </row>
    <row r="106" spans="1:18" ht="18.75" hidden="1" customHeight="1" x14ac:dyDescent="0.3">
      <c r="A106" s="9">
        <v>7942</v>
      </c>
      <c r="B106" s="9" t="str">
        <f>VLOOKUP(A:A,제품등록!A:B,2,0)</f>
        <v>MM7942</v>
      </c>
      <c r="C106" s="31" t="str">
        <f>VLOOKUP(B106,제품등록!B:C,2,0)</f>
        <v>미닛 포도 180NRB 3X12</v>
      </c>
      <c r="D106" s="9"/>
      <c r="E106" s="9">
        <v>72</v>
      </c>
      <c r="F106" s="2">
        <f>SUMIF('창고1(실사표)'!B:B,재고차이!A:A,'창고1(실사표)'!F:F)*D106+SUMIF('창고2(실사표)'!B:B,재고차이!A:A,'창고2(실사표)'!F:F)*D106+SUMIF('믹스(잔량실사표)'!B:B,재고차이!A:A,'믹스(잔량실사표)'!F:F)*D106</f>
        <v>0</v>
      </c>
      <c r="G106" s="2">
        <f>SUMIF('창고1(실사표)'!B:B,재고차이!A:A,'창고1(실사표)'!E:E)*E106+SUMIF('창고2(실사표)'!B:B,재고차이!A:A,'창고2(실사표)'!E:E)*E106+SUMIF('믹스(잔량실사표)'!B:B,재고차이!A:A,'믹스(잔량실사표)'!E:E)*E106</f>
        <v>0</v>
      </c>
      <c r="H10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0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06" s="2">
        <f t="shared" ref="J106:J137" si="18">SUM(F106:I106)</f>
        <v>0</v>
      </c>
      <c r="K106" s="2">
        <f>SUMIF(SAP!B:B,재고차이!B:B,SAP!Q:Q)</f>
        <v>0</v>
      </c>
      <c r="L106" s="2">
        <f>SUMIF(주간상차!A:A,재고차이!A:A,주간상차!E:E)</f>
        <v>0</v>
      </c>
      <c r="M106" s="37">
        <f t="shared" ref="M106:M137" si="19">J106-K106-L106-N106+O106+Q106</f>
        <v>0</v>
      </c>
      <c r="N106" s="41"/>
      <c r="O106" s="42"/>
      <c r="P106" s="125"/>
      <c r="Q106" s="8">
        <f>SUMIF(파손품!D:D,재고차이!B:B,파손품!I:I)+SUMIF(동파파손!D:D,재고차이!B:B,동파파손!I:I)</f>
        <v>0</v>
      </c>
      <c r="R106">
        <f t="shared" si="17"/>
        <v>0</v>
      </c>
    </row>
    <row r="107" spans="1:18" ht="18.75" hidden="1" customHeight="1" x14ac:dyDescent="0.3">
      <c r="A107" s="9">
        <v>7944</v>
      </c>
      <c r="B107" s="9" t="str">
        <f>VLOOKUP(A:A,제품등록!A:B,2,0)</f>
        <v>MM7944</v>
      </c>
      <c r="C107" s="31" t="str">
        <f>VLOOKUP(B107,제품등록!B:C,2,0)</f>
        <v>미닛 감귤+알로에 180NRB 3X12</v>
      </c>
      <c r="D107" s="9"/>
      <c r="E107" s="9">
        <v>72</v>
      </c>
      <c r="F107" s="2">
        <f>SUMIF('창고1(실사표)'!B:B,재고차이!A:A,'창고1(실사표)'!F:F)*D107+SUMIF('창고2(실사표)'!B:B,재고차이!A:A,'창고2(실사표)'!F:F)*D107+SUMIF('믹스(잔량실사표)'!B:B,재고차이!A:A,'믹스(잔량실사표)'!F:F)*D107</f>
        <v>0</v>
      </c>
      <c r="G107" s="2">
        <f>SUMIF('창고1(실사표)'!B:B,재고차이!A:A,'창고1(실사표)'!E:E)*E107+SUMIF('창고2(실사표)'!B:B,재고차이!A:A,'창고2(실사표)'!E:E)*E107+SUMIF('믹스(잔량실사표)'!B:B,재고차이!A:A,'믹스(잔량실사표)'!E:E)*E107</f>
        <v>0</v>
      </c>
      <c r="H10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0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07" s="2">
        <f t="shared" si="18"/>
        <v>0</v>
      </c>
      <c r="K107" s="2">
        <f>SUMIF(SAP!B:B,재고차이!B:B,SAP!Q:Q)</f>
        <v>0</v>
      </c>
      <c r="L107" s="2">
        <f>SUMIF(주간상차!A:A,재고차이!A:A,주간상차!E:E)</f>
        <v>0</v>
      </c>
      <c r="M107" s="37">
        <f t="shared" si="19"/>
        <v>0</v>
      </c>
      <c r="N107" s="41"/>
      <c r="O107" s="42"/>
      <c r="P107" s="125"/>
      <c r="Q107" s="8">
        <f>SUMIF(파손품!D:D,재고차이!B:B,파손품!I:I)+SUMIF(동파파손!D:D,재고차이!B:B,동파파손!I:I)</f>
        <v>0</v>
      </c>
      <c r="R107">
        <f t="shared" si="17"/>
        <v>0</v>
      </c>
    </row>
    <row r="108" spans="1:18" ht="18" customHeight="1" x14ac:dyDescent="0.3">
      <c r="A108" s="9">
        <v>4899</v>
      </c>
      <c r="B108" s="9" t="str">
        <f>VLOOKUP(A:A,제품등록!A:B,2,0)</f>
        <v>GG4899</v>
      </c>
      <c r="C108" s="31" t="str">
        <f>VLOOKUP(B108,제품등록!B:C,2,0)</f>
        <v>조지아맥스 240C 5X6</v>
      </c>
      <c r="D108" s="9">
        <v>99</v>
      </c>
      <c r="E108" s="9">
        <v>132</v>
      </c>
      <c r="F108" s="2">
        <f>SUMIF('창고1(실사표)'!B:B,재고차이!A:A,'창고1(실사표)'!F:F)*D108+SUMIF('창고2(실사표)'!B:B,재고차이!A:A,'창고2(실사표)'!F:F)*D108+SUMIF('믹스(잔량실사표)'!B:B,재고차이!A:A,'믹스(잔량실사표)'!F:F)*D108</f>
        <v>0</v>
      </c>
      <c r="G108" s="2">
        <f>SUMIF('창고1(실사표)'!B:B,재고차이!A:A,'창고1(실사표)'!E:E)*E108+SUMIF('창고2(실사표)'!B:B,재고차이!A:A,'창고2(실사표)'!E:E)*E108+SUMIF('믹스(잔량실사표)'!B:B,재고차이!A:A,'믹스(잔량실사표)'!E:E)*E108</f>
        <v>1320</v>
      </c>
      <c r="H108" s="2">
        <f>SUMIF('창고1(실사표)'!B:B,재고차이!A:A,'창고1(실사표)'!G:G)+SUMIF('창고2(실사표)'!B:B,재고차이!A:A,'창고2(실사표)'!G:G)++SUMIF('믹스(잔량실사표)'!B:B,재고차이!A:A,'믹스(잔량실사표)'!G:G)</f>
        <v>121</v>
      </c>
      <c r="I10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08" s="2">
        <f t="shared" si="18"/>
        <v>1441</v>
      </c>
      <c r="K108" s="2">
        <f>SUMIF(SAP!B:B,재고차이!B:B,SAP!Q:Q)</f>
        <v>1441</v>
      </c>
      <c r="L108" s="2">
        <f>SUMIF(주간상차!A:A,재고차이!A:A,주간상차!E:E)</f>
        <v>0</v>
      </c>
      <c r="M108" s="37">
        <f t="shared" si="19"/>
        <v>0</v>
      </c>
      <c r="N108" s="41"/>
      <c r="O108" s="42"/>
      <c r="P108" s="125"/>
      <c r="Q108" s="8">
        <f>SUMIF(파손품!D:D,재고차이!B:B,파손품!I:I)+SUMIF(동파파손!D:D,재고차이!B:B,동파파손!I:I)</f>
        <v>0</v>
      </c>
      <c r="R108">
        <f t="shared" si="17"/>
        <v>0</v>
      </c>
    </row>
    <row r="109" spans="1:18" ht="18.75" customHeight="1" x14ac:dyDescent="0.3">
      <c r="A109" s="9">
        <v>8058</v>
      </c>
      <c r="B109" s="9" t="str">
        <f>VLOOKUP(A:A,제품등록!A:B,2,0)</f>
        <v>GG8058</v>
      </c>
      <c r="C109" s="31" t="str">
        <f>VLOOKUP(B109,제품등록!B:C,2,0)</f>
        <v>조지아 크래프트 스윗블랙 470PET 4X6</v>
      </c>
      <c r="D109" s="9"/>
      <c r="E109" s="9">
        <v>56</v>
      </c>
      <c r="F109" s="2">
        <f>SUMIF('창고1(실사표)'!B:B,재고차이!A:A,'창고1(실사표)'!F:F)*D109+SUMIF('창고2(실사표)'!B:B,재고차이!A:A,'창고2(실사표)'!F:F)*D109+SUMIF('믹스(잔량실사표)'!B:B,재고차이!A:A,'믹스(잔량실사표)'!F:F)*D109</f>
        <v>0</v>
      </c>
      <c r="G109" s="2">
        <f>SUMIF('창고1(실사표)'!B:B,재고차이!A:A,'창고1(실사표)'!E:E)*E109+SUMIF('창고2(실사표)'!B:B,재고차이!A:A,'창고2(실사표)'!E:E)*E109+SUMIF('믹스(잔량실사표)'!B:B,재고차이!A:A,'믹스(잔량실사표)'!E:E)*E109</f>
        <v>504</v>
      </c>
      <c r="H109" s="2">
        <f>SUMIF('창고1(실사표)'!B:B,재고차이!A:A,'창고1(실사표)'!G:G)+SUMIF('창고2(실사표)'!B:B,재고차이!A:A,'창고2(실사표)'!G:G)++SUMIF('믹스(잔량실사표)'!B:B,재고차이!A:A,'믹스(잔량실사표)'!G:G)</f>
        <v>1</v>
      </c>
      <c r="I10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09" s="2">
        <f t="shared" si="18"/>
        <v>505</v>
      </c>
      <c r="K109" s="2">
        <f>SUMIF(SAP!B:B,재고차이!B:B,SAP!Q:Q)</f>
        <v>505</v>
      </c>
      <c r="L109" s="2">
        <f>SUMIF(주간상차!A:A,재고차이!A:A,주간상차!E:E)</f>
        <v>0</v>
      </c>
      <c r="M109" s="37">
        <f t="shared" si="19"/>
        <v>0</v>
      </c>
      <c r="N109" s="41"/>
      <c r="O109" s="42"/>
      <c r="P109" s="125"/>
      <c r="Q109" s="8">
        <f>SUMIF(파손품!D:D,재고차이!B:B,파손품!I:I)+SUMIF(동파파손!D:D,재고차이!B:B,동파파손!I:I)</f>
        <v>0</v>
      </c>
      <c r="R109">
        <f t="shared" si="17"/>
        <v>0</v>
      </c>
    </row>
    <row r="110" spans="1:18" ht="18.75" customHeight="1" x14ac:dyDescent="0.3">
      <c r="A110" s="9">
        <v>8065</v>
      </c>
      <c r="B110" s="9" t="str">
        <f>VLOOKUP(A:A,제품등록!A:B,2,0)</f>
        <v>GG8065</v>
      </c>
      <c r="C110" s="31" t="str">
        <f>VLOOKUP(B110,제품등록!B:C,2,0)</f>
        <v>조지아 크래프트 블랙 470PET 4X6</v>
      </c>
      <c r="D110" s="9"/>
      <c r="E110" s="9">
        <v>56</v>
      </c>
      <c r="F110" s="2">
        <f>SUMIF('창고1(실사표)'!B:B,재고차이!A:A,'창고1(실사표)'!F:F)*D110+SUMIF('창고2(실사표)'!B:B,재고차이!A:A,'창고2(실사표)'!F:F)*D110+SUMIF('믹스(잔량실사표)'!B:B,재고차이!A:A,'믹스(잔량실사표)'!F:F)*D110</f>
        <v>0</v>
      </c>
      <c r="G110" s="2">
        <f>SUMIF('창고1(실사표)'!B:B,재고차이!A:A,'창고1(실사표)'!E:E)*E110+SUMIF('창고2(실사표)'!B:B,재고차이!A:A,'창고2(실사표)'!E:E)*E110+SUMIF('믹스(잔량실사표)'!B:B,재고차이!A:A,'믹스(잔량실사표)'!E:E)*E110</f>
        <v>1344</v>
      </c>
      <c r="H110" s="2">
        <f>SUMIF('창고1(실사표)'!B:B,재고차이!A:A,'창고1(실사표)'!G:G)+SUMIF('창고2(실사표)'!B:B,재고차이!A:A,'창고2(실사표)'!G:G)++SUMIF('믹스(잔량실사표)'!B:B,재고차이!A:A,'믹스(잔량실사표)'!G:G)</f>
        <v>51</v>
      </c>
      <c r="I11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10" s="2">
        <f t="shared" si="18"/>
        <v>1395</v>
      </c>
      <c r="K110" s="2">
        <f>SUMIF(SAP!B:B,재고차이!B:B,SAP!Q:Q)</f>
        <v>499</v>
      </c>
      <c r="L110" s="2">
        <f>SUMIF(주간상차!A:A,재고차이!A:A,주간상차!E:E)</f>
        <v>784</v>
      </c>
      <c r="M110" s="37">
        <f t="shared" si="19"/>
        <v>0</v>
      </c>
      <c r="N110" s="235">
        <v>112</v>
      </c>
      <c r="O110" s="42"/>
      <c r="P110" s="232" t="s">
        <v>2832</v>
      </c>
      <c r="Q110" s="8">
        <f>SUMIF(파손품!D:D,재고차이!B:B,파손품!I:I)+SUMIF(동파파손!D:D,재고차이!B:B,동파파손!I:I)</f>
        <v>0</v>
      </c>
      <c r="R110">
        <f t="shared" si="17"/>
        <v>0</v>
      </c>
    </row>
    <row r="111" spans="1:18" ht="20.25" customHeight="1" x14ac:dyDescent="0.3">
      <c r="A111" s="9">
        <v>8066</v>
      </c>
      <c r="B111" s="9" t="str">
        <f>VLOOKUP(A:A,제품등록!A:B,2,0)</f>
        <v>GG8066</v>
      </c>
      <c r="C111" s="31" t="str">
        <f>VLOOKUP(B111,제품등록!B:C,2,0)</f>
        <v>조지아 크래프트 라떼 470PET 4X6</v>
      </c>
      <c r="D111" s="9"/>
      <c r="E111" s="9">
        <v>56</v>
      </c>
      <c r="F111" s="2">
        <f>SUMIF('창고1(실사표)'!B:B,재고차이!A:A,'창고1(실사표)'!F:F)*D111+SUMIF('창고2(실사표)'!B:B,재고차이!A:A,'창고2(실사표)'!F:F)*D111+SUMIF('믹스(잔량실사표)'!B:B,재고차이!A:A,'믹스(잔량실사표)'!F:F)*D111</f>
        <v>0</v>
      </c>
      <c r="G111" s="2">
        <f>SUMIF('창고1(실사표)'!B:B,재고차이!A:A,'창고1(실사표)'!E:E)*E111+SUMIF('창고2(실사표)'!B:B,재고차이!A:A,'창고2(실사표)'!E:E)*E111+SUMIF('믹스(잔량실사표)'!B:B,재고차이!A:A,'믹스(잔량실사표)'!E:E)*E111</f>
        <v>1344</v>
      </c>
      <c r="H111" s="2">
        <f>SUMIF('창고1(실사표)'!B:B,재고차이!A:A,'창고1(실사표)'!G:G)+SUMIF('창고2(실사표)'!B:B,재고차이!A:A,'창고2(실사표)'!G:G)++SUMIF('믹스(잔량실사표)'!B:B,재고차이!A:A,'믹스(잔량실사표)'!G:G)</f>
        <v>55</v>
      </c>
      <c r="I11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11" s="2">
        <f t="shared" si="18"/>
        <v>1399</v>
      </c>
      <c r="K111" s="2">
        <f>SUMIF(SAP!B:B,재고차이!B:B,SAP!Q:Q)</f>
        <v>1401</v>
      </c>
      <c r="L111" s="2">
        <f>SUMIF(주간상차!A:A,재고차이!A:A,주간상차!E:E)</f>
        <v>0</v>
      </c>
      <c r="M111" s="37">
        <f t="shared" si="19"/>
        <v>0</v>
      </c>
      <c r="N111" s="41"/>
      <c r="O111" s="42"/>
      <c r="P111" s="125"/>
      <c r="Q111" s="8">
        <f>SUMIF(파손품!D:D,재고차이!B:B,파손품!I:I)+SUMIF(동파파손!D:D,재고차이!B:B,동파파손!I:I)</f>
        <v>2</v>
      </c>
      <c r="R111">
        <f t="shared" si="17"/>
        <v>0</v>
      </c>
    </row>
    <row r="112" spans="1:18" ht="18.75" hidden="1" customHeight="1" x14ac:dyDescent="0.3">
      <c r="A112" s="9">
        <v>5654</v>
      </c>
      <c r="B112" s="9" t="str">
        <f>VLOOKUP(A:A,제품등록!A:B,2,0)</f>
        <v>MO5654</v>
      </c>
      <c r="C112" s="31" t="str">
        <f>VLOOKUP(B112,제품등록!B:C,2,0)</f>
        <v>몬스터 파라다이스 355CAN 4X6</v>
      </c>
      <c r="D112" s="9"/>
      <c r="E112" s="9">
        <v>108</v>
      </c>
      <c r="F112" s="2">
        <f>SUMIF('창고1(실사표)'!B:B,재고차이!A:A,'창고1(실사표)'!F:F)*D112+SUMIF('창고2(실사표)'!B:B,재고차이!A:A,'창고2(실사표)'!F:F)*D112+SUMIF('믹스(잔량실사표)'!B:B,재고차이!A:A,'믹스(잔량실사표)'!F:F)*D112</f>
        <v>0</v>
      </c>
      <c r="G112" s="2">
        <f>SUMIF('창고1(실사표)'!B:B,재고차이!A:A,'창고1(실사표)'!E:E)*E112+SUMIF('창고2(실사표)'!B:B,재고차이!A:A,'창고2(실사표)'!E:E)*E112+SUMIF('믹스(잔량실사표)'!B:B,재고차이!A:A,'믹스(잔량실사표)'!E:E)*E112</f>
        <v>0</v>
      </c>
      <c r="H112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1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12" s="2">
        <f t="shared" si="18"/>
        <v>0</v>
      </c>
      <c r="K112" s="2">
        <f>SUMIF(SAP!B:B,재고차이!B:B,SAP!Q:Q)</f>
        <v>0</v>
      </c>
      <c r="L112" s="2">
        <f>SUMIF(주간상차!A:A,재고차이!A:A,주간상차!E:E)</f>
        <v>0</v>
      </c>
      <c r="M112" s="37">
        <f t="shared" si="19"/>
        <v>0</v>
      </c>
      <c r="N112" s="41"/>
      <c r="O112" s="42"/>
      <c r="P112" s="125"/>
      <c r="Q112" s="8">
        <f>SUMIF(파손품!D:D,재고차이!B:B,파손품!I:I)+SUMIF(동파파손!D:D,재고차이!B:B,동파파손!I:I)</f>
        <v>0</v>
      </c>
      <c r="R112">
        <f t="shared" si="17"/>
        <v>0</v>
      </c>
    </row>
    <row r="113" spans="1:18" ht="18.75" customHeight="1" x14ac:dyDescent="0.3">
      <c r="A113" s="9">
        <v>8278</v>
      </c>
      <c r="B113" s="9" t="str">
        <f>VLOOKUP(A:A,제품등록!A:B,2,0)</f>
        <v>GG8278</v>
      </c>
      <c r="C113" s="31" t="str">
        <f>VLOOKUP(B113,제품등록!B:C,2,0)</f>
        <v>조지아 크래프트 저칼로리라떼 470PET 4X6</v>
      </c>
      <c r="D113" s="9"/>
      <c r="E113" s="9">
        <v>56</v>
      </c>
      <c r="F113" s="2">
        <f>SUMIF('창고1(실사표)'!B:B,재고차이!A:A,'창고1(실사표)'!F:F)*D113+SUMIF('창고2(실사표)'!B:B,재고차이!A:A,'창고2(실사표)'!F:F)*D113+SUMIF('믹스(잔량실사표)'!B:B,재고차이!A:A,'믹스(잔량실사표)'!F:F)*D113</f>
        <v>0</v>
      </c>
      <c r="G113" s="2">
        <f>SUMIF('창고1(실사표)'!B:B,재고차이!A:A,'창고1(실사표)'!E:E)*E113+SUMIF('창고2(실사표)'!B:B,재고차이!A:A,'창고2(실사표)'!E:E)*E113+SUMIF('믹스(잔량실사표)'!B:B,재고차이!A:A,'믹스(잔량실사표)'!E:E)*E113</f>
        <v>784</v>
      </c>
      <c r="H113" s="2">
        <f>SUMIF('창고1(실사표)'!B:B,재고차이!A:A,'창고1(실사표)'!G:G)+SUMIF('창고2(실사표)'!B:B,재고차이!A:A,'창고2(실사표)'!G:G)++SUMIF('믹스(잔량실사표)'!B:B,재고차이!A:A,'믹스(잔량실사표)'!G:G)</f>
        <v>40</v>
      </c>
      <c r="I11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13" s="2">
        <f t="shared" si="18"/>
        <v>824</v>
      </c>
      <c r="K113" s="2">
        <f>SUMIF(SAP!B:B,재고차이!B:B,SAP!Q:Q)</f>
        <v>824</v>
      </c>
      <c r="L113" s="2">
        <f>SUMIF(주간상차!A:A,재고차이!A:A,주간상차!E:E)</f>
        <v>0</v>
      </c>
      <c r="M113" s="37">
        <f t="shared" si="19"/>
        <v>0</v>
      </c>
      <c r="N113" s="41"/>
      <c r="O113" s="42"/>
      <c r="P113" s="125"/>
      <c r="Q113" s="8">
        <f>SUMIF(파손품!D:D,재고차이!B:B,파손품!I:I)+SUMIF(동파파손!D:D,재고차이!B:B,동파파손!I:I)</f>
        <v>0</v>
      </c>
      <c r="R113">
        <f t="shared" si="17"/>
        <v>0</v>
      </c>
    </row>
    <row r="114" spans="1:18" ht="18.75" customHeight="1" x14ac:dyDescent="0.3">
      <c r="A114" s="9" t="s">
        <v>2660</v>
      </c>
      <c r="B114" s="9" t="str">
        <f>VLOOKUP(A:A,제품등록!A:B,2,0)</f>
        <v>GS0012</v>
      </c>
      <c r="C114" s="31" t="str">
        <f>VLOOKUP(B114,제품등록!B:C,2,0)</f>
        <v>영진 구론산 오리지날액 150NRB 3X10</v>
      </c>
      <c r="D114" s="9"/>
      <c r="E114" s="9">
        <v>108</v>
      </c>
      <c r="F114" s="2">
        <f>SUMIF('창고1(실사표)'!B:B,재고차이!A:A,'창고1(실사표)'!F:F)*D114+SUMIF('창고2(실사표)'!B:B,재고차이!A:A,'창고2(실사표)'!F:F)*D114+SUMIF('믹스(잔량실사표)'!B:B,재고차이!A:A,'믹스(잔량실사표)'!F:F)*D114</f>
        <v>0</v>
      </c>
      <c r="G114" s="2">
        <f>SUMIF('창고1(실사표)'!B:B,재고차이!A:A,'창고1(실사표)'!E:E)*E114+SUMIF('창고2(실사표)'!B:B,재고차이!A:A,'창고2(실사표)'!E:E)*E114+SUMIF('믹스(잔량실사표)'!B:B,재고차이!A:A,'믹스(잔량실사표)'!E:E)*E114</f>
        <v>108</v>
      </c>
      <c r="H114" s="2">
        <f>SUMIF('창고1(실사표)'!B:B,재고차이!A:A,'창고1(실사표)'!G:G)+SUMIF('창고2(실사표)'!B:B,재고차이!A:A,'창고2(실사표)'!G:G)++SUMIF('믹스(잔량실사표)'!B:B,재고차이!A:A,'믹스(잔량실사표)'!G:G)</f>
        <v>40</v>
      </c>
      <c r="I11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14" s="2">
        <f t="shared" si="18"/>
        <v>148</v>
      </c>
      <c r="K114" s="2">
        <f>SUMIF(SAP!B:B,재고차이!B:B,SAP!Q:Q)</f>
        <v>40</v>
      </c>
      <c r="L114" s="2">
        <f>SUMIF(주간상차!A:A,재고차이!A:A,주간상차!E:E)</f>
        <v>108</v>
      </c>
      <c r="M114" s="37">
        <f t="shared" si="19"/>
        <v>0</v>
      </c>
      <c r="N114" s="41"/>
      <c r="O114" s="42"/>
      <c r="P114" s="125"/>
      <c r="Q114" s="8">
        <f>SUMIF(파손품!D:D,재고차이!B:B,파손품!I:I)+SUMIF(동파파손!D:D,재고차이!B:B,동파파손!I:I)</f>
        <v>0</v>
      </c>
      <c r="R114">
        <f t="shared" si="17"/>
        <v>0</v>
      </c>
    </row>
    <row r="115" spans="1:18" ht="18.75" customHeight="1" x14ac:dyDescent="0.3">
      <c r="A115" s="9">
        <v>5375</v>
      </c>
      <c r="B115" s="9" t="str">
        <f>VLOOKUP(A:A,제품등록!A:B,2,0)</f>
        <v>GS5375</v>
      </c>
      <c r="C115" s="31" t="str">
        <f>VLOOKUP(B115,제품등록!B:C,2,0)</f>
        <v>영진 구론산 탄산 오리지날 150NRB 3X10</v>
      </c>
      <c r="D115" s="9"/>
      <c r="E115" s="9">
        <v>108</v>
      </c>
      <c r="F115" s="2">
        <f>SUMIF('창고1(실사표)'!B:B,재고차이!A:A,'창고1(실사표)'!F:F)*D115+SUMIF('창고2(실사표)'!B:B,재고차이!A:A,'창고2(실사표)'!F:F)*D115+SUMIF('믹스(잔량실사표)'!B:B,재고차이!A:A,'믹스(잔량실사표)'!F:F)*D115</f>
        <v>0</v>
      </c>
      <c r="G115" s="2">
        <f>SUMIF('창고1(실사표)'!B:B,재고차이!A:A,'창고1(실사표)'!E:E)*E115+SUMIF('창고2(실사표)'!B:B,재고차이!A:A,'창고2(실사표)'!E:E)*E115+SUMIF('믹스(잔량실사표)'!B:B,재고차이!A:A,'믹스(잔량실사표)'!E:E)*E115</f>
        <v>1080</v>
      </c>
      <c r="H115" s="2">
        <f>SUMIF('창고1(실사표)'!B:B,재고차이!A:A,'창고1(실사표)'!G:G)+SUMIF('창고2(실사표)'!B:B,재고차이!A:A,'창고2(실사표)'!G:G)++SUMIF('믹스(잔량실사표)'!B:B,재고차이!A:A,'믹스(잔량실사표)'!G:G)</f>
        <v>65</v>
      </c>
      <c r="I11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15" s="2">
        <f t="shared" si="18"/>
        <v>1145</v>
      </c>
      <c r="K115" s="2">
        <f>SUMIF(SAP!B:B,재고차이!B:B,SAP!Q:Q)</f>
        <v>1145</v>
      </c>
      <c r="L115" s="2">
        <f>SUMIF(주간상차!A:A,재고차이!A:A,주간상차!E:E)</f>
        <v>0</v>
      </c>
      <c r="M115" s="37">
        <f t="shared" si="19"/>
        <v>0</v>
      </c>
      <c r="N115" s="41"/>
      <c r="O115" s="42"/>
      <c r="P115" s="125"/>
      <c r="Q115" s="8">
        <f>SUMIF(파손품!D:D,재고차이!B:B,파손품!I:I)+SUMIF(동파파손!D:D,재고차이!B:B,동파파손!I:I)</f>
        <v>0</v>
      </c>
      <c r="R115">
        <f t="shared" ref="R115:R120" si="20">M115/E115</f>
        <v>0</v>
      </c>
    </row>
    <row r="116" spans="1:18" ht="18.75" customHeight="1" x14ac:dyDescent="0.3">
      <c r="A116" s="9" t="s">
        <v>2686</v>
      </c>
      <c r="B116" s="9" t="str">
        <f>VLOOKUP(A:A,제품등록!A:B,2,0)</f>
        <v>IH0001</v>
      </c>
      <c r="C116" s="31" t="str">
        <f>VLOOKUP(B116,제품등록!B:C,2,0)</f>
        <v>S)일로하스 피치 540PET 4X6</v>
      </c>
      <c r="D116" s="9"/>
      <c r="E116" s="9">
        <v>70</v>
      </c>
      <c r="F116" s="2">
        <f>SUMIF('창고1(실사표)'!B:B,재고차이!A:A,'창고1(실사표)'!F:F)*D116+SUMIF('창고2(실사표)'!B:B,재고차이!A:A,'창고2(실사표)'!F:F)*D116+SUMIF('믹스(잔량실사표)'!B:B,재고차이!A:A,'믹스(잔량실사표)'!F:F)*D116</f>
        <v>0</v>
      </c>
      <c r="G116" s="2">
        <f>SUMIF('창고1(실사표)'!B:B,재고차이!A:A,'창고1(실사표)'!E:E)*E116+SUMIF('창고2(실사표)'!B:B,재고차이!A:A,'창고2(실사표)'!E:E)*E116+SUMIF('믹스(잔량실사표)'!B:B,재고차이!A:A,'믹스(잔량실사표)'!E:E)*E116</f>
        <v>1330</v>
      </c>
      <c r="H116" s="2">
        <f>SUMIF('창고1(실사표)'!B:B,재고차이!A:A,'창고1(실사표)'!G:G)+SUMIF('창고2(실사표)'!B:B,재고차이!A:A,'창고2(실사표)'!G:G)++SUMIF('믹스(잔량실사표)'!B:B,재고차이!A:A,'믹스(잔량실사표)'!G:G)</f>
        <v>26</v>
      </c>
      <c r="I11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16" s="2">
        <f t="shared" si="18"/>
        <v>1356</v>
      </c>
      <c r="K116" s="2">
        <f>SUMIF(SAP!B:B,재고차이!B:B,SAP!Q:Q)</f>
        <v>1076</v>
      </c>
      <c r="L116" s="2">
        <f>SUMIF(주간상차!A:A,재고차이!A:A,주간상차!E:E)</f>
        <v>280</v>
      </c>
      <c r="M116" s="37">
        <f t="shared" si="19"/>
        <v>0</v>
      </c>
      <c r="N116" s="41"/>
      <c r="O116" s="42"/>
      <c r="P116" s="125"/>
      <c r="Q116" s="8">
        <f>SUMIF(파손품!D:D,재고차이!B:B,파손품!I:I)+SUMIF(동파파손!D:D,재고차이!B:B,동파파손!I:I)</f>
        <v>0</v>
      </c>
      <c r="R116">
        <f t="shared" si="20"/>
        <v>0</v>
      </c>
    </row>
    <row r="117" spans="1:18" ht="18.75" customHeight="1" x14ac:dyDescent="0.3">
      <c r="A117" s="9" t="s">
        <v>2656</v>
      </c>
      <c r="B117" s="9" t="str">
        <f>VLOOKUP(A:A,제품등록!A:B,2,0)</f>
        <v>KC1005</v>
      </c>
      <c r="C117" s="31" t="str">
        <f>VLOOKUP(B117,제품등록!B:C,2,0)</f>
        <v>과일촌 아침에 오+포+사 180NRB 3X12</v>
      </c>
      <c r="D117" s="9"/>
      <c r="E117" s="9">
        <v>72</v>
      </c>
      <c r="F117" s="2">
        <f>SUMIF('창고1(실사표)'!B:B,재고차이!A:A,'창고1(실사표)'!F:F)*D117+SUMIF('창고2(실사표)'!B:B,재고차이!A:A,'창고2(실사표)'!F:F)*D117+SUMIF('믹스(잔량실사표)'!B:B,재고차이!A:A,'믹스(잔량실사표)'!F:F)*D117</f>
        <v>0</v>
      </c>
      <c r="G117" s="2">
        <f>SUMIF('창고1(실사표)'!B:B,재고차이!A:A,'창고1(실사표)'!E:E)*E117+SUMIF('창고2(실사표)'!B:B,재고차이!A:A,'창고2(실사표)'!E:E)*E117+SUMIF('믹스(잔량실사표)'!B:B,재고차이!A:A,'믹스(잔량실사표)'!E:E)*E117</f>
        <v>72</v>
      </c>
      <c r="H117" s="2">
        <f>SUMIF('창고1(실사표)'!B:B,재고차이!A:A,'창고1(실사표)'!G:G)+SUMIF('창고2(실사표)'!B:B,재고차이!A:A,'창고2(실사표)'!G:G)++SUMIF('믹스(잔량실사표)'!B:B,재고차이!A:A,'믹스(잔량실사표)'!G:G)</f>
        <v>3</v>
      </c>
      <c r="I11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17" s="2">
        <f t="shared" si="18"/>
        <v>75</v>
      </c>
      <c r="K117" s="2">
        <f>SUMIF(SAP!B:B,재고차이!B:B,SAP!Q:Q)</f>
        <v>75</v>
      </c>
      <c r="L117" s="2">
        <f>SUMIF(주간상차!A:A,재고차이!A:A,주간상차!E:E)</f>
        <v>0</v>
      </c>
      <c r="M117" s="37">
        <f t="shared" si="19"/>
        <v>0</v>
      </c>
      <c r="N117" s="41"/>
      <c r="O117" s="42"/>
      <c r="P117" s="125"/>
      <c r="Q117" s="8">
        <f>SUMIF(파손품!D:D,재고차이!B:B,파손품!I:I)+SUMIF(동파파손!D:D,재고차이!B:B,동파파손!I:I)</f>
        <v>0</v>
      </c>
      <c r="R117">
        <f t="shared" si="20"/>
        <v>0</v>
      </c>
    </row>
    <row r="118" spans="1:18" ht="18.75" customHeight="1" x14ac:dyDescent="0.3">
      <c r="A118" s="9">
        <v>4969</v>
      </c>
      <c r="B118" s="9" t="str">
        <f>VLOOKUP(A:A,제품등록!A:B,2,0)</f>
        <v>KC4969</v>
      </c>
      <c r="C118" s="31" t="str">
        <f>VLOOKUP(B118,제품등록!B:C,2,0)</f>
        <v>S)과일촌 아침에사과 500PET 4X6</v>
      </c>
      <c r="D118" s="9"/>
      <c r="E118" s="9">
        <v>70</v>
      </c>
      <c r="F118" s="2">
        <f>SUMIF('창고1(실사표)'!B:B,재고차이!A:A,'창고1(실사표)'!F:F)*D118+SUMIF('창고2(실사표)'!B:B,재고차이!A:A,'창고2(실사표)'!F:F)*D118+SUMIF('믹스(잔량실사표)'!B:B,재고차이!A:A,'믹스(잔량실사표)'!F:F)*D118</f>
        <v>0</v>
      </c>
      <c r="G118" s="2">
        <f>SUMIF('창고1(실사표)'!B:B,재고차이!A:A,'창고1(실사표)'!E:E)*E118+SUMIF('창고2(실사표)'!B:B,재고차이!A:A,'창고2(실사표)'!E:E)*E118+SUMIF('믹스(잔량실사표)'!B:B,재고차이!A:A,'믹스(잔량실사표)'!E:E)*E118</f>
        <v>1400</v>
      </c>
      <c r="H118" s="2">
        <f>SUMIF('창고1(실사표)'!B:B,재고차이!A:A,'창고1(실사표)'!G:G)+SUMIF('창고2(실사표)'!B:B,재고차이!A:A,'창고2(실사표)'!G:G)++SUMIF('믹스(잔량실사표)'!B:B,재고차이!A:A,'믹스(잔량실사표)'!G:G)</f>
        <v>64</v>
      </c>
      <c r="I11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18" s="2">
        <f t="shared" si="18"/>
        <v>1464</v>
      </c>
      <c r="K118" s="2">
        <f>SUMIF(SAP!B:B,재고차이!B:B,SAP!Q:Q)</f>
        <v>1464</v>
      </c>
      <c r="L118" s="2">
        <f>SUMIF(주간상차!A:A,재고차이!A:A,주간상차!E:E)</f>
        <v>0</v>
      </c>
      <c r="M118" s="37">
        <f t="shared" si="19"/>
        <v>0</v>
      </c>
      <c r="N118" s="41"/>
      <c r="O118" s="42"/>
      <c r="P118" s="125"/>
      <c r="Q118" s="8">
        <f>SUMIF(파손품!D:D,재고차이!B:B,파손품!I:I)+SUMIF(동파파손!D:D,재고차이!B:B,동파파손!I:I)</f>
        <v>0</v>
      </c>
      <c r="R118">
        <f t="shared" si="20"/>
        <v>0</v>
      </c>
    </row>
    <row r="119" spans="1:18" ht="18.75" customHeight="1" x14ac:dyDescent="0.3">
      <c r="A119" s="9">
        <v>2825</v>
      </c>
      <c r="B119" s="9" t="str">
        <f>VLOOKUP(A:A,제품등록!A:B,2,0)</f>
        <v>KM2825</v>
      </c>
      <c r="C119" s="31" t="str">
        <f>VLOOKUP(B119,제품등록!B:C,2,0)</f>
        <v>S)갈아만든 배 500PET 4X6</v>
      </c>
      <c r="D119" s="9"/>
      <c r="E119" s="9">
        <v>70</v>
      </c>
      <c r="F119" s="2">
        <f>SUMIF('창고1(실사표)'!B:B,재고차이!A:A,'창고1(실사표)'!F:F)*D119+SUMIF('창고2(실사표)'!B:B,재고차이!A:A,'창고2(실사표)'!F:F)*D119+SUMIF('믹스(잔량실사표)'!B:B,재고차이!A:A,'믹스(잔량실사표)'!F:F)*D119</f>
        <v>0</v>
      </c>
      <c r="G119" s="2">
        <f>SUMIF('창고1(실사표)'!B:B,재고차이!A:A,'창고1(실사표)'!E:E)*E119+SUMIF('창고2(실사표)'!B:B,재고차이!A:A,'창고2(실사표)'!E:E)*E119+SUMIF('믹스(잔량실사표)'!B:B,재고차이!A:A,'믹스(잔량실사표)'!E:E)*E119</f>
        <v>70</v>
      </c>
      <c r="H119" s="2">
        <f>SUMIF('창고1(실사표)'!B:B,재고차이!A:A,'창고1(실사표)'!G:G)+SUMIF('창고2(실사표)'!B:B,재고차이!A:A,'창고2(실사표)'!G:G)++SUMIF('믹스(잔량실사표)'!B:B,재고차이!A:A,'믹스(잔량실사표)'!G:G)</f>
        <v>60</v>
      </c>
      <c r="I11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19" s="2">
        <f t="shared" si="18"/>
        <v>130</v>
      </c>
      <c r="K119" s="2">
        <f>SUMIF(SAP!B:B,재고차이!B:B,SAP!Q:Q)</f>
        <v>131</v>
      </c>
      <c r="L119" s="2">
        <f>SUMIF(주간상차!A:A,재고차이!A:A,주간상차!E:E)</f>
        <v>0</v>
      </c>
      <c r="M119" s="37">
        <f t="shared" si="19"/>
        <v>0</v>
      </c>
      <c r="N119" s="41"/>
      <c r="O119" s="42"/>
      <c r="P119" s="125"/>
      <c r="Q119" s="8">
        <f>SUMIF(파손품!D:D,재고차이!B:B,파손품!I:I)+SUMIF(동파파손!D:D,재고차이!B:B,동파파손!I:I)</f>
        <v>1</v>
      </c>
      <c r="R119">
        <f t="shared" si="20"/>
        <v>0</v>
      </c>
    </row>
    <row r="120" spans="1:18" ht="18.75" customHeight="1" x14ac:dyDescent="0.3">
      <c r="A120" s="9">
        <v>2826</v>
      </c>
      <c r="B120" s="9" t="str">
        <f>VLOOKUP(A:A,제품등록!A:B,2,0)</f>
        <v>KM2826</v>
      </c>
      <c r="C120" s="31" t="str">
        <f>VLOOKUP(B120,제품등록!B:C,2,0)</f>
        <v>갈아만든 배 1.5PET X6</v>
      </c>
      <c r="D120" s="9"/>
      <c r="E120" s="9">
        <v>64</v>
      </c>
      <c r="F120" s="2">
        <f>SUMIF('창고1(실사표)'!B:B,재고차이!A:A,'창고1(실사표)'!F:F)*D120+SUMIF('창고2(실사표)'!B:B,재고차이!A:A,'창고2(실사표)'!F:F)*D120+SUMIF('믹스(잔량실사표)'!B:B,재고차이!A:A,'믹스(잔량실사표)'!F:F)*D120</f>
        <v>0</v>
      </c>
      <c r="G120" s="2">
        <f>SUMIF('창고1(실사표)'!B:B,재고차이!A:A,'창고1(실사표)'!E:E)*E120+SUMIF('창고2(실사표)'!B:B,재고차이!A:A,'창고2(실사표)'!E:E)*E120+SUMIF('믹스(잔량실사표)'!B:B,재고차이!A:A,'믹스(잔량실사표)'!E:E)*E120</f>
        <v>256</v>
      </c>
      <c r="H120" s="2">
        <f>SUMIF('창고1(실사표)'!B:B,재고차이!A:A,'창고1(실사표)'!G:G)+SUMIF('창고2(실사표)'!B:B,재고차이!A:A,'창고2(실사표)'!G:G)++SUMIF('믹스(잔량실사표)'!B:B,재고차이!A:A,'믹스(잔량실사표)'!G:G)</f>
        <v>1</v>
      </c>
      <c r="I12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20" s="2">
        <f t="shared" si="18"/>
        <v>257</v>
      </c>
      <c r="K120" s="2">
        <f>SUMIF(SAP!B:B,재고차이!B:B,SAP!Q:Q)</f>
        <v>257</v>
      </c>
      <c r="L120" s="2">
        <f>SUMIF(주간상차!A:A,재고차이!A:A,주간상차!E:E)</f>
        <v>0</v>
      </c>
      <c r="M120" s="37">
        <f t="shared" si="19"/>
        <v>0</v>
      </c>
      <c r="N120" s="41"/>
      <c r="O120" s="42"/>
      <c r="P120" s="125"/>
      <c r="Q120" s="8">
        <f>SUMIF(파손품!D:D,재고차이!B:B,파손품!I:I)+SUMIF(동파파손!D:D,재고차이!B:B,동파파손!I:I)</f>
        <v>0</v>
      </c>
      <c r="R120">
        <f t="shared" si="20"/>
        <v>0</v>
      </c>
    </row>
    <row r="121" spans="1:18" ht="20.25" customHeight="1" x14ac:dyDescent="0.3">
      <c r="A121" s="9">
        <v>4290</v>
      </c>
      <c r="B121" s="9" t="str">
        <f>VLOOKUP(A:A,제품등록!A:B,2,0)</f>
        <v>KM4290</v>
      </c>
      <c r="C121" s="31" t="str">
        <f>VLOOKUP(B121,제품등록!B:C,2,0)</f>
        <v>S)갈배 사이다 500PET 4X6</v>
      </c>
      <c r="D121" s="9"/>
      <c r="E121" s="9">
        <v>60</v>
      </c>
      <c r="F121" s="2">
        <f>SUMIF('창고1(실사표)'!B:B,재고차이!A:A,'창고1(실사표)'!F:F)*D121+SUMIF('창고2(실사표)'!B:B,재고차이!A:A,'창고2(실사표)'!F:F)*D121+SUMIF('믹스(잔량실사표)'!B:B,재고차이!A:A,'믹스(잔량실사표)'!F:F)*D121</f>
        <v>0</v>
      </c>
      <c r="G121" s="2">
        <f>SUMIF('창고1(실사표)'!B:B,재고차이!A:A,'창고1(실사표)'!E:E)*E121+SUMIF('창고2(실사표)'!B:B,재고차이!A:A,'창고2(실사표)'!E:E)*E121+SUMIF('믹스(잔량실사표)'!B:B,재고차이!A:A,'믹스(잔량실사표)'!E:E)*E121</f>
        <v>780</v>
      </c>
      <c r="H121" s="2">
        <f>SUMIF('창고1(실사표)'!B:B,재고차이!A:A,'창고1(실사표)'!G:G)+SUMIF('창고2(실사표)'!B:B,재고차이!A:A,'창고2(실사표)'!G:G)++SUMIF('믹스(잔량실사표)'!B:B,재고차이!A:A,'믹스(잔량실사표)'!G:G)</f>
        <v>4</v>
      </c>
      <c r="I12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21" s="2">
        <f t="shared" si="18"/>
        <v>784</v>
      </c>
      <c r="K121" s="2">
        <f>SUMIF(SAP!B:B,재고차이!B:B,SAP!Q:Q)</f>
        <v>784</v>
      </c>
      <c r="L121" s="2">
        <f>SUMIF(주간상차!A:A,재고차이!A:A,주간상차!E:E)</f>
        <v>0</v>
      </c>
      <c r="M121" s="37">
        <f t="shared" si="19"/>
        <v>0</v>
      </c>
      <c r="N121" s="41"/>
      <c r="O121" s="42"/>
      <c r="P121" s="125"/>
      <c r="Q121" s="8">
        <f>SUMIF(파손품!D:D,재고차이!B:B,파손품!I:I)+SUMIF(동파파손!D:D,재고차이!B:B,동파파손!I:I)</f>
        <v>0</v>
      </c>
      <c r="R121">
        <f t="shared" si="17"/>
        <v>0</v>
      </c>
    </row>
    <row r="122" spans="1:18" ht="18.75" customHeight="1" x14ac:dyDescent="0.3">
      <c r="A122" s="9">
        <v>4929</v>
      </c>
      <c r="B122" s="9" t="str">
        <f>VLOOKUP(A:A,제품등록!A:B,2,0)</f>
        <v>KM4929</v>
      </c>
      <c r="C122" s="31" t="str">
        <f>VLOOKUP(B122,제품등록!B:C,2,0)</f>
        <v>S)갈아만든 배 340CAN 4X6</v>
      </c>
      <c r="D122" s="9"/>
      <c r="E122" s="9">
        <v>100</v>
      </c>
      <c r="F122" s="2">
        <f>SUMIF('창고1(실사표)'!B:B,재고차이!A:A,'창고1(실사표)'!F:F)*D122+SUMIF('창고2(실사표)'!B:B,재고차이!A:A,'창고2(실사표)'!F:F)*D122+SUMIF('믹스(잔량실사표)'!B:B,재고차이!A:A,'믹스(잔량실사표)'!F:F)*D122</f>
        <v>0</v>
      </c>
      <c r="G122" s="2">
        <f>SUMIF('창고1(실사표)'!B:B,재고차이!A:A,'창고1(실사표)'!E:E)*E122+SUMIF('창고2(실사표)'!B:B,재고차이!A:A,'창고2(실사표)'!E:E)*E122+SUMIF('믹스(잔량실사표)'!B:B,재고차이!A:A,'믹스(잔량실사표)'!E:E)*E122</f>
        <v>100</v>
      </c>
      <c r="H122" s="2">
        <f>SUMIF('창고1(실사표)'!B:B,재고차이!A:A,'창고1(실사표)'!G:G)+SUMIF('창고2(실사표)'!B:B,재고차이!A:A,'창고2(실사표)'!G:G)++SUMIF('믹스(잔량실사표)'!B:B,재고차이!A:A,'믹스(잔량실사표)'!G:G)</f>
        <v>2</v>
      </c>
      <c r="I12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22" s="2">
        <f t="shared" si="18"/>
        <v>102</v>
      </c>
      <c r="K122" s="2">
        <f>SUMIF(SAP!B:B,재고차이!B:B,SAP!Q:Q)</f>
        <v>102</v>
      </c>
      <c r="L122" s="2">
        <f>SUMIF(주간상차!A:A,재고차이!A:A,주간상차!E:E)</f>
        <v>0</v>
      </c>
      <c r="M122" s="37">
        <f t="shared" si="19"/>
        <v>0</v>
      </c>
      <c r="N122" s="41"/>
      <c r="O122" s="42"/>
      <c r="P122" s="125"/>
      <c r="Q122" s="8">
        <f>SUMIF(파손품!D:D,재고차이!B:B,파손품!I:I)+SUMIF(동파파손!D:D,재고차이!B:B,동파파손!I:I)</f>
        <v>0</v>
      </c>
      <c r="R122">
        <f>M122/E122</f>
        <v>0</v>
      </c>
    </row>
    <row r="123" spans="1:18" ht="18.75" customHeight="1" x14ac:dyDescent="0.3">
      <c r="A123" s="9">
        <v>9120</v>
      </c>
      <c r="B123" s="9" t="str">
        <f>VLOOKUP(A:A,제품등록!A:B,2,0)</f>
        <v>MJ9120</v>
      </c>
      <c r="C123" s="31" t="str">
        <f>VLOOKUP(B123,제품등록!B:C,2,0)</f>
        <v>몸에좋은 Set 음양오행 180NRB 3X10</v>
      </c>
      <c r="D123" s="9"/>
      <c r="E123" s="9">
        <v>77</v>
      </c>
      <c r="F123" s="2">
        <f>SUMIF('창고1(실사표)'!B:B,재고차이!A:A,'창고1(실사표)'!F:F)*D123+SUMIF('창고2(실사표)'!B:B,재고차이!A:A,'창고2(실사표)'!F:F)*D123+SUMIF('믹스(잔량실사표)'!B:B,재고차이!A:A,'믹스(잔량실사표)'!F:F)*D123</f>
        <v>0</v>
      </c>
      <c r="G123" s="2">
        <f>SUMIF('창고1(실사표)'!B:B,재고차이!A:A,'창고1(실사표)'!E:E)*E123+SUMIF('창고2(실사표)'!B:B,재고차이!A:A,'창고2(실사표)'!E:E)*E123+SUMIF('믹스(잔량실사표)'!B:B,재고차이!A:A,'믹스(잔량실사표)'!E:E)*E123</f>
        <v>231</v>
      </c>
      <c r="H123" s="2">
        <f>SUMIF('창고1(실사표)'!B:B,재고차이!A:A,'창고1(실사표)'!G:G)+SUMIF('창고2(실사표)'!B:B,재고차이!A:A,'창고2(실사표)'!G:G)++SUMIF('믹스(잔량실사표)'!B:B,재고차이!A:A,'믹스(잔량실사표)'!G:G)</f>
        <v>63</v>
      </c>
      <c r="I12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23" s="2">
        <f t="shared" si="18"/>
        <v>294</v>
      </c>
      <c r="K123" s="2">
        <f>SUMIF(SAP!B:B,재고차이!B:B,SAP!Q:Q)</f>
        <v>294</v>
      </c>
      <c r="L123" s="2">
        <f>SUMIF(주간상차!A:A,재고차이!A:A,주간상차!E:E)</f>
        <v>0</v>
      </c>
      <c r="M123" s="37">
        <f t="shared" si="19"/>
        <v>0</v>
      </c>
      <c r="N123" s="41"/>
      <c r="O123" s="42"/>
      <c r="P123" s="125"/>
      <c r="Q123" s="8">
        <f>SUMIF(파손품!D:D,재고차이!B:B,파손품!I:I)+SUMIF(동파파손!D:D,재고차이!B:B,동파파손!I:I)</f>
        <v>0</v>
      </c>
      <c r="R123">
        <f>M123/E123</f>
        <v>0</v>
      </c>
    </row>
    <row r="124" spans="1:18" ht="18.75" customHeight="1" x14ac:dyDescent="0.3">
      <c r="A124" s="9">
        <v>1000</v>
      </c>
      <c r="B124" s="9" t="str">
        <f>VLOOKUP(A:A,제품등록!A:B,2,0)</f>
        <v>MM1000</v>
      </c>
      <c r="C124" s="31" t="str">
        <f>VLOOKUP(B124,제품등록!B:C,2,0)</f>
        <v>미닛 허니&amp;유자 280PET 4X6</v>
      </c>
      <c r="D124" s="9">
        <v>80</v>
      </c>
      <c r="E124" s="9">
        <v>100</v>
      </c>
      <c r="F124" s="2">
        <f>SUMIF('창고1(실사표)'!B:B,재고차이!A:A,'창고1(실사표)'!F:F)*D124+SUMIF('창고2(실사표)'!B:B,재고차이!A:A,'창고2(실사표)'!F:F)*D124+SUMIF('믹스(잔량실사표)'!B:B,재고차이!A:A,'믹스(잔량실사표)'!F:F)*D124</f>
        <v>0</v>
      </c>
      <c r="G124" s="2">
        <f>SUMIF('창고1(실사표)'!B:B,재고차이!A:A,'창고1(실사표)'!E:E)*E124+SUMIF('창고2(실사표)'!B:B,재고차이!A:A,'창고2(실사표)'!E:E)*E124+SUMIF('믹스(잔량실사표)'!B:B,재고차이!A:A,'믹스(잔량실사표)'!E:E)*E124</f>
        <v>300</v>
      </c>
      <c r="H124" s="2">
        <f>SUMIF('창고1(실사표)'!B:B,재고차이!A:A,'창고1(실사표)'!G:G)+SUMIF('창고2(실사표)'!B:B,재고차이!A:A,'창고2(실사표)'!G:G)++SUMIF('믹스(잔량실사표)'!B:B,재고차이!A:A,'믹스(잔량실사표)'!G:G)</f>
        <v>24</v>
      </c>
      <c r="I12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24" s="2">
        <f t="shared" si="18"/>
        <v>324</v>
      </c>
      <c r="K124" s="2">
        <f>SUMIF(SAP!B:B,재고차이!B:B,SAP!Q:Q)</f>
        <v>324</v>
      </c>
      <c r="L124" s="2">
        <f>SUMIF(주간상차!A:A,재고차이!A:A,주간상차!E:E)</f>
        <v>0</v>
      </c>
      <c r="M124" s="37">
        <f t="shared" si="19"/>
        <v>0</v>
      </c>
      <c r="N124" s="41"/>
      <c r="O124" s="42"/>
      <c r="P124" s="125"/>
      <c r="Q124" s="8">
        <f>SUMIF(파손품!D:D,재고차이!B:B,파손품!I:I)+SUMIF(동파파손!D:D,재고차이!B:B,동파파손!I:I)</f>
        <v>0</v>
      </c>
      <c r="R124">
        <f>M124/E124</f>
        <v>0</v>
      </c>
    </row>
    <row r="125" spans="1:18" ht="18.75" customHeight="1" x14ac:dyDescent="0.3">
      <c r="A125" s="9">
        <v>1001</v>
      </c>
      <c r="B125" s="9" t="str">
        <f>VLOOKUP(A:A,제품등록!A:B,2,0)</f>
        <v>MM1001</v>
      </c>
      <c r="C125" s="31" t="str">
        <f>VLOOKUP(B125,제품등록!B:C,2,0)</f>
        <v>미닛 모과&amp;생강 280PET 4X6</v>
      </c>
      <c r="D125" s="9">
        <v>80</v>
      </c>
      <c r="E125" s="9">
        <v>100</v>
      </c>
      <c r="F125" s="2">
        <f>SUMIF('창고1(실사표)'!B:B,재고차이!A:A,'창고1(실사표)'!F:F)*D125+SUMIF('창고2(실사표)'!B:B,재고차이!A:A,'창고2(실사표)'!F:F)*D125+SUMIF('믹스(잔량실사표)'!B:B,재고차이!A:A,'믹스(잔량실사표)'!F:F)*D125</f>
        <v>0</v>
      </c>
      <c r="G125" s="2">
        <f>SUMIF('창고1(실사표)'!B:B,재고차이!A:A,'창고1(실사표)'!E:E)*E125+SUMIF('창고2(실사표)'!B:B,재고차이!A:A,'창고2(실사표)'!E:E)*E125+SUMIF('믹스(잔량실사표)'!B:B,재고차이!A:A,'믹스(잔량실사표)'!E:E)*E125</f>
        <v>200</v>
      </c>
      <c r="H125" s="2">
        <f>SUMIF('창고1(실사표)'!B:B,재고차이!A:A,'창고1(실사표)'!G:G)+SUMIF('창고2(실사표)'!B:B,재고차이!A:A,'창고2(실사표)'!G:G)++SUMIF('믹스(잔량실사표)'!B:B,재고차이!A:A,'믹스(잔량실사표)'!G:G)</f>
        <v>88</v>
      </c>
      <c r="I12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25" s="2">
        <f t="shared" si="18"/>
        <v>288</v>
      </c>
      <c r="K125" s="2">
        <f>SUMIF(SAP!B:B,재고차이!B:B,SAP!Q:Q)</f>
        <v>288</v>
      </c>
      <c r="L125" s="2">
        <f>SUMIF(주간상차!A:A,재고차이!A:A,주간상차!E:E)</f>
        <v>0</v>
      </c>
      <c r="M125" s="37">
        <f t="shared" si="19"/>
        <v>0</v>
      </c>
      <c r="N125" s="41"/>
      <c r="O125" s="42"/>
      <c r="P125" s="125"/>
      <c r="Q125" s="8">
        <f>SUMIF(파손품!D:D,재고차이!B:B,파손품!I:I)+SUMIF(동파파손!D:D,재고차이!B:B,동파파손!I:I)</f>
        <v>0</v>
      </c>
      <c r="R125">
        <f t="shared" si="17"/>
        <v>0</v>
      </c>
    </row>
    <row r="126" spans="1:18" ht="18.75" hidden="1" customHeight="1" x14ac:dyDescent="0.3">
      <c r="A126" s="9">
        <v>6279</v>
      </c>
      <c r="B126" s="9" t="str">
        <f>VLOOKUP(A:A,제품등록!A:B,2,0)</f>
        <v>PA6279</v>
      </c>
      <c r="C126" s="31" t="str">
        <f>VLOOKUP(B126,제품등록!B:C,2,0)</f>
        <v>S)파워 메가볼츠 600PET 4X6</v>
      </c>
      <c r="D126" s="9"/>
      <c r="E126" s="9">
        <v>48</v>
      </c>
      <c r="F126" s="2">
        <f>SUMIF('창고1(실사표)'!B:B,재고차이!A:A,'창고1(실사표)'!F:F)*D126+SUMIF('창고2(실사표)'!B:B,재고차이!A:A,'창고2(실사표)'!F:F)*D126+SUMIF('믹스(잔량실사표)'!B:B,재고차이!A:A,'믹스(잔량실사표)'!F:F)*D126</f>
        <v>0</v>
      </c>
      <c r="G126" s="2">
        <f>SUMIF('창고1(실사표)'!B:B,재고차이!A:A,'창고1(실사표)'!E:E)*E126+SUMIF('창고2(실사표)'!B:B,재고차이!A:A,'창고2(실사표)'!E:E)*E126+SUMIF('믹스(잔량실사표)'!B:B,재고차이!A:A,'믹스(잔량실사표)'!E:E)*E126</f>
        <v>0</v>
      </c>
      <c r="H12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2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26" s="2">
        <f t="shared" si="18"/>
        <v>0</v>
      </c>
      <c r="K126" s="2">
        <f>SUMIF(SAP!B:B,재고차이!B:B,SAP!Q:Q)</f>
        <v>0</v>
      </c>
      <c r="L126" s="2">
        <f>SUMIF(주간상차!A:A,재고차이!A:A,주간상차!E:E)</f>
        <v>0</v>
      </c>
      <c r="M126" s="37">
        <f t="shared" si="19"/>
        <v>0</v>
      </c>
      <c r="N126" s="41"/>
      <c r="O126" s="42"/>
      <c r="P126" s="125"/>
      <c r="Q126" s="8">
        <f>SUMIF(파손품!D:D,재고차이!B:B,파손품!I:I)+SUMIF(동파파손!D:D,재고차이!B:B,동파파손!I:I)</f>
        <v>0</v>
      </c>
      <c r="R126">
        <f t="shared" si="17"/>
        <v>0</v>
      </c>
    </row>
    <row r="127" spans="1:18" ht="18.75" customHeight="1" x14ac:dyDescent="0.3">
      <c r="A127" s="9">
        <v>1002</v>
      </c>
      <c r="B127" s="9" t="str">
        <f>VLOOKUP(A:A,제품등록!A:B,2,0)</f>
        <v>MM1002</v>
      </c>
      <c r="C127" s="31" t="str">
        <f>VLOOKUP(B127,제품등록!B:C,2,0)</f>
        <v>미닛 레몬에이드 350PET 4X6</v>
      </c>
      <c r="D127" s="9"/>
      <c r="E127" s="9">
        <v>91</v>
      </c>
      <c r="F127" s="2">
        <f>SUMIF('창고1(실사표)'!B:B,재고차이!A:A,'창고1(실사표)'!F:F)*D127+SUMIF('창고2(실사표)'!B:B,재고차이!A:A,'창고2(실사표)'!F:F)*D127+SUMIF('믹스(잔량실사표)'!B:B,재고차이!A:A,'믹스(잔량실사표)'!F:F)*D127</f>
        <v>0</v>
      </c>
      <c r="G127" s="2">
        <f>SUMIF('창고1(실사표)'!B:B,재고차이!A:A,'창고1(실사표)'!E:E)*E127+SUMIF('창고2(실사표)'!B:B,재고차이!A:A,'창고2(실사표)'!E:E)*E127+SUMIF('믹스(잔량실사표)'!B:B,재고차이!A:A,'믹스(잔량실사표)'!E:E)*E127</f>
        <v>1092</v>
      </c>
      <c r="H127" s="2">
        <f>SUMIF('창고1(실사표)'!B:B,재고차이!A:A,'창고1(실사표)'!G:G)+SUMIF('창고2(실사표)'!B:B,재고차이!A:A,'창고2(실사표)'!G:G)++SUMIF('믹스(잔량실사표)'!B:B,재고차이!A:A,'믹스(잔량실사표)'!G:G)</f>
        <v>89</v>
      </c>
      <c r="I12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27" s="2">
        <f t="shared" si="18"/>
        <v>1181</v>
      </c>
      <c r="K127" s="2">
        <f>SUMIF(SAP!B:B,재고차이!B:B,SAP!Q:Q)</f>
        <v>1181</v>
      </c>
      <c r="L127" s="2">
        <f>SUMIF(주간상차!A:A,재고차이!A:A,주간상차!E:E)</f>
        <v>0</v>
      </c>
      <c r="M127" s="37">
        <f t="shared" si="19"/>
        <v>0</v>
      </c>
      <c r="N127" s="41"/>
      <c r="O127" s="42"/>
      <c r="P127" s="125"/>
      <c r="Q127" s="8">
        <f>SUMIF(파손품!D:D,재고차이!B:B,파손품!I:I)+SUMIF(동파파손!D:D,재고차이!B:B,동파파손!I:I)</f>
        <v>0</v>
      </c>
      <c r="R127">
        <f t="shared" si="17"/>
        <v>0</v>
      </c>
    </row>
    <row r="128" spans="1:18" ht="20.25" hidden="1" customHeight="1" x14ac:dyDescent="0.3">
      <c r="A128" s="9">
        <v>1003</v>
      </c>
      <c r="B128" s="9" t="str">
        <f>VLOOKUP(A:A,제품등록!A:B,2,0)</f>
        <v>MM1003</v>
      </c>
      <c r="C128" s="31" t="str">
        <f>VLOOKUP(B128,제품등록!B:C,2,0)</f>
        <v>미닛 레몬에이드 제로 350PET 4X6</v>
      </c>
      <c r="D128" s="9"/>
      <c r="E128" s="9">
        <v>91</v>
      </c>
      <c r="F128" s="2">
        <f>SUMIF('창고1(실사표)'!B:B,재고차이!A:A,'창고1(실사표)'!F:F)*D128+SUMIF('창고2(실사표)'!B:B,재고차이!A:A,'창고2(실사표)'!F:F)*D128+SUMIF('믹스(잔량실사표)'!B:B,재고차이!A:A,'믹스(잔량실사표)'!F:F)*D128</f>
        <v>0</v>
      </c>
      <c r="G128" s="2">
        <f>SUMIF('창고1(실사표)'!B:B,재고차이!A:A,'창고1(실사표)'!E:E)*E128+SUMIF('창고2(실사표)'!B:B,재고차이!A:A,'창고2(실사표)'!E:E)*E128+SUMIF('믹스(잔량실사표)'!B:B,재고차이!A:A,'믹스(잔량실사표)'!E:E)*E128</f>
        <v>0</v>
      </c>
      <c r="H12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2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28" s="2">
        <f t="shared" si="18"/>
        <v>0</v>
      </c>
      <c r="K128" s="2">
        <f>SUMIF(SAP!B:B,재고차이!B:B,SAP!Q:Q)</f>
        <v>0</v>
      </c>
      <c r="L128" s="2">
        <f>SUMIF(주간상차!A:A,재고차이!A:A,주간상차!E:E)</f>
        <v>0</v>
      </c>
      <c r="M128" s="37">
        <f t="shared" si="19"/>
        <v>0</v>
      </c>
      <c r="N128" s="41"/>
      <c r="O128" s="42"/>
      <c r="P128" s="125"/>
      <c r="Q128" s="8">
        <f>SUMIF(파손품!D:D,재고차이!B:B,파손품!I:I)+SUMIF(동파파손!D:D,재고차이!B:B,동파파손!I:I)</f>
        <v>0</v>
      </c>
      <c r="R128">
        <f t="shared" si="17"/>
        <v>0</v>
      </c>
    </row>
    <row r="129" spans="1:18" ht="18.75" customHeight="1" x14ac:dyDescent="0.3">
      <c r="A129" s="9">
        <v>6509</v>
      </c>
      <c r="B129" s="9" t="str">
        <f>VLOOKUP(A:A,제품등록!A:B,2,0)</f>
        <v>MM6509</v>
      </c>
      <c r="C129" s="31" t="str">
        <f>VLOOKUP(B129,제품등록!B:C,2,0)</f>
        <v>S)MM오리지널0R100 1.5P 2X6</v>
      </c>
      <c r="D129" s="9">
        <v>32</v>
      </c>
      <c r="E129" s="9">
        <v>44</v>
      </c>
      <c r="F129" s="2">
        <f>SUMIF('창고1(실사표)'!B:B,재고차이!A:A,'창고1(실사표)'!F:F)*D129+SUMIF('창고2(실사표)'!B:B,재고차이!A:A,'창고2(실사표)'!F:F)*D129+SUMIF('믹스(잔량실사표)'!B:B,재고차이!A:A,'믹스(잔량실사표)'!F:F)*D129</f>
        <v>0</v>
      </c>
      <c r="G129" s="2">
        <f>SUMIF('창고1(실사표)'!B:B,재고차이!A:A,'창고1(실사표)'!E:E)*E129+SUMIF('창고2(실사표)'!B:B,재고차이!A:A,'창고2(실사표)'!E:E)*E129+SUMIF('믹스(잔량실사표)'!B:B,재고차이!A:A,'믹스(잔량실사표)'!E:E)*E129</f>
        <v>572</v>
      </c>
      <c r="H129" s="2">
        <f>SUMIF('창고1(실사표)'!B:B,재고차이!A:A,'창고1(실사표)'!G:G)+SUMIF('창고2(실사표)'!B:B,재고차이!A:A,'창고2(실사표)'!G:G)++SUMIF('믹스(잔량실사표)'!B:B,재고차이!A:A,'믹스(잔량실사표)'!G:G)</f>
        <v>21</v>
      </c>
      <c r="I12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29" s="2">
        <f t="shared" si="18"/>
        <v>593</v>
      </c>
      <c r="K129" s="2">
        <f>SUMIF(SAP!B:B,재고차이!B:B,SAP!Q:Q)</f>
        <v>549</v>
      </c>
      <c r="L129" s="2">
        <f>SUMIF(주간상차!A:A,재고차이!A:A,주간상차!E:E)</f>
        <v>44</v>
      </c>
      <c r="M129" s="37">
        <f t="shared" si="19"/>
        <v>0</v>
      </c>
      <c r="N129" s="41"/>
      <c r="O129" s="42"/>
      <c r="P129" s="125"/>
      <c r="Q129" s="8">
        <f>SUMIF(파손품!D:D,재고차이!B:B,파손품!I:I)+SUMIF(동파파손!D:D,재고차이!B:B,동파파손!I:I)</f>
        <v>0</v>
      </c>
      <c r="R129">
        <f t="shared" si="17"/>
        <v>0</v>
      </c>
    </row>
    <row r="130" spans="1:18" ht="18" customHeight="1" x14ac:dyDescent="0.3">
      <c r="A130" s="9">
        <v>6705</v>
      </c>
      <c r="B130" s="9" t="str">
        <f>VLOOKUP(A:A,제품등록!A:B,2,0)</f>
        <v>MM6705</v>
      </c>
      <c r="C130" s="31" t="str">
        <f>VLOOKUP(B130,제품등록!B:C,2,0)</f>
        <v>S)MM오리지널OR100 350P 4X6</v>
      </c>
      <c r="D130" s="9">
        <v>64</v>
      </c>
      <c r="E130" s="9">
        <v>60</v>
      </c>
      <c r="F130" s="2">
        <f>SUMIF('창고1(실사표)'!B:B,재고차이!A:A,'창고1(실사표)'!F:F)*D130+SUMIF('창고2(실사표)'!B:B,재고차이!A:A,'창고2(실사표)'!F:F)*D130+SUMIF('믹스(잔량실사표)'!B:B,재고차이!A:A,'믹스(잔량실사표)'!F:F)*D130</f>
        <v>0</v>
      </c>
      <c r="G130" s="2">
        <f>SUMIF('창고1(실사표)'!B:B,재고차이!A:A,'창고1(실사표)'!E:E)*E130+SUMIF('창고2(실사표)'!B:B,재고차이!A:A,'창고2(실사표)'!E:E)*E130+SUMIF('믹스(잔량실사표)'!B:B,재고차이!A:A,'믹스(잔량실사표)'!E:E)*E130</f>
        <v>240</v>
      </c>
      <c r="H130" s="2">
        <f>SUMIF('창고1(실사표)'!B:B,재고차이!A:A,'창고1(실사표)'!G:G)+SUMIF('창고2(실사표)'!B:B,재고차이!A:A,'창고2(실사표)'!G:G)++SUMIF('믹스(잔량실사표)'!B:B,재고차이!A:A,'믹스(잔량실사표)'!G:G)</f>
        <v>36</v>
      </c>
      <c r="I13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30" s="2">
        <f t="shared" si="18"/>
        <v>276</v>
      </c>
      <c r="K130" s="2">
        <f>SUMIF(SAP!B:B,재고차이!B:B,SAP!Q:Q)</f>
        <v>276</v>
      </c>
      <c r="L130" s="2">
        <f>SUMIF(주간상차!A:A,재고차이!A:A,주간상차!E:E)</f>
        <v>0</v>
      </c>
      <c r="M130" s="37">
        <f t="shared" si="19"/>
        <v>0</v>
      </c>
      <c r="N130" s="41"/>
      <c r="O130" s="42"/>
      <c r="P130" s="125"/>
      <c r="Q130" s="8">
        <f>SUMIF(파손품!D:D,재고차이!B:B,파손품!I:I)+SUMIF(동파파손!D:D,재고차이!B:B,동파파손!I:I)</f>
        <v>0</v>
      </c>
      <c r="R130">
        <f t="shared" si="17"/>
        <v>0</v>
      </c>
    </row>
    <row r="131" spans="1:18" ht="19.5" hidden="1" customHeight="1" x14ac:dyDescent="0.3">
      <c r="A131" s="9">
        <v>4193</v>
      </c>
      <c r="B131" s="9" t="str">
        <f>VLOOKUP(A:A,제품등록!A:B,2,0)</f>
        <v>SG4193</v>
      </c>
      <c r="C131" s="31" t="str">
        <f>VLOOKUP(B131,제품등록!B:C,2,0)</f>
        <v>S)씨그램 라임350P 4X6</v>
      </c>
      <c r="D131" s="9">
        <v>40</v>
      </c>
      <c r="E131" s="9">
        <v>91</v>
      </c>
      <c r="F131" s="2">
        <f>SUMIF('창고1(실사표)'!B:B,재고차이!A:A,'창고1(실사표)'!F:F)*D131+SUMIF('창고2(실사표)'!B:B,재고차이!A:A,'창고2(실사표)'!F:F)*D131+SUMIF('믹스(잔량실사표)'!B:B,재고차이!A:A,'믹스(잔량실사표)'!F:F)*D131</f>
        <v>0</v>
      </c>
      <c r="G131" s="2">
        <f>SUMIF('창고1(실사표)'!B:B,재고차이!A:A,'창고1(실사표)'!E:E)*E131+SUMIF('창고2(실사표)'!B:B,재고차이!A:A,'창고2(실사표)'!E:E)*E131+SUMIF('믹스(잔량실사표)'!B:B,재고차이!A:A,'믹스(잔량실사표)'!E:E)*E131</f>
        <v>0</v>
      </c>
      <c r="H131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3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31" s="2">
        <f t="shared" si="18"/>
        <v>0</v>
      </c>
      <c r="K131" s="2">
        <f>SUMIF(SAP!B:B,재고차이!B:B,SAP!Q:Q)</f>
        <v>0</v>
      </c>
      <c r="L131" s="2">
        <f>SUMIF(주간상차!A:A,재고차이!A:A,주간상차!E:E)</f>
        <v>0</v>
      </c>
      <c r="M131" s="37">
        <f t="shared" si="19"/>
        <v>0</v>
      </c>
      <c r="N131" s="41"/>
      <c r="O131" s="42"/>
      <c r="P131" s="125"/>
      <c r="Q131" s="8">
        <f>SUMIF(파손품!D:D,재고차이!B:B,파손품!I:I)+SUMIF(동파파손!D:D,재고차이!B:B,동파파손!I:I)</f>
        <v>0</v>
      </c>
      <c r="R131">
        <f t="shared" si="17"/>
        <v>0</v>
      </c>
    </row>
    <row r="132" spans="1:18" ht="18.75" hidden="1" customHeight="1" x14ac:dyDescent="0.3">
      <c r="A132" s="9">
        <v>4196</v>
      </c>
      <c r="B132" s="9" t="str">
        <f>VLOOKUP(A:A,제품등록!A:B,2,0)</f>
        <v>SG4196</v>
      </c>
      <c r="C132" s="31" t="str">
        <f>VLOOKUP(B132,제품등록!B:C,2,0)</f>
        <v>S)씨그램 레몬350P 4X6</v>
      </c>
      <c r="D132" s="9">
        <v>40</v>
      </c>
      <c r="E132" s="9">
        <v>91</v>
      </c>
      <c r="F132" s="2">
        <f>SUMIF('창고1(실사표)'!B:B,재고차이!A:A,'창고1(실사표)'!F:F)*D132+SUMIF('창고2(실사표)'!B:B,재고차이!A:A,'창고2(실사표)'!F:F)*D132+SUMIF('믹스(잔량실사표)'!B:B,재고차이!A:A,'믹스(잔량실사표)'!F:F)*D132</f>
        <v>0</v>
      </c>
      <c r="G132" s="2">
        <f>SUMIF('창고1(실사표)'!B:B,재고차이!A:A,'창고1(실사표)'!E:E)*E132+SUMIF('창고2(실사표)'!B:B,재고차이!A:A,'창고2(실사표)'!E:E)*E132+SUMIF('믹스(잔량실사표)'!B:B,재고차이!A:A,'믹스(잔량실사표)'!E:E)*E132</f>
        <v>0</v>
      </c>
      <c r="H132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3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32" s="2">
        <f t="shared" si="18"/>
        <v>0</v>
      </c>
      <c r="K132" s="2">
        <f>SUMIF(SAP!B:B,재고차이!B:B,SAP!Q:Q)</f>
        <v>0</v>
      </c>
      <c r="L132" s="2">
        <f>SUMIF(주간상차!A:A,재고차이!A:A,주간상차!E:E)</f>
        <v>0</v>
      </c>
      <c r="M132" s="37">
        <f t="shared" si="19"/>
        <v>0</v>
      </c>
      <c r="N132" s="41"/>
      <c r="O132" s="42"/>
      <c r="P132" s="125"/>
      <c r="Q132" s="8">
        <f>SUMIF(파손품!D:D,재고차이!B:B,파손품!I:I)+SUMIF(동파파손!D:D,재고차이!B:B,동파파손!I:I)</f>
        <v>0</v>
      </c>
      <c r="R132">
        <f t="shared" si="17"/>
        <v>0</v>
      </c>
    </row>
    <row r="133" spans="1:18" ht="18.75" hidden="1" customHeight="1" x14ac:dyDescent="0.3">
      <c r="A133" s="9">
        <v>4463</v>
      </c>
      <c r="B133" s="9" t="str">
        <f>VLOOKUP(A:A,제품등록!A:B,2,0)</f>
        <v>SG4463</v>
      </c>
      <c r="C133" s="31" t="str">
        <f>VLOOKUP(B133,제품등록!B:C,2,0)</f>
        <v>S)씨그램 피치 350PET 4X6</v>
      </c>
      <c r="D133" s="9">
        <v>40</v>
      </c>
      <c r="E133" s="9">
        <v>91</v>
      </c>
      <c r="F133" s="2">
        <f>SUMIF('창고1(실사표)'!B:B,재고차이!A:A,'창고1(실사표)'!F:F)*D133+SUMIF('창고2(실사표)'!B:B,재고차이!A:A,'창고2(실사표)'!F:F)*D133+SUMIF('믹스(잔량실사표)'!B:B,재고차이!A:A,'믹스(잔량실사표)'!F:F)*D133</f>
        <v>0</v>
      </c>
      <c r="G133" s="2">
        <f>SUMIF('창고1(실사표)'!B:B,재고차이!A:A,'창고1(실사표)'!E:E)*E133+SUMIF('창고2(실사표)'!B:B,재고차이!A:A,'창고2(실사표)'!E:E)*E133+SUMIF('믹스(잔량실사표)'!B:B,재고차이!A:A,'믹스(잔량실사표)'!E:E)*E133</f>
        <v>0</v>
      </c>
      <c r="H133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3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33" s="2">
        <f t="shared" si="18"/>
        <v>0</v>
      </c>
      <c r="K133" s="2">
        <f>SUMIF(SAP!B:B,재고차이!B:B,SAP!Q:Q)</f>
        <v>0</v>
      </c>
      <c r="L133" s="2">
        <f>SUMIF(주간상차!A:A,재고차이!A:A,주간상차!E:E)</f>
        <v>0</v>
      </c>
      <c r="M133" s="37">
        <f t="shared" si="19"/>
        <v>0</v>
      </c>
      <c r="N133" s="41"/>
      <c r="O133" s="42"/>
      <c r="P133" s="125"/>
      <c r="Q133" s="8">
        <f>SUMIF(파손품!D:D,재고차이!B:B,파손품!I:I)+SUMIF(동파파손!D:D,재고차이!B:B,동파파손!I:I)</f>
        <v>0</v>
      </c>
      <c r="R133">
        <f t="shared" si="17"/>
        <v>0</v>
      </c>
    </row>
    <row r="134" spans="1:18" ht="18.75" hidden="1" customHeight="1" x14ac:dyDescent="0.3">
      <c r="A134" s="9">
        <v>7945</v>
      </c>
      <c r="B134" s="9" t="str">
        <f>VLOOKUP(A:A,제품등록!A:B,2,0)</f>
        <v>MM7945</v>
      </c>
      <c r="C134" s="31" t="str">
        <f>VLOOKUP(B134,제품등록!B:C,2,0)</f>
        <v>미닛 포도+감귤 180NRB 3X12</v>
      </c>
      <c r="D134" s="9"/>
      <c r="E134" s="9">
        <v>72</v>
      </c>
      <c r="F134" s="2">
        <f>SUMIF('창고1(실사표)'!B:B,재고차이!A:A,'창고1(실사표)'!F:F)*D134+SUMIF('창고2(실사표)'!B:B,재고차이!A:A,'창고2(실사표)'!F:F)*D134+SUMIF('믹스(잔량실사표)'!B:B,재고차이!A:A,'믹스(잔량실사표)'!F:F)*D134</f>
        <v>0</v>
      </c>
      <c r="G134" s="2">
        <f>SUMIF('창고1(실사표)'!B:B,재고차이!A:A,'창고1(실사표)'!E:E)*E134+SUMIF('창고2(실사표)'!B:B,재고차이!A:A,'창고2(실사표)'!E:E)*E134+SUMIF('믹스(잔량실사표)'!B:B,재고차이!A:A,'믹스(잔량실사표)'!E:E)*E134</f>
        <v>0</v>
      </c>
      <c r="H13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3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34" s="2">
        <f t="shared" si="18"/>
        <v>0</v>
      </c>
      <c r="K134" s="2">
        <f>SUMIF(SAP!B:B,재고차이!B:B,SAP!Q:Q)</f>
        <v>0</v>
      </c>
      <c r="L134" s="2">
        <f>SUMIF(주간상차!A:A,재고차이!A:A,주간상차!E:E)</f>
        <v>0</v>
      </c>
      <c r="M134" s="37">
        <f t="shared" si="19"/>
        <v>0</v>
      </c>
      <c r="N134" s="41"/>
      <c r="O134" s="42"/>
      <c r="P134" s="125"/>
      <c r="Q134" s="8">
        <f>SUMIF(파손품!D:D,재고차이!B:B,파손품!I:I)+SUMIF(동파파손!D:D,재고차이!B:B,동파파손!I:I)</f>
        <v>0</v>
      </c>
      <c r="R134">
        <f t="shared" si="17"/>
        <v>0</v>
      </c>
    </row>
    <row r="135" spans="1:18" ht="18.75" hidden="1" customHeight="1" x14ac:dyDescent="0.3">
      <c r="A135" s="9">
        <v>7947</v>
      </c>
      <c r="B135" s="9" t="str">
        <f>VLOOKUP(A:A,제품등록!A:B,2,0)</f>
        <v>MM7947</v>
      </c>
      <c r="C135" s="31" t="str">
        <f>VLOOKUP(B135,제품등록!B:C,2,0)</f>
        <v>미닛 오+청 180NRB 3X12</v>
      </c>
      <c r="D135" s="9"/>
      <c r="E135" s="9">
        <v>72</v>
      </c>
      <c r="F135" s="2">
        <f>SUMIF('창고1(실사표)'!B:B,재고차이!A:A,'창고1(실사표)'!F:F)*D135+SUMIF('창고2(실사표)'!B:B,재고차이!A:A,'창고2(실사표)'!F:F)*D135+SUMIF('믹스(잔량실사표)'!B:B,재고차이!A:A,'믹스(잔량실사표)'!F:F)*D135</f>
        <v>0</v>
      </c>
      <c r="G135" s="2">
        <f>SUMIF('창고1(실사표)'!B:B,재고차이!A:A,'창고1(실사표)'!E:E)*E135+SUMIF('창고2(실사표)'!B:B,재고차이!A:A,'창고2(실사표)'!E:E)*E135+SUMIF('믹스(잔량실사표)'!B:B,재고차이!A:A,'믹스(잔량실사표)'!E:E)*E135</f>
        <v>0</v>
      </c>
      <c r="H13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3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35" s="2">
        <f t="shared" si="18"/>
        <v>0</v>
      </c>
      <c r="K135" s="2">
        <f>SUMIF(SAP!B:B,재고차이!B:B,SAP!Q:Q)</f>
        <v>0</v>
      </c>
      <c r="L135" s="2">
        <f>SUMIF(주간상차!A:A,재고차이!A:A,주간상차!E:E)</f>
        <v>0</v>
      </c>
      <c r="M135" s="37">
        <f t="shared" si="19"/>
        <v>0</v>
      </c>
      <c r="N135" s="41"/>
      <c r="O135" s="42"/>
      <c r="P135" s="125"/>
      <c r="Q135" s="8">
        <f>SUMIF(파손품!D:D,재고차이!B:B,파손품!I:I)+SUMIF(동파파손!D:D,재고차이!B:B,동파파손!I:I)</f>
        <v>0</v>
      </c>
      <c r="R135">
        <f t="shared" si="17"/>
        <v>0</v>
      </c>
    </row>
    <row r="136" spans="1:18" ht="18.75" hidden="1" customHeight="1" x14ac:dyDescent="0.3">
      <c r="A136" s="9">
        <v>4230</v>
      </c>
      <c r="B136" s="9" t="str">
        <f>VLOOKUP(A:A,제품등록!A:B,2,0)</f>
        <v>SG4230</v>
      </c>
      <c r="C136" s="31" t="str">
        <f>VLOOKUP(B136,제품등록!B:C,2,0)</f>
        <v>씨그램 미네랄워터 500PET X20</v>
      </c>
      <c r="D136" s="9">
        <v>72</v>
      </c>
      <c r="E136" s="9">
        <v>96</v>
      </c>
      <c r="F136" s="2">
        <f>SUMIF('창고1(실사표)'!B:B,재고차이!A:A,'창고1(실사표)'!F:F)*D136+SUMIF('창고2(실사표)'!B:B,재고차이!A:A,'창고2(실사표)'!F:F)*D136+SUMIF('믹스(잔량실사표)'!B:B,재고차이!A:A,'믹스(잔량실사표)'!F:F)*D136</f>
        <v>0</v>
      </c>
      <c r="G136" s="2">
        <f>SUMIF('창고1(실사표)'!B:B,재고차이!A:A,'창고1(실사표)'!E:E)*E136+SUMIF('창고2(실사표)'!B:B,재고차이!A:A,'창고2(실사표)'!E:E)*E136+SUMIF('믹스(잔량실사표)'!B:B,재고차이!A:A,'믹스(잔량실사표)'!E:E)*E136</f>
        <v>0</v>
      </c>
      <c r="H13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3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36" s="2">
        <f t="shared" si="18"/>
        <v>0</v>
      </c>
      <c r="K136" s="2">
        <f>SUMIF(SAP!B:B,재고차이!B:B,SAP!Q:Q)</f>
        <v>0</v>
      </c>
      <c r="L136" s="2">
        <f>SUMIF(주간상차!A:A,재고차이!A:A,주간상차!E:E)</f>
        <v>0</v>
      </c>
      <c r="M136" s="37">
        <f t="shared" si="19"/>
        <v>0</v>
      </c>
      <c r="N136" s="41"/>
      <c r="O136" s="42"/>
      <c r="P136" s="125"/>
      <c r="Q136" s="8">
        <f>SUMIF(파손품!D:D,재고차이!B:B,파손품!I:I)+SUMIF(동파파손!D:D,재고차이!B:B,동파파손!I:I)</f>
        <v>0</v>
      </c>
      <c r="R136">
        <f t="shared" si="17"/>
        <v>0</v>
      </c>
    </row>
    <row r="137" spans="1:18" ht="18.75" hidden="1" customHeight="1" x14ac:dyDescent="0.3">
      <c r="A137" s="9">
        <v>4441</v>
      </c>
      <c r="B137" s="9" t="str">
        <f>VLOOKUP(A:A,제품등록!A:B,2,0)</f>
        <v>SG4441</v>
      </c>
      <c r="C137" s="31" t="str">
        <f>VLOOKUP(B137,제품등록!B:C,2,0)</f>
        <v>S)씨그램 애플 350PET 4X6</v>
      </c>
      <c r="D137" s="9"/>
      <c r="E137" s="9">
        <v>72</v>
      </c>
      <c r="F137" s="2">
        <f>SUMIF('창고1(실사표)'!B:B,재고차이!A:A,'창고1(실사표)'!F:F)*D137+SUMIF('창고2(실사표)'!B:B,재고차이!A:A,'창고2(실사표)'!F:F)*D137+SUMIF('믹스(잔량실사표)'!B:B,재고차이!A:A,'믹스(잔량실사표)'!F:F)*D137</f>
        <v>0</v>
      </c>
      <c r="G137" s="2">
        <f>SUMIF('창고1(실사표)'!B:B,재고차이!A:A,'창고1(실사표)'!E:E)*E137+SUMIF('창고2(실사표)'!B:B,재고차이!A:A,'창고2(실사표)'!E:E)*E137+SUMIF('믹스(잔량실사표)'!B:B,재고차이!A:A,'믹스(잔량실사표)'!E:E)*E137</f>
        <v>0</v>
      </c>
      <c r="H13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3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37" s="2">
        <f t="shared" si="18"/>
        <v>0</v>
      </c>
      <c r="K137" s="2">
        <f>SUMIF(SAP!B:B,재고차이!B:B,SAP!Q:Q)</f>
        <v>0</v>
      </c>
      <c r="L137" s="2">
        <f>SUMIF(주간상차!A:A,재고차이!A:A,주간상차!E:E)</f>
        <v>0</v>
      </c>
      <c r="M137" s="37">
        <f t="shared" si="19"/>
        <v>0</v>
      </c>
      <c r="N137" s="41"/>
      <c r="O137" s="42"/>
      <c r="P137" s="125"/>
      <c r="Q137" s="8">
        <f>SUMIF(파손품!D:D,재고차이!B:B,파손품!I:I)+SUMIF(동파파손!D:D,재고차이!B:B,동파파손!I:I)</f>
        <v>0</v>
      </c>
      <c r="R137">
        <f t="shared" si="17"/>
        <v>0</v>
      </c>
    </row>
    <row r="138" spans="1:18" ht="18.75" hidden="1" customHeight="1" x14ac:dyDescent="0.3">
      <c r="A138" s="9">
        <v>6111</v>
      </c>
      <c r="B138" s="9" t="str">
        <f>VLOOKUP(A:A,제품등록!A:B,2,0)</f>
        <v>SP6111</v>
      </c>
      <c r="C138" s="31" t="str">
        <f>VLOOKUP(B138,제품등록!B:C,2,0)</f>
        <v>스프라이트(신250C 5X6</v>
      </c>
      <c r="D138" s="9">
        <v>99</v>
      </c>
      <c r="E138" s="9">
        <v>132</v>
      </c>
      <c r="F138" s="2">
        <f>SUMIF('창고1(실사표)'!B:B,재고차이!A:A,'창고1(실사표)'!F:F)*D138+SUMIF('창고2(실사표)'!B:B,재고차이!A:A,'창고2(실사표)'!F:F)*D138+SUMIF('믹스(잔량실사표)'!B:B,재고차이!A:A,'믹스(잔량실사표)'!F:F)*D138</f>
        <v>0</v>
      </c>
      <c r="G138" s="2">
        <f>SUMIF('창고1(실사표)'!B:B,재고차이!A:A,'창고1(실사표)'!E:E)*E138+SUMIF('창고2(실사표)'!B:B,재고차이!A:A,'창고2(실사표)'!E:E)*E138+SUMIF('믹스(잔량실사표)'!B:B,재고차이!A:A,'믹스(잔량실사표)'!E:E)*E138</f>
        <v>0</v>
      </c>
      <c r="H13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3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38" s="2">
        <f t="shared" ref="J138:J169" si="21">SUM(F138:I138)</f>
        <v>0</v>
      </c>
      <c r="K138" s="2">
        <f>SUMIF(SAP!B:B,재고차이!B:B,SAP!Q:Q)</f>
        <v>0</v>
      </c>
      <c r="L138" s="2">
        <f>SUMIF(주간상차!A:A,재고차이!A:A,주간상차!E:E)</f>
        <v>0</v>
      </c>
      <c r="M138" s="37">
        <f t="shared" ref="M138:M169" si="22">J138-K138-L138-N138+O138+Q138</f>
        <v>0</v>
      </c>
      <c r="N138" s="41"/>
      <c r="O138" s="42"/>
      <c r="P138" s="125"/>
      <c r="Q138" s="8">
        <f>SUMIF(파손품!D:D,재고차이!B:B,파손품!I:I)+SUMIF(동파파손!D:D,재고차이!B:B,동파파손!I:I)</f>
        <v>0</v>
      </c>
      <c r="R138">
        <f t="shared" si="17"/>
        <v>0</v>
      </c>
    </row>
    <row r="139" spans="1:18" ht="18.75" hidden="1" customHeight="1" x14ac:dyDescent="0.3">
      <c r="A139" s="9">
        <v>6114</v>
      </c>
      <c r="B139" s="9" t="str">
        <f>VLOOKUP(A:A,제품등록!A:B,2,0)</f>
        <v>SP6114</v>
      </c>
      <c r="C139" s="31" t="str">
        <f>VLOOKUP(B139,제품등록!B:C,2,0)</f>
        <v>스프라이트(신355C 4X6</v>
      </c>
      <c r="D139" s="9">
        <v>88</v>
      </c>
      <c r="E139" s="9">
        <v>100</v>
      </c>
      <c r="F139" s="2">
        <f>SUMIF('창고1(실사표)'!B:B,재고차이!A:A,'창고1(실사표)'!F:F)*D139+SUMIF('창고2(실사표)'!B:B,재고차이!A:A,'창고2(실사표)'!F:F)*D139+SUMIF('믹스(잔량실사표)'!B:B,재고차이!A:A,'믹스(잔량실사표)'!F:F)*D139</f>
        <v>0</v>
      </c>
      <c r="G139" s="2">
        <f>SUMIF('창고1(실사표)'!B:B,재고차이!A:A,'창고1(실사표)'!E:E)*E139+SUMIF('창고2(실사표)'!B:B,재고차이!A:A,'창고2(실사표)'!E:E)*E139+SUMIF('믹스(잔량실사표)'!B:B,재고차이!A:A,'믹스(잔량실사표)'!E:E)*E139</f>
        <v>0</v>
      </c>
      <c r="H139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3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39" s="2">
        <f t="shared" si="21"/>
        <v>0</v>
      </c>
      <c r="K139" s="2">
        <f>SUMIF(SAP!B:B,재고차이!B:B,SAP!Q:Q)</f>
        <v>0</v>
      </c>
      <c r="L139" s="2">
        <f>SUMIF(주간상차!A:A,재고차이!A:A,주간상차!E:E)</f>
        <v>0</v>
      </c>
      <c r="M139" s="37">
        <f t="shared" si="22"/>
        <v>0</v>
      </c>
      <c r="N139" s="41"/>
      <c r="O139" s="42"/>
      <c r="P139" s="125"/>
      <c r="Q139" s="8">
        <f>SUMIF(파손품!D:D,재고차이!B:B,파손품!I:I)+SUMIF(동파파손!D:D,재고차이!B:B,동파파손!I:I)</f>
        <v>0</v>
      </c>
      <c r="R139">
        <f>M139/E139</f>
        <v>0</v>
      </c>
    </row>
    <row r="140" spans="1:18" ht="20.25" customHeight="1" x14ac:dyDescent="0.3">
      <c r="A140" s="9">
        <v>7949</v>
      </c>
      <c r="B140" s="9" t="str">
        <f>VLOOKUP(A:A,제품등록!A:B,2,0)</f>
        <v>MM7949</v>
      </c>
      <c r="C140" s="31" t="str">
        <f>VLOOKUP(B140,제품등록!B:C,2,0)</f>
        <v>미닛 오+포+알 180NRB 3X12</v>
      </c>
      <c r="D140" s="9"/>
      <c r="E140" s="9">
        <v>72</v>
      </c>
      <c r="F140" s="2">
        <f>SUMIF('창고1(실사표)'!B:B,재고차이!A:A,'창고1(실사표)'!F:F)*D140+SUMIF('창고2(실사표)'!B:B,재고차이!A:A,'창고2(실사표)'!F:F)*D140+SUMIF('믹스(잔량실사표)'!B:B,재고차이!A:A,'믹스(잔량실사표)'!F:F)*D140</f>
        <v>0</v>
      </c>
      <c r="G140" s="2">
        <f>SUMIF('창고1(실사표)'!B:B,재고차이!A:A,'창고1(실사표)'!E:E)*E140+SUMIF('창고2(실사표)'!B:B,재고차이!A:A,'창고2(실사표)'!E:E)*E140+SUMIF('믹스(잔량실사표)'!B:B,재고차이!A:A,'믹스(잔량실사표)'!E:E)*E140</f>
        <v>0</v>
      </c>
      <c r="H140" s="2">
        <f>SUMIF('창고1(실사표)'!B:B,재고차이!A:A,'창고1(실사표)'!G:G)+SUMIF('창고2(실사표)'!B:B,재고차이!A:A,'창고2(실사표)'!G:G)++SUMIF('믹스(잔량실사표)'!B:B,재고차이!A:A,'믹스(잔량실사표)'!G:G)</f>
        <v>29</v>
      </c>
      <c r="I14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40" s="2">
        <f t="shared" si="21"/>
        <v>29</v>
      </c>
      <c r="K140" s="2">
        <f>SUMIF(SAP!B:B,재고차이!B:B,SAP!Q:Q)</f>
        <v>38</v>
      </c>
      <c r="L140" s="2">
        <f>SUMIF(주간상차!A:A,재고차이!A:A,주간상차!E:E)</f>
        <v>0</v>
      </c>
      <c r="M140" s="37">
        <f t="shared" si="22"/>
        <v>0</v>
      </c>
      <c r="N140" s="41"/>
      <c r="O140" s="89">
        <v>9</v>
      </c>
      <c r="P140" s="232" t="s">
        <v>2831</v>
      </c>
      <c r="Q140" s="8">
        <f>SUMIF(파손품!D:D,재고차이!B:B,파손품!I:I)+SUMIF(동파파손!D:D,재고차이!B:B,동파파손!I:I)</f>
        <v>0</v>
      </c>
      <c r="R140">
        <f t="shared" si="17"/>
        <v>0</v>
      </c>
    </row>
    <row r="141" spans="1:18" ht="18.75" hidden="1" customHeight="1" x14ac:dyDescent="0.3">
      <c r="A141" s="9">
        <v>6108</v>
      </c>
      <c r="B141" s="9" t="str">
        <f>VLOOKUP(A:A,제품등록!A:B,2,0)</f>
        <v>SP6108</v>
      </c>
      <c r="C141" s="31" t="str">
        <f>VLOOKUP(B141,제품등록!B:C,2,0)</f>
        <v>스프라이트 제로 355CAN 4X6</v>
      </c>
      <c r="D141" s="9">
        <v>88</v>
      </c>
      <c r="E141" s="9">
        <v>100</v>
      </c>
      <c r="F141" s="2">
        <f>SUMIF('창고1(실사표)'!B:B,재고차이!A:A,'창고1(실사표)'!F:F)*D141+SUMIF('창고2(실사표)'!B:B,재고차이!A:A,'창고2(실사표)'!F:F)*D141+SUMIF('믹스(잔량실사표)'!B:B,재고차이!A:A,'믹스(잔량실사표)'!F:F)*D141</f>
        <v>0</v>
      </c>
      <c r="G141" s="2">
        <f>SUMIF('창고1(실사표)'!B:B,재고차이!A:A,'창고1(실사표)'!E:E)*E141+SUMIF('창고2(실사표)'!B:B,재고차이!A:A,'창고2(실사표)'!E:E)*E141+SUMIF('믹스(잔량실사표)'!B:B,재고차이!A:A,'믹스(잔량실사표)'!E:E)*E141</f>
        <v>0</v>
      </c>
      <c r="H141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4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41" s="2">
        <f t="shared" si="21"/>
        <v>0</v>
      </c>
      <c r="K141" s="2">
        <f>SUMIF(SAP!B:B,재고차이!B:B,SAP!Q:Q)</f>
        <v>0</v>
      </c>
      <c r="L141" s="2">
        <f>SUMIF(주간상차!A:A,재고차이!A:A,주간상차!E:E)</f>
        <v>0</v>
      </c>
      <c r="M141" s="37">
        <f t="shared" si="22"/>
        <v>0</v>
      </c>
      <c r="N141" s="41"/>
      <c r="O141" s="42"/>
      <c r="P141" s="125"/>
      <c r="Q141" s="8">
        <f>SUMIF(파손품!D:D,재고차이!B:B,파손품!I:I)+SUMIF(동파파손!D:D,재고차이!B:B,동파파손!I:I)</f>
        <v>0</v>
      </c>
      <c r="R141">
        <f>M141/E141</f>
        <v>0</v>
      </c>
    </row>
    <row r="142" spans="1:18" ht="18.75" hidden="1" customHeight="1" x14ac:dyDescent="0.3">
      <c r="A142" s="9" t="s">
        <v>2597</v>
      </c>
      <c r="B142" s="9" t="str">
        <f>VLOOKUP(A:A,제품등록!A:B,2,0)</f>
        <v>SP4181</v>
      </c>
      <c r="C142" s="31" t="str">
        <f>VLOOKUP(B142,제품등록!B:C,2,0)</f>
        <v>스프라이트 제로 350CAN 4X6</v>
      </c>
      <c r="D142" s="9">
        <v>88</v>
      </c>
      <c r="E142" s="9">
        <v>100</v>
      </c>
      <c r="F142" s="2">
        <f>SUMIF('창고1(실사표)'!B:B,재고차이!A:A,'창고1(실사표)'!F:F)*D142+SUMIF('창고2(실사표)'!B:B,재고차이!A:A,'창고2(실사표)'!F:F)*D142+SUMIF('믹스(잔량실사표)'!B:B,재고차이!A:A,'믹스(잔량실사표)'!F:F)*D142</f>
        <v>0</v>
      </c>
      <c r="G142" s="2">
        <f>SUMIF('창고1(실사표)'!B:B,재고차이!A:A,'창고1(실사표)'!E:E)*E142+SUMIF('창고2(실사표)'!B:B,재고차이!A:A,'창고2(실사표)'!E:E)*E142+SUMIF('믹스(잔량실사표)'!B:B,재고차이!A:A,'믹스(잔량실사표)'!E:E)*E142</f>
        <v>0</v>
      </c>
      <c r="H142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4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42" s="2">
        <f t="shared" si="21"/>
        <v>0</v>
      </c>
      <c r="K142" s="2">
        <f>SUMIF(SAP!B:B,재고차이!B:B,SAP!Q:Q)</f>
        <v>0</v>
      </c>
      <c r="L142" s="2">
        <f>SUMIF(주간상차!A:A,재고차이!A:A,주간상차!E:E)</f>
        <v>0</v>
      </c>
      <c r="M142" s="37">
        <f t="shared" si="22"/>
        <v>0</v>
      </c>
      <c r="N142" s="41"/>
      <c r="O142" s="42"/>
      <c r="P142" s="125"/>
      <c r="Q142" s="8">
        <f>SUMIF(파손품!D:D,재고차이!B:B,파손품!I:I)+SUMIF(동파파손!D:D,재고차이!B:B,동파파손!I:I)</f>
        <v>0</v>
      </c>
      <c r="R142">
        <f t="shared" ref="R142" si="23">M142/E142</f>
        <v>0</v>
      </c>
    </row>
    <row r="143" spans="1:18" ht="22.5" customHeight="1" x14ac:dyDescent="0.3">
      <c r="A143" s="9">
        <v>5628</v>
      </c>
      <c r="B143" s="9" t="str">
        <f>VLOOKUP(A:A,제품등록!A:B,2,0)</f>
        <v>MO5628</v>
      </c>
      <c r="C143" s="31" t="str">
        <f>VLOOKUP(B143,제품등록!B:C,2,0)</f>
        <v>몬스터 에너지 제로슈거 355CAN 4X6</v>
      </c>
      <c r="D143" s="9"/>
      <c r="E143" s="9">
        <v>108</v>
      </c>
      <c r="F143" s="2">
        <f>SUMIF('창고1(실사표)'!B:B,재고차이!A:A,'창고1(실사표)'!F:F)*D143+SUMIF('창고2(실사표)'!B:B,재고차이!A:A,'창고2(실사표)'!F:F)*D143+SUMIF('믹스(잔량실사표)'!B:B,재고차이!A:A,'믹스(잔량실사표)'!F:F)*D143</f>
        <v>0</v>
      </c>
      <c r="G143" s="2">
        <f>SUMIF('창고1(실사표)'!B:B,재고차이!A:A,'창고1(실사표)'!E:E)*E143+SUMIF('창고2(실사표)'!B:B,재고차이!A:A,'창고2(실사표)'!E:E)*E143+SUMIF('믹스(잔량실사표)'!B:B,재고차이!A:A,'믹스(잔량실사표)'!E:E)*E143</f>
        <v>108</v>
      </c>
      <c r="H143" s="2">
        <f>SUMIF('창고1(실사표)'!B:B,재고차이!A:A,'창고1(실사표)'!G:G)+SUMIF('창고2(실사표)'!B:B,재고차이!A:A,'창고2(실사표)'!G:G)++SUMIF('믹스(잔량실사표)'!B:B,재고차이!A:A,'믹스(잔량실사표)'!G:G)</f>
        <v>89</v>
      </c>
      <c r="I14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43" s="2">
        <f t="shared" si="21"/>
        <v>197</v>
      </c>
      <c r="K143" s="2">
        <f>SUMIF(SAP!B:B,재고차이!B:B,SAP!Q:Q)</f>
        <v>197</v>
      </c>
      <c r="L143" s="2">
        <f>SUMIF(주간상차!A:A,재고차이!A:A,주간상차!E:E)</f>
        <v>0</v>
      </c>
      <c r="M143" s="37">
        <f t="shared" si="22"/>
        <v>0</v>
      </c>
      <c r="N143" s="41"/>
      <c r="O143" s="42"/>
      <c r="P143" s="125"/>
      <c r="Q143" s="8">
        <f>SUMIF(파손품!D:D,재고차이!B:B,파손품!I:I)+SUMIF(동파파손!D:D,재고차이!B:B,동파파손!I:I)</f>
        <v>0</v>
      </c>
      <c r="R143">
        <f t="shared" si="17"/>
        <v>0</v>
      </c>
    </row>
    <row r="144" spans="1:18" ht="18.75" hidden="1" customHeight="1" x14ac:dyDescent="0.3">
      <c r="A144" s="9">
        <v>7991</v>
      </c>
      <c r="B144" s="9" t="str">
        <f>VLOOKUP(A:A,제품등록!A:B,2,0)</f>
        <v>DP7991</v>
      </c>
      <c r="C144" s="31" t="str">
        <f>VLOOKUP(B144,제품등록!B:C,2,0)</f>
        <v>닥터페퍼 제로 355CAN 4X6</v>
      </c>
      <c r="D144" s="9">
        <v>88</v>
      </c>
      <c r="E144" s="9">
        <v>100</v>
      </c>
      <c r="F144" s="2">
        <f>SUMIF('창고1(실사표)'!B:B,재고차이!A:A,'창고1(실사표)'!F:F)*D144+SUMIF('창고2(실사표)'!B:B,재고차이!A:A,'창고2(실사표)'!F:F)*D144+SUMIF('믹스(잔량실사표)'!B:B,재고차이!A:A,'믹스(잔량실사표)'!F:F)*D144</f>
        <v>0</v>
      </c>
      <c r="G144" s="2">
        <f>SUMIF('창고1(실사표)'!B:B,재고차이!A:A,'창고1(실사표)'!E:E)*E144+SUMIF('창고2(실사표)'!B:B,재고차이!A:A,'창고2(실사표)'!E:E)*E144+SUMIF('믹스(잔량실사표)'!B:B,재고차이!A:A,'믹스(잔량실사표)'!E:E)*E144</f>
        <v>0</v>
      </c>
      <c r="H14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4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44" s="2">
        <f t="shared" si="21"/>
        <v>0</v>
      </c>
      <c r="K144" s="2">
        <f>SUMIF(SAP!B:B,재고차이!B:B,SAP!Q:Q)</f>
        <v>0</v>
      </c>
      <c r="L144" s="2">
        <f>SUMIF(주간상차!A:A,재고차이!A:A,주간상차!E:E)</f>
        <v>0</v>
      </c>
      <c r="M144" s="37">
        <f t="shared" si="22"/>
        <v>0</v>
      </c>
      <c r="N144" s="41"/>
      <c r="O144" s="42"/>
      <c r="P144" s="125"/>
      <c r="Q144" s="8">
        <f>SUMIF(파손품!D:D,재고차이!B:B,파손품!I:I)+SUMIF(동파파손!D:D,재고차이!B:B,동파파손!I:I)</f>
        <v>0</v>
      </c>
      <c r="R144">
        <f>M144/E144</f>
        <v>0</v>
      </c>
    </row>
    <row r="145" spans="1:18" ht="20.25" customHeight="1" x14ac:dyDescent="0.3">
      <c r="A145" s="9">
        <v>5636</v>
      </c>
      <c r="B145" s="9" t="str">
        <f>VLOOKUP(A:A,제품등록!A:B,2,0)</f>
        <v>MO5636</v>
      </c>
      <c r="C145" s="31" t="str">
        <f>VLOOKUP(B145,제품등록!B:C,2,0)</f>
        <v>몬스터 에너지 펀치 355CAN 4X6</v>
      </c>
      <c r="D145" s="9"/>
      <c r="E145" s="9">
        <v>108</v>
      </c>
      <c r="F145" s="2">
        <f>SUMIF('창고1(실사표)'!B:B,재고차이!A:A,'창고1(실사표)'!F:F)*D145+SUMIF('창고2(실사표)'!B:B,재고차이!A:A,'창고2(실사표)'!F:F)*D145+SUMIF('믹스(잔량실사표)'!B:B,재고차이!A:A,'믹스(잔량실사표)'!F:F)*D145</f>
        <v>0</v>
      </c>
      <c r="G145" s="2">
        <f>SUMIF('창고1(실사표)'!B:B,재고차이!A:A,'창고1(실사표)'!E:E)*E145+SUMIF('창고2(실사표)'!B:B,재고차이!A:A,'창고2(실사표)'!E:E)*E145+SUMIF('믹스(잔량실사표)'!B:B,재고차이!A:A,'믹스(잔량실사표)'!E:E)*E145</f>
        <v>1512</v>
      </c>
      <c r="H145" s="2">
        <f>SUMIF('창고1(실사표)'!B:B,재고차이!A:A,'창고1(실사표)'!G:G)+SUMIF('창고2(실사표)'!B:B,재고차이!A:A,'창고2(실사표)'!G:G)++SUMIF('믹스(잔량실사표)'!B:B,재고차이!A:A,'믹스(잔량실사표)'!G:G)</f>
        <v>14</v>
      </c>
      <c r="I14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45" s="2">
        <f t="shared" si="21"/>
        <v>1526</v>
      </c>
      <c r="K145" s="2">
        <f>SUMIF(SAP!B:B,재고차이!B:B,SAP!Q:Q)</f>
        <v>1310</v>
      </c>
      <c r="L145" s="2">
        <f>SUMIF(주간상차!A:A,재고차이!A:A,주간상차!E:E)</f>
        <v>216</v>
      </c>
      <c r="M145" s="37">
        <f t="shared" si="22"/>
        <v>0</v>
      </c>
      <c r="N145" s="41"/>
      <c r="O145" s="42"/>
      <c r="P145" s="125"/>
      <c r="Q145" s="8">
        <f>SUMIF(파손품!D:D,재고차이!B:B,파손품!I:I)+SUMIF(동파파손!D:D,재고차이!B:B,동파파손!I:I)</f>
        <v>0</v>
      </c>
      <c r="R145">
        <f t="shared" ref="R145" si="24">M145/E145</f>
        <v>0</v>
      </c>
    </row>
    <row r="146" spans="1:18" ht="20.25" customHeight="1" x14ac:dyDescent="0.3">
      <c r="A146" s="9">
        <v>5639</v>
      </c>
      <c r="B146" s="9" t="str">
        <f>VLOOKUP(A:A,제품등록!A:B,2,0)</f>
        <v>MO5639</v>
      </c>
      <c r="C146" s="31" t="str">
        <f>VLOOKUP(B146,제품등록!B:C,2,0)</f>
        <v>몬스터 에너지 시트라 355CAN 4X6</v>
      </c>
      <c r="D146" s="9"/>
      <c r="E146" s="9">
        <v>108</v>
      </c>
      <c r="F146" s="2">
        <f>SUMIF('창고1(실사표)'!B:B,재고차이!A:A,'창고1(실사표)'!F:F)*D146+SUMIF('창고2(실사표)'!B:B,재고차이!A:A,'창고2(실사표)'!F:F)*D146+SUMIF('믹스(잔량실사표)'!B:B,재고차이!A:A,'믹스(잔량실사표)'!F:F)*D146</f>
        <v>0</v>
      </c>
      <c r="G146" s="2">
        <f>SUMIF('창고1(실사표)'!B:B,재고차이!A:A,'창고1(실사표)'!E:E)*E146+SUMIF('창고2(실사표)'!B:B,재고차이!A:A,'창고2(실사표)'!E:E)*E146+SUMIF('믹스(잔량실사표)'!B:B,재고차이!A:A,'믹스(잔량실사표)'!E:E)*E146</f>
        <v>1836</v>
      </c>
      <c r="H146" s="2">
        <f>SUMIF('창고1(실사표)'!B:B,재고차이!A:A,'창고1(실사표)'!G:G)+SUMIF('창고2(실사표)'!B:B,재고차이!A:A,'창고2(실사표)'!G:G)++SUMIF('믹스(잔량실사표)'!B:B,재고차이!A:A,'믹스(잔량실사표)'!G:G)</f>
        <v>6</v>
      </c>
      <c r="I14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46" s="2">
        <f t="shared" si="21"/>
        <v>1842</v>
      </c>
      <c r="K146" s="2">
        <f>SUMIF(SAP!B:B,재고차이!B:B,SAP!Q:Q)</f>
        <v>1842</v>
      </c>
      <c r="L146" s="2">
        <f>SUMIF(주간상차!A:A,재고차이!A:A,주간상차!E:E)</f>
        <v>0</v>
      </c>
      <c r="M146" s="37">
        <f t="shared" si="22"/>
        <v>0</v>
      </c>
      <c r="N146" s="41"/>
      <c r="O146" s="42"/>
      <c r="P146" s="125"/>
      <c r="Q146" s="8">
        <f>SUMIF(파손품!D:D,재고차이!B:B,파손품!I:I)+SUMIF(동파파손!D:D,재고차이!B:B,동파파손!I:I)</f>
        <v>0</v>
      </c>
      <c r="R146">
        <f t="shared" si="17"/>
        <v>0</v>
      </c>
    </row>
    <row r="147" spans="1:18" ht="18.75" customHeight="1" x14ac:dyDescent="0.3">
      <c r="A147" s="9">
        <v>5641</v>
      </c>
      <c r="B147" s="9" t="str">
        <f>VLOOKUP(A:A,제품등록!A:B,2,0)</f>
        <v>MO5641</v>
      </c>
      <c r="C147" s="31" t="str">
        <f>VLOOKUP(B147,제품등록!B:C,2,0)</f>
        <v>몬스터에너지그린355C 4X6</v>
      </c>
      <c r="D147" s="9"/>
      <c r="E147" s="9">
        <v>108</v>
      </c>
      <c r="F147" s="2">
        <f>SUMIF('창고1(실사표)'!B:B,재고차이!A:A,'창고1(실사표)'!F:F)*D147+SUMIF('창고2(실사표)'!B:B,재고차이!A:A,'창고2(실사표)'!F:F)*D147+SUMIF('믹스(잔량실사표)'!B:B,재고차이!A:A,'믹스(잔량실사표)'!F:F)*D147</f>
        <v>0</v>
      </c>
      <c r="G147" s="2">
        <f>SUMIF('창고1(실사표)'!B:B,재고차이!A:A,'창고1(실사표)'!E:E)*E147+SUMIF('창고2(실사표)'!B:B,재고차이!A:A,'창고2(실사표)'!E:E)*E147+SUMIF('믹스(잔량실사표)'!B:B,재고차이!A:A,'믹스(잔량실사표)'!E:E)*E147</f>
        <v>1188</v>
      </c>
      <c r="H147" s="2">
        <f>SUMIF('창고1(실사표)'!B:B,재고차이!A:A,'창고1(실사표)'!G:G)+SUMIF('창고2(실사표)'!B:B,재고차이!A:A,'창고2(실사표)'!G:G)++SUMIF('믹스(잔량실사표)'!B:B,재고차이!A:A,'믹스(잔량실사표)'!G:G)</f>
        <v>9</v>
      </c>
      <c r="I14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47" s="2">
        <f t="shared" si="21"/>
        <v>1197</v>
      </c>
      <c r="K147" s="2">
        <f>SUMIF(SAP!B:B,재고차이!B:B,SAP!Q:Q)</f>
        <v>873</v>
      </c>
      <c r="L147" s="2">
        <f>SUMIF(주간상차!A:A,재고차이!A:A,주간상차!E:E)</f>
        <v>324</v>
      </c>
      <c r="M147" s="37">
        <f t="shared" si="22"/>
        <v>0</v>
      </c>
      <c r="N147" s="41"/>
      <c r="O147" s="42"/>
      <c r="P147" s="125"/>
      <c r="Q147" s="8">
        <f>SUMIF(파손품!D:D,재고차이!B:B,파손품!I:I)+SUMIF(동파파손!D:D,재고차이!B:B,동파파손!I:I)</f>
        <v>0</v>
      </c>
      <c r="R147">
        <f t="shared" si="17"/>
        <v>0</v>
      </c>
    </row>
    <row r="148" spans="1:18" ht="18.75" customHeight="1" x14ac:dyDescent="0.3">
      <c r="A148" s="9">
        <v>5643</v>
      </c>
      <c r="B148" s="9" t="str">
        <f>VLOOKUP(A:A,제품등록!A:B,2,0)</f>
        <v>MO5643</v>
      </c>
      <c r="C148" s="31" t="str">
        <f>VLOOKUP(B148,제품등록!B:C,2,0)</f>
        <v>몬스터 에너지 울트라 355CAN 4X6</v>
      </c>
      <c r="D148" s="9"/>
      <c r="E148" s="9">
        <v>108</v>
      </c>
      <c r="F148" s="2">
        <f>SUMIF('창고1(실사표)'!B:B,재고차이!A:A,'창고1(실사표)'!F:F)*D148+SUMIF('창고2(실사표)'!B:B,재고차이!A:A,'창고2(실사표)'!F:F)*D148+SUMIF('믹스(잔량실사표)'!B:B,재고차이!A:A,'믹스(잔량실사표)'!F:F)*D148</f>
        <v>0</v>
      </c>
      <c r="G148" s="2">
        <f>SUMIF('창고1(실사표)'!B:B,재고차이!A:A,'창고1(실사표)'!E:E)*E148+SUMIF('창고2(실사표)'!B:B,재고차이!A:A,'창고2(실사표)'!E:E)*E148+SUMIF('믹스(잔량실사표)'!B:B,재고차이!A:A,'믹스(잔량실사표)'!E:E)*E148</f>
        <v>1836</v>
      </c>
      <c r="H148" s="2">
        <f>SUMIF('창고1(실사표)'!B:B,재고차이!A:A,'창고1(실사표)'!G:G)+SUMIF('창고2(실사표)'!B:B,재고차이!A:A,'창고2(실사표)'!G:G)++SUMIF('믹스(잔량실사표)'!B:B,재고차이!A:A,'믹스(잔량실사표)'!G:G)</f>
        <v>93</v>
      </c>
      <c r="I14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48" s="2">
        <f t="shared" si="21"/>
        <v>1929</v>
      </c>
      <c r="K148" s="2">
        <f>SUMIF(SAP!B:B,재고차이!B:B,SAP!Q:Q)</f>
        <v>1065</v>
      </c>
      <c r="L148" s="2">
        <f>SUMIF(주간상차!A:A,재고차이!A:A,주간상차!E:E)</f>
        <v>864</v>
      </c>
      <c r="M148" s="37">
        <f t="shared" si="22"/>
        <v>0</v>
      </c>
      <c r="N148" s="41"/>
      <c r="O148" s="42"/>
      <c r="P148" s="125"/>
      <c r="Q148" s="8">
        <f>SUMIF(파손품!D:D,재고차이!B:B,파손품!I:I)+SUMIF(동파파손!D:D,재고차이!B:B,동파파손!I:I)</f>
        <v>0</v>
      </c>
      <c r="R148">
        <f t="shared" si="17"/>
        <v>0</v>
      </c>
    </row>
    <row r="149" spans="1:18" ht="18.75" customHeight="1" x14ac:dyDescent="0.3">
      <c r="A149" s="9">
        <v>5656</v>
      </c>
      <c r="B149" s="9" t="str">
        <f>VLOOKUP(A:A,제품등록!A:B,2,0)</f>
        <v>MO5656</v>
      </c>
      <c r="C149" s="31" t="str">
        <f>VLOOKUP(B149,제품등록!B:C,2,0)</f>
        <v>몬스터 에너지 망고로코 355CAN 4X6</v>
      </c>
      <c r="D149" s="9"/>
      <c r="E149" s="9">
        <v>108</v>
      </c>
      <c r="F149" s="2">
        <f>SUMIF('창고1(실사표)'!B:B,재고차이!A:A,'창고1(실사표)'!F:F)*D149+SUMIF('창고2(실사표)'!B:B,재고차이!A:A,'창고2(실사표)'!F:F)*D149+SUMIF('믹스(잔량실사표)'!B:B,재고차이!A:A,'믹스(잔량실사표)'!F:F)*D149</f>
        <v>0</v>
      </c>
      <c r="G149" s="2">
        <f>SUMIF('창고1(실사표)'!B:B,재고차이!A:A,'창고1(실사표)'!E:E)*E149+SUMIF('창고2(실사표)'!B:B,재고차이!A:A,'창고2(실사표)'!E:E)*E149+SUMIF('믹스(잔량실사표)'!B:B,재고차이!A:A,'믹스(잔량실사표)'!E:E)*E149</f>
        <v>1944</v>
      </c>
      <c r="H149" s="2">
        <f>SUMIF('창고1(실사표)'!B:B,재고차이!A:A,'창고1(실사표)'!G:G)+SUMIF('창고2(실사표)'!B:B,재고차이!A:A,'창고2(실사표)'!G:G)++SUMIF('믹스(잔량실사표)'!B:B,재고차이!A:A,'믹스(잔량실사표)'!G:G)</f>
        <v>4</v>
      </c>
      <c r="I14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49" s="2">
        <f t="shared" si="21"/>
        <v>1948</v>
      </c>
      <c r="K149" s="2">
        <f>SUMIF(SAP!B:B,재고차이!B:B,SAP!Q:Q)</f>
        <v>1516</v>
      </c>
      <c r="L149" s="2">
        <f>SUMIF(주간상차!A:A,재고차이!A:A,주간상차!E:E)</f>
        <v>432</v>
      </c>
      <c r="M149" s="37">
        <f t="shared" si="22"/>
        <v>0</v>
      </c>
      <c r="N149" s="41"/>
      <c r="O149" s="42"/>
      <c r="P149" s="125"/>
      <c r="Q149" s="8">
        <f>SUMIF(파손품!D:D,재고차이!B:B,파손품!I:I)+SUMIF(동파파손!D:D,재고차이!B:B,동파파손!I:I)</f>
        <v>0</v>
      </c>
      <c r="R149">
        <f t="shared" si="17"/>
        <v>0</v>
      </c>
    </row>
    <row r="150" spans="1:18" ht="18.75" customHeight="1" x14ac:dyDescent="0.3">
      <c r="A150" s="9">
        <v>5662</v>
      </c>
      <c r="B150" s="9" t="str">
        <f>VLOOKUP(A:A,제품등록!A:B,2,0)</f>
        <v>MO5662</v>
      </c>
      <c r="C150" s="31" t="str">
        <f>VLOOKUP(B150,제품등록!B:C,2,0)</f>
        <v>몬스터 에너지 선라이즈 355CAN 4X6</v>
      </c>
      <c r="D150" s="9"/>
      <c r="E150" s="9">
        <v>108</v>
      </c>
      <c r="F150" s="2">
        <f>SUMIF('창고1(실사표)'!B:B,재고차이!A:A,'창고1(실사표)'!F:F)*D150+SUMIF('창고2(실사표)'!B:B,재고차이!A:A,'창고2(실사표)'!F:F)*D150+SUMIF('믹스(잔량실사표)'!B:B,재고차이!A:A,'믹스(잔량실사표)'!F:F)*D150</f>
        <v>0</v>
      </c>
      <c r="G150" s="2">
        <f>SUMIF('창고1(실사표)'!B:B,재고차이!A:A,'창고1(실사표)'!E:E)*E150+SUMIF('창고2(실사표)'!B:B,재고차이!A:A,'창고2(실사표)'!E:E)*E150+SUMIF('믹스(잔량실사표)'!B:B,재고차이!A:A,'믹스(잔량실사표)'!E:E)*E150</f>
        <v>864</v>
      </c>
      <c r="H150" s="2">
        <f>SUMIF('창고1(실사표)'!B:B,재고차이!A:A,'창고1(실사표)'!G:G)+SUMIF('창고2(실사표)'!B:B,재고차이!A:A,'창고2(실사표)'!G:G)++SUMIF('믹스(잔량실사표)'!B:B,재고차이!A:A,'믹스(잔량실사표)'!G:G)</f>
        <v>33</v>
      </c>
      <c r="I15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50" s="2">
        <f t="shared" si="21"/>
        <v>897</v>
      </c>
      <c r="K150" s="2">
        <f>SUMIF(SAP!B:B,재고차이!B:B,SAP!Q:Q)</f>
        <v>897</v>
      </c>
      <c r="L150" s="2">
        <f>SUMIF(주간상차!A:A,재고차이!A:A,주간상차!E:E)</f>
        <v>0</v>
      </c>
      <c r="M150" s="37">
        <f t="shared" si="22"/>
        <v>0</v>
      </c>
      <c r="N150" s="41"/>
      <c r="O150" s="42"/>
      <c r="P150" s="125"/>
      <c r="Q150" s="8">
        <f>SUMIF(파손품!D:D,재고차이!B:B,파손품!I:I)+SUMIF(동파파손!D:D,재고차이!B:B,동파파손!I:I)</f>
        <v>0</v>
      </c>
      <c r="R150">
        <f t="shared" si="17"/>
        <v>0</v>
      </c>
    </row>
    <row r="151" spans="1:18" ht="18.75" customHeight="1" x14ac:dyDescent="0.3">
      <c r="A151" s="9">
        <v>5664</v>
      </c>
      <c r="B151" s="9" t="str">
        <f>VLOOKUP(A:A,제품등록!A:B,2,0)</f>
        <v>MO5664</v>
      </c>
      <c r="C151" s="31" t="str">
        <f>VLOOKUP(B151,제품등록!B:C,2,0)</f>
        <v>몬스터 에너지 피치킨 355CAN 4X6</v>
      </c>
      <c r="D151" s="9"/>
      <c r="E151" s="9">
        <v>108</v>
      </c>
      <c r="F151" s="2">
        <f>SUMIF('창고1(실사표)'!B:B,재고차이!A:A,'창고1(실사표)'!F:F)*D151+SUMIF('창고2(실사표)'!B:B,재고차이!A:A,'창고2(실사표)'!F:F)*D151+SUMIF('믹스(잔량실사표)'!B:B,재고차이!A:A,'믹스(잔량실사표)'!F:F)*D151</f>
        <v>0</v>
      </c>
      <c r="G151" s="2">
        <f>SUMIF('창고1(실사표)'!B:B,재고차이!A:A,'창고1(실사표)'!E:E)*E151+SUMIF('창고2(실사표)'!B:B,재고차이!A:A,'창고2(실사표)'!E:E)*E151+SUMIF('믹스(잔량실사표)'!B:B,재고차이!A:A,'믹스(잔량실사표)'!E:E)*E151</f>
        <v>1728</v>
      </c>
      <c r="H151" s="2">
        <f>SUMIF('창고1(실사표)'!B:B,재고차이!A:A,'창고1(실사표)'!G:G)+SUMIF('창고2(실사표)'!B:B,재고차이!A:A,'창고2(실사표)'!G:G)++SUMIF('믹스(잔량실사표)'!B:B,재고차이!A:A,'믹스(잔량실사표)'!G:G)</f>
        <v>36</v>
      </c>
      <c r="I15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51" s="2">
        <f t="shared" si="21"/>
        <v>1764</v>
      </c>
      <c r="K151" s="2">
        <f>SUMIF(SAP!B:B,재고차이!B:B,SAP!Q:Q)</f>
        <v>1764</v>
      </c>
      <c r="L151" s="2">
        <f>SUMIF(주간상차!A:A,재고차이!A:A,주간상차!E:E)</f>
        <v>0</v>
      </c>
      <c r="M151" s="37">
        <f t="shared" si="22"/>
        <v>0</v>
      </c>
      <c r="N151" s="41"/>
      <c r="O151" s="42"/>
      <c r="P151" s="125"/>
      <c r="Q151" s="8">
        <f>SUMIF(파손품!D:D,재고차이!B:B,파손품!I:I)+SUMIF(동파파손!D:D,재고차이!B:B,동파파손!I:I)</f>
        <v>0</v>
      </c>
      <c r="R151">
        <f>M151/E151</f>
        <v>0</v>
      </c>
    </row>
    <row r="152" spans="1:18" ht="18.75" customHeight="1" x14ac:dyDescent="0.3">
      <c r="A152" s="9">
        <v>5668</v>
      </c>
      <c r="B152" s="9" t="str">
        <f>VLOOKUP(A:A,제품등록!A:B,2,0)</f>
        <v>MO5668</v>
      </c>
      <c r="C152" s="31" t="str">
        <f>VLOOKUP(B152,제품등록!B:C,2,0)</f>
        <v>몬스터 오지 레모네이드 355CAN 4X6</v>
      </c>
      <c r="D152" s="9"/>
      <c r="E152" s="9">
        <v>108</v>
      </c>
      <c r="F152" s="2">
        <f>SUMIF('창고1(실사표)'!B:B,재고차이!A:A,'창고1(실사표)'!F:F)*D152+SUMIF('창고2(실사표)'!B:B,재고차이!A:A,'창고2(실사표)'!F:F)*D152+SUMIF('믹스(잔량실사표)'!B:B,재고차이!A:A,'믹스(잔량실사표)'!F:F)*D152</f>
        <v>0</v>
      </c>
      <c r="G152" s="2">
        <f>SUMIF('창고1(실사표)'!B:B,재고차이!A:A,'창고1(실사표)'!E:E)*E152+SUMIF('창고2(실사표)'!B:B,재고차이!A:A,'창고2(실사표)'!E:E)*E152+SUMIF('믹스(잔량실사표)'!B:B,재고차이!A:A,'믹스(잔량실사표)'!E:E)*E152</f>
        <v>1404</v>
      </c>
      <c r="H152" s="2">
        <f>SUMIF('창고1(실사표)'!B:B,재고차이!A:A,'창고1(실사표)'!G:G)+SUMIF('창고2(실사표)'!B:B,재고차이!A:A,'창고2(실사표)'!G:G)++SUMIF('믹스(잔량실사표)'!B:B,재고차이!A:A,'믹스(잔량실사표)'!G:G)</f>
        <v>34</v>
      </c>
      <c r="I15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52" s="2">
        <f t="shared" si="21"/>
        <v>1438</v>
      </c>
      <c r="K152" s="2">
        <f>SUMIF(SAP!B:B,재고차이!B:B,SAP!Q:Q)</f>
        <v>1438</v>
      </c>
      <c r="L152" s="2">
        <f>SUMIF(주간상차!A:A,재고차이!A:A,주간상차!E:E)</f>
        <v>0</v>
      </c>
      <c r="M152" s="37">
        <f t="shared" si="22"/>
        <v>0</v>
      </c>
      <c r="N152" s="41"/>
      <c r="O152" s="42"/>
      <c r="P152" s="125"/>
      <c r="Q152" s="8">
        <f>SUMIF(파손품!D:D,재고차이!B:B,파손품!I:I)+SUMIF(동파파손!D:D,재고차이!B:B,동파파손!I:I)</f>
        <v>0</v>
      </c>
      <c r="R152">
        <f t="shared" si="17"/>
        <v>0</v>
      </c>
    </row>
    <row r="153" spans="1:18" ht="18.75" hidden="1" customHeight="1" x14ac:dyDescent="0.3">
      <c r="A153" s="9">
        <v>8588</v>
      </c>
      <c r="B153" s="9" t="str">
        <f>VLOOKUP(A:A,제품등록!A:B,2,0)</f>
        <v>TR8588</v>
      </c>
      <c r="C153" s="31" t="str">
        <f>VLOOKUP(B153,제품등록!B:C,2,0)</f>
        <v>토레타 THE락토 500PET 4X6</v>
      </c>
      <c r="D153" s="9">
        <v>48</v>
      </c>
      <c r="E153" s="9">
        <v>70</v>
      </c>
      <c r="F153" s="2">
        <f>SUMIF('창고1(실사표)'!B:B,재고차이!A:A,'창고1(실사표)'!F:F)*D153+SUMIF('창고2(실사표)'!B:B,재고차이!A:A,'창고2(실사표)'!F:F)*D153+SUMIF('믹스(잔량실사표)'!B:B,재고차이!A:A,'믹스(잔량실사표)'!F:F)*D153</f>
        <v>0</v>
      </c>
      <c r="G153" s="2">
        <f>SUMIF('창고1(실사표)'!B:B,재고차이!A:A,'창고1(실사표)'!E:E)*E153+SUMIF('창고2(실사표)'!B:B,재고차이!A:A,'창고2(실사표)'!E:E)*E153+SUMIF('믹스(잔량실사표)'!B:B,재고차이!A:A,'믹스(잔량실사표)'!E:E)*E153</f>
        <v>0</v>
      </c>
      <c r="H153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5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53" s="2">
        <f t="shared" si="21"/>
        <v>0</v>
      </c>
      <c r="K153" s="2">
        <f>SUMIF(SAP!B:B,재고차이!B:B,SAP!Q:Q)</f>
        <v>0</v>
      </c>
      <c r="L153" s="2">
        <f>SUMIF(주간상차!A:A,재고차이!A:A,주간상차!E:E)</f>
        <v>0</v>
      </c>
      <c r="M153" s="37">
        <f t="shared" si="22"/>
        <v>0</v>
      </c>
      <c r="N153" s="41"/>
      <c r="O153" s="42"/>
      <c r="P153" s="125"/>
      <c r="Q153" s="8">
        <f>SUMIF(파손품!D:D,재고차이!B:B,파손품!I:I)+SUMIF(동파파손!D:D,재고차이!B:B,동파파손!I:I)</f>
        <v>0</v>
      </c>
      <c r="R153">
        <f t="shared" si="17"/>
        <v>0</v>
      </c>
    </row>
    <row r="154" spans="1:18" ht="18.75" hidden="1" customHeight="1" x14ac:dyDescent="0.3">
      <c r="A154" s="9">
        <v>8571</v>
      </c>
      <c r="B154" s="9" t="str">
        <f>VLOOKUP(A:A,제품등록!A:B,2,0)</f>
        <v>TR8571</v>
      </c>
      <c r="C154" s="31" t="str">
        <f>VLOOKUP(B154,제품등록!B:C,2,0)</f>
        <v>토레타 900PET 2X6</v>
      </c>
      <c r="D154" s="9"/>
      <c r="E154" s="9">
        <v>80</v>
      </c>
      <c r="F154" s="2">
        <f>SUMIF('창고1(실사표)'!B:B,재고차이!A:A,'창고1(실사표)'!F:F)*D154+SUMIF('창고2(실사표)'!B:B,재고차이!A:A,'창고2(실사표)'!F:F)*D154+SUMIF('믹스(잔량실사표)'!B:B,재고차이!A:A,'믹스(잔량실사표)'!F:F)*D154</f>
        <v>0</v>
      </c>
      <c r="G154" s="2">
        <f>SUMIF('창고1(실사표)'!B:B,재고차이!A:A,'창고1(실사표)'!E:E)*E154+SUMIF('창고2(실사표)'!B:B,재고차이!A:A,'창고2(실사표)'!E:E)*E154+SUMIF('믹스(잔량실사표)'!B:B,재고차이!A:A,'믹스(잔량실사표)'!E:E)*E154</f>
        <v>0</v>
      </c>
      <c r="H15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5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54" s="2">
        <f t="shared" si="21"/>
        <v>0</v>
      </c>
      <c r="K154" s="2">
        <f>SUMIF(SAP!B:B,재고차이!B:B,SAP!Q:Q)</f>
        <v>0</v>
      </c>
      <c r="L154" s="2">
        <f>SUMIF(주간상차!A:A,재고차이!A:A,주간상차!E:E)</f>
        <v>0</v>
      </c>
      <c r="M154" s="37">
        <f t="shared" si="22"/>
        <v>0</v>
      </c>
      <c r="N154" s="41"/>
      <c r="O154" s="42"/>
      <c r="P154" s="125"/>
      <c r="Q154" s="8">
        <f>SUMIF(파손품!D:D,재고차이!B:B,파손품!I:I)+SUMIF(동파파손!D:D,재고차이!B:B,동파파손!I:I)</f>
        <v>0</v>
      </c>
      <c r="R154">
        <f t="shared" si="17"/>
        <v>0</v>
      </c>
    </row>
    <row r="155" spans="1:18" ht="18.75" hidden="1" customHeight="1" x14ac:dyDescent="0.3">
      <c r="A155" s="9">
        <v>6138</v>
      </c>
      <c r="B155" s="9" t="str">
        <f>VLOOKUP(A:A,제품등록!A:B,2,0)</f>
        <v>SP6138</v>
      </c>
      <c r="C155" s="31" t="str">
        <f>VLOOKUP(B155,제품등록!B:C,2,0)</f>
        <v>스프라이트 익스트림 350PET 4X6</v>
      </c>
      <c r="D155" s="9"/>
      <c r="E155" s="9">
        <v>70</v>
      </c>
      <c r="F155" s="2">
        <f>SUMIF('창고1(실사표)'!B:B,재고차이!A:A,'창고1(실사표)'!F:F)*D155+SUMIF('창고2(실사표)'!B:B,재고차이!A:A,'창고2(실사표)'!F:F)*D155+SUMIF('믹스(잔량실사표)'!B:B,재고차이!A:A,'믹스(잔량실사표)'!F:F)*D155</f>
        <v>0</v>
      </c>
      <c r="G155" s="2">
        <f>SUMIF('창고1(실사표)'!B:B,재고차이!A:A,'창고1(실사표)'!E:E)*E155+SUMIF('창고2(실사표)'!B:B,재고차이!A:A,'창고2(실사표)'!E:E)*E155+SUMIF('믹스(잔량실사표)'!B:B,재고차이!A:A,'믹스(잔량실사표)'!E:E)*E155</f>
        <v>0</v>
      </c>
      <c r="H15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5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55" s="2">
        <f t="shared" si="21"/>
        <v>0</v>
      </c>
      <c r="K155" s="2">
        <f>SUMIF(SAP!B:B,재고차이!B:B,SAP!Q:Q)</f>
        <v>0</v>
      </c>
      <c r="L155" s="2">
        <f>SUMIF(주간상차!A:A,재고차이!A:A,주간상차!E:E)</f>
        <v>0</v>
      </c>
      <c r="M155" s="37">
        <f t="shared" si="22"/>
        <v>0</v>
      </c>
      <c r="N155" s="41"/>
      <c r="O155" s="42"/>
      <c r="P155" s="125"/>
      <c r="Q155" s="8">
        <f>SUMIF(파손품!D:D,재고차이!B:B,파손품!I:I)+SUMIF(동파파손!D:D,재고차이!B:B,동파파손!I:I)</f>
        <v>0</v>
      </c>
      <c r="R155">
        <f t="shared" si="17"/>
        <v>0</v>
      </c>
    </row>
    <row r="156" spans="1:18" ht="18.75" hidden="1" customHeight="1" x14ac:dyDescent="0.3">
      <c r="A156" s="9">
        <v>4166</v>
      </c>
      <c r="B156" s="9" t="str">
        <f>VLOOKUP(A:A,제품등록!A:B,2,0)</f>
        <v>SW4166</v>
      </c>
      <c r="C156" s="31" t="str">
        <f>VLOOKUP(B156,제품등록!B:C,2,0)</f>
        <v>S슈웹스 레몬토닉350P 4X6</v>
      </c>
      <c r="D156" s="9">
        <v>40</v>
      </c>
      <c r="E156" s="9">
        <v>50</v>
      </c>
      <c r="F156" s="2">
        <f>SUMIF('창고1(실사표)'!B:B,재고차이!A:A,'창고1(실사표)'!F:F)*D156+SUMIF('창고2(실사표)'!B:B,재고차이!A:A,'창고2(실사표)'!F:F)*D156+SUMIF('믹스(잔량실사표)'!B:B,재고차이!A:A,'믹스(잔량실사표)'!F:F)*D156</f>
        <v>0</v>
      </c>
      <c r="G156" s="2">
        <f>SUMIF('창고1(실사표)'!B:B,재고차이!A:A,'창고1(실사표)'!E:E)*E156+SUMIF('창고2(실사표)'!B:B,재고차이!A:A,'창고2(실사표)'!E:E)*E156+SUMIF('믹스(잔량실사표)'!B:B,재고차이!A:A,'믹스(잔량실사표)'!E:E)*E156</f>
        <v>0</v>
      </c>
      <c r="H15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5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56" s="2">
        <f t="shared" si="21"/>
        <v>0</v>
      </c>
      <c r="K156" s="2">
        <f>SUMIF(SAP!B:B,재고차이!B:B,SAP!Q:Q)</f>
        <v>0</v>
      </c>
      <c r="L156" s="2">
        <f>SUMIF(주간상차!A:A,재고차이!A:A,주간상차!E:E)</f>
        <v>0</v>
      </c>
      <c r="M156" s="37">
        <f t="shared" si="22"/>
        <v>0</v>
      </c>
      <c r="N156" s="41"/>
      <c r="O156" s="42"/>
      <c r="P156" s="125"/>
      <c r="Q156" s="8">
        <f>SUMIF(파손품!D:D,재고차이!B:B,파손품!I:I)+SUMIF(동파파손!D:D,재고차이!B:B,동파파손!I:I)</f>
        <v>0</v>
      </c>
      <c r="R156">
        <f t="shared" si="17"/>
        <v>0</v>
      </c>
    </row>
    <row r="157" spans="1:18" ht="18.75" hidden="1" customHeight="1" x14ac:dyDescent="0.3">
      <c r="A157" s="9">
        <v>8575</v>
      </c>
      <c r="B157" s="9" t="str">
        <f>VLOOKUP(A:A,제품등록!A:B,2,0)</f>
        <v>TR8575</v>
      </c>
      <c r="C157" s="31" t="str">
        <f>VLOOKUP(B157,제품등록!B:C,2,0)</f>
        <v>토레타 990PET 2X6</v>
      </c>
      <c r="D157" s="9"/>
      <c r="E157" s="9">
        <v>64</v>
      </c>
      <c r="F157" s="2">
        <f>SUMIF('창고1(실사표)'!B:B,재고차이!A:A,'창고1(실사표)'!F:F)*D157+SUMIF('창고2(실사표)'!B:B,재고차이!A:A,'창고2(실사표)'!F:F)*D157+SUMIF('믹스(잔량실사표)'!B:B,재고차이!A:A,'믹스(잔량실사표)'!F:F)*D157</f>
        <v>0</v>
      </c>
      <c r="G157" s="2">
        <f>SUMIF('창고1(실사표)'!B:B,재고차이!A:A,'창고1(실사표)'!E:E)*E157+SUMIF('창고2(실사표)'!B:B,재고차이!A:A,'창고2(실사표)'!E:E)*E157+SUMIF('믹스(잔량실사표)'!B:B,재고차이!A:A,'믹스(잔량실사표)'!E:E)*E157</f>
        <v>0</v>
      </c>
      <c r="H15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5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57" s="2">
        <f t="shared" si="21"/>
        <v>0</v>
      </c>
      <c r="K157" s="2">
        <f>SUMIF(SAP!B:B,재고차이!B:B,SAP!Q:Q)</f>
        <v>0</v>
      </c>
      <c r="L157" s="2">
        <f>SUMIF(주간상차!A:A,재고차이!A:A,주간상차!E:E)</f>
        <v>0</v>
      </c>
      <c r="M157" s="37">
        <f t="shared" si="22"/>
        <v>0</v>
      </c>
      <c r="N157" s="41"/>
      <c r="O157" s="42"/>
      <c r="P157" s="125"/>
      <c r="Q157" s="8">
        <f>SUMIF(파손품!D:D,재고차이!B:B,파손품!I:I)+SUMIF(동파파손!D:D,재고차이!B:B,동파파손!I:I)</f>
        <v>0</v>
      </c>
      <c r="R157">
        <f t="shared" si="17"/>
        <v>0</v>
      </c>
    </row>
    <row r="158" spans="1:18" ht="18" hidden="1" customHeight="1" x14ac:dyDescent="0.3">
      <c r="A158" s="9">
        <v>8188</v>
      </c>
      <c r="B158" s="9" t="str">
        <f>VLOOKUP(A:A,제품등록!A:B,2,0)</f>
        <v>TY8188</v>
      </c>
      <c r="C158" s="31" t="str">
        <f>VLOOKUP(B158,제품등록!B:C,2,0)</f>
        <v>태양의 마테차500P 4X6</v>
      </c>
      <c r="D158" s="9">
        <v>40</v>
      </c>
      <c r="E158" s="9">
        <v>70</v>
      </c>
      <c r="F158" s="2">
        <f>SUMIF('창고1(실사표)'!B:B,재고차이!A:A,'창고1(실사표)'!F:F)*D158+SUMIF('창고2(실사표)'!B:B,재고차이!A:A,'창고2(실사표)'!F:F)*D158+SUMIF('믹스(잔량실사표)'!B:B,재고차이!A:A,'믹스(잔량실사표)'!F:F)*D158</f>
        <v>0</v>
      </c>
      <c r="G158" s="2">
        <f>SUMIF('창고1(실사표)'!B:B,재고차이!A:A,'창고1(실사표)'!E:E)*E158+SUMIF('창고2(실사표)'!B:B,재고차이!A:A,'창고2(실사표)'!E:E)*E158+SUMIF('믹스(잔량실사표)'!B:B,재고차이!A:A,'믹스(잔량실사표)'!E:E)*E158</f>
        <v>0</v>
      </c>
      <c r="H15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5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58" s="2">
        <f t="shared" si="21"/>
        <v>0</v>
      </c>
      <c r="K158" s="2">
        <f>SUMIF(SAP!B:B,재고차이!B:B,SAP!Q:Q)</f>
        <v>0</v>
      </c>
      <c r="L158" s="2">
        <f>SUMIF(주간상차!A:A,재고차이!A:A,주간상차!E:E)</f>
        <v>0</v>
      </c>
      <c r="M158" s="37">
        <f t="shared" si="22"/>
        <v>0</v>
      </c>
      <c r="N158" s="41"/>
      <c r="O158" s="42"/>
      <c r="P158" s="125"/>
      <c r="Q158" s="8">
        <f>SUMIF(파손품!D:D,재고차이!B:B,파손품!I:I)+SUMIF(동파파손!D:D,재고차이!B:B,동파파손!I:I)</f>
        <v>0</v>
      </c>
      <c r="R158">
        <f t="shared" si="17"/>
        <v>0</v>
      </c>
    </row>
    <row r="159" spans="1:18" ht="18" hidden="1" customHeight="1" x14ac:dyDescent="0.3">
      <c r="A159" s="9">
        <v>8202</v>
      </c>
      <c r="B159" s="9" t="str">
        <f>VLOOKUP(A:A,제품등록!A:B,2,0)</f>
        <v>TY8202</v>
      </c>
      <c r="C159" s="31" t="str">
        <f>VLOOKUP(B159,제품등록!B:C,2,0)</f>
        <v>태양의 원차 주전자차 보리 500PET 4X6</v>
      </c>
      <c r="D159" s="9">
        <v>40</v>
      </c>
      <c r="E159" s="9">
        <v>70</v>
      </c>
      <c r="F159" s="2">
        <f>SUMIF('창고1(실사표)'!B:B,재고차이!A:A,'창고1(실사표)'!F:F)*D159+SUMIF('창고2(실사표)'!B:B,재고차이!A:A,'창고2(실사표)'!F:F)*D159+SUMIF('믹스(잔량실사표)'!B:B,재고차이!A:A,'믹스(잔량실사표)'!F:F)*D159</f>
        <v>0</v>
      </c>
      <c r="G159" s="2">
        <f>SUMIF('창고1(실사표)'!B:B,재고차이!A:A,'창고1(실사표)'!E:E)*E159+SUMIF('창고2(실사표)'!B:B,재고차이!A:A,'창고2(실사표)'!E:E)*E159+SUMIF('믹스(잔량실사표)'!B:B,재고차이!A:A,'믹스(잔량실사표)'!E:E)*E159</f>
        <v>0</v>
      </c>
      <c r="H159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5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59" s="2">
        <f t="shared" si="21"/>
        <v>0</v>
      </c>
      <c r="K159" s="2">
        <f>SUMIF(SAP!B:B,재고차이!B:B,SAP!Q:Q)</f>
        <v>0</v>
      </c>
      <c r="L159" s="2">
        <f>SUMIF(주간상차!A:A,재고차이!A:A,주간상차!E:E)</f>
        <v>0</v>
      </c>
      <c r="M159" s="37">
        <f t="shared" si="22"/>
        <v>0</v>
      </c>
      <c r="N159" s="41"/>
      <c r="O159" s="42"/>
      <c r="P159" s="125"/>
      <c r="Q159" s="8">
        <f>SUMIF(파손품!D:D,재고차이!B:B,파손품!I:I)+SUMIF(동파파손!D:D,재고차이!B:B,동파파손!I:I)</f>
        <v>0</v>
      </c>
      <c r="R159">
        <f t="shared" si="17"/>
        <v>0</v>
      </c>
    </row>
    <row r="160" spans="1:18" ht="18" hidden="1" customHeight="1" x14ac:dyDescent="0.3">
      <c r="A160" s="9">
        <v>8204</v>
      </c>
      <c r="B160" s="9" t="str">
        <f>VLOOKUP(A:A,제품등록!A:B,2,0)</f>
        <v>TY8204</v>
      </c>
      <c r="C160" s="31" t="str">
        <f>VLOOKUP(B160,제품등록!B:C,2,0)</f>
        <v>태양의 원차 주전자차 옥수수 500PET 4X6</v>
      </c>
      <c r="D160" s="9">
        <v>40</v>
      </c>
      <c r="E160" s="9">
        <v>70</v>
      </c>
      <c r="F160" s="2">
        <f>SUMIF('창고1(실사표)'!B:B,재고차이!A:A,'창고1(실사표)'!F:F)*D160+SUMIF('창고2(실사표)'!B:B,재고차이!A:A,'창고2(실사표)'!F:F)*D160+SUMIF('믹스(잔량실사표)'!B:B,재고차이!A:A,'믹스(잔량실사표)'!F:F)*D160</f>
        <v>0</v>
      </c>
      <c r="G160" s="2">
        <f>SUMIF('창고1(실사표)'!B:B,재고차이!A:A,'창고1(실사표)'!E:E)*E160+SUMIF('창고2(실사표)'!B:B,재고차이!A:A,'창고2(실사표)'!E:E)*E160+SUMIF('믹스(잔량실사표)'!B:B,재고차이!A:A,'믹스(잔량실사표)'!E:E)*E160</f>
        <v>0</v>
      </c>
      <c r="H16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6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60" s="2">
        <f t="shared" si="21"/>
        <v>0</v>
      </c>
      <c r="K160" s="2">
        <f>SUMIF(SAP!B:B,재고차이!B:B,SAP!Q:Q)</f>
        <v>0</v>
      </c>
      <c r="L160" s="2">
        <f>SUMIF(주간상차!A:A,재고차이!A:A,주간상차!E:E)</f>
        <v>0</v>
      </c>
      <c r="M160" s="37">
        <f t="shared" si="22"/>
        <v>0</v>
      </c>
      <c r="N160" s="41"/>
      <c r="O160" s="42"/>
      <c r="P160" s="125"/>
      <c r="Q160" s="8">
        <f>SUMIF(파손품!D:D,재고차이!B:B,파손품!I:I)+SUMIF(동파파손!D:D,재고차이!B:B,동파파손!I:I)</f>
        <v>0</v>
      </c>
      <c r="R160">
        <f t="shared" si="17"/>
        <v>0</v>
      </c>
    </row>
    <row r="161" spans="1:18" ht="19.5" customHeight="1" x14ac:dyDescent="0.3">
      <c r="A161" s="9">
        <v>5672</v>
      </c>
      <c r="B161" s="9" t="str">
        <f>VLOOKUP(A:A,제품등록!A:B,2,0)</f>
        <v>MO5672</v>
      </c>
      <c r="C161" s="31" t="str">
        <f>VLOOKUP(B161,제품등록!B:C,2,0)</f>
        <v>몬스터 에너지 그린 500CAN 4X6</v>
      </c>
      <c r="D161" s="9"/>
      <c r="E161" s="9">
        <v>70</v>
      </c>
      <c r="F161" s="2">
        <f>SUMIF('창고1(실사표)'!B:B,재고차이!A:A,'창고1(실사표)'!F:F)*D161+SUMIF('창고2(실사표)'!B:B,재고차이!A:A,'창고2(실사표)'!F:F)*D161+SUMIF('믹스(잔량실사표)'!B:B,재고차이!A:A,'믹스(잔량실사표)'!F:F)*D161</f>
        <v>0</v>
      </c>
      <c r="G161" s="2">
        <f>SUMIF('창고1(실사표)'!B:B,재고차이!A:A,'창고1(실사표)'!E:E)*E161+SUMIF('창고2(실사표)'!B:B,재고차이!A:A,'창고2(실사표)'!E:E)*E161+SUMIF('믹스(잔량실사표)'!B:B,재고차이!A:A,'믹스(잔량실사표)'!E:E)*E161</f>
        <v>490</v>
      </c>
      <c r="H161" s="2">
        <f>SUMIF('창고1(실사표)'!B:B,재고차이!A:A,'창고1(실사표)'!G:G)+SUMIF('창고2(실사표)'!B:B,재고차이!A:A,'창고2(실사표)'!G:G)++SUMIF('믹스(잔량실사표)'!B:B,재고차이!A:A,'믹스(잔량실사표)'!G:G)</f>
        <v>42</v>
      </c>
      <c r="I16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61" s="2">
        <f t="shared" si="21"/>
        <v>532</v>
      </c>
      <c r="K161" s="2">
        <f>SUMIF(SAP!B:B,재고차이!B:B,SAP!Q:Q)</f>
        <v>533</v>
      </c>
      <c r="L161" s="2">
        <f>SUMIF(주간상차!A:A,재고차이!A:A,주간상차!E:E)</f>
        <v>0</v>
      </c>
      <c r="M161" s="37">
        <f t="shared" si="22"/>
        <v>0</v>
      </c>
      <c r="N161" s="41"/>
      <c r="O161" s="42"/>
      <c r="P161" s="125"/>
      <c r="Q161" s="8">
        <f>SUMIF(파손품!D:D,재고차이!B:B,파손품!I:I)+SUMIF(동파파손!D:D,재고차이!B:B,동파파손!I:I)</f>
        <v>1</v>
      </c>
      <c r="R161">
        <f t="shared" ref="R161:R181" si="25">M161/E161</f>
        <v>0</v>
      </c>
    </row>
    <row r="162" spans="1:18" ht="18" customHeight="1" x14ac:dyDescent="0.3">
      <c r="A162" s="9">
        <v>5673</v>
      </c>
      <c r="B162" s="9" t="str">
        <f>VLOOKUP(A:A,제품등록!A:B,2,0)</f>
        <v>MO5673</v>
      </c>
      <c r="C162" s="31" t="str">
        <f>VLOOKUP(B162,제품등록!B:C,2,0)</f>
        <v>몬스터 에너지 울트라 500CAN 4X6</v>
      </c>
      <c r="D162" s="9"/>
      <c r="E162" s="9">
        <v>70</v>
      </c>
      <c r="F162" s="2">
        <f>SUMIF('창고1(실사표)'!B:B,재고차이!A:A,'창고1(실사표)'!F:F)*D162+SUMIF('창고2(실사표)'!B:B,재고차이!A:A,'창고2(실사표)'!F:F)*D162+SUMIF('믹스(잔량실사표)'!B:B,재고차이!A:A,'믹스(잔량실사표)'!F:F)*D162</f>
        <v>0</v>
      </c>
      <c r="G162" s="2">
        <f>SUMIF('창고1(실사표)'!B:B,재고차이!A:A,'창고1(실사표)'!E:E)*E162+SUMIF('창고2(실사표)'!B:B,재고차이!A:A,'창고2(실사표)'!E:E)*E162+SUMIF('믹스(잔량실사표)'!B:B,재고차이!A:A,'믹스(잔량실사표)'!E:E)*E162</f>
        <v>210</v>
      </c>
      <c r="H162" s="2">
        <f>SUMIF('창고1(실사표)'!B:B,재고차이!A:A,'창고1(실사표)'!G:G)+SUMIF('창고2(실사표)'!B:B,재고차이!A:A,'창고2(실사표)'!G:G)++SUMIF('믹스(잔량실사표)'!B:B,재고차이!A:A,'믹스(잔량실사표)'!G:G)</f>
        <v>60</v>
      </c>
      <c r="I16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62" s="2">
        <f t="shared" si="21"/>
        <v>270</v>
      </c>
      <c r="K162" s="2">
        <f>SUMIF(SAP!B:B,재고차이!B:B,SAP!Q:Q)</f>
        <v>270</v>
      </c>
      <c r="L162" s="2">
        <f>SUMIF(주간상차!A:A,재고차이!A:A,주간상차!E:E)</f>
        <v>0</v>
      </c>
      <c r="M162" s="37">
        <f t="shared" si="22"/>
        <v>0</v>
      </c>
      <c r="N162" s="41"/>
      <c r="O162" s="42"/>
      <c r="P162" s="125"/>
      <c r="Q162" s="8">
        <f>SUMIF(파손품!D:D,재고차이!B:B,파손품!I:I)+SUMIF(동파파손!D:D,재고차이!B:B,동파파손!I:I)</f>
        <v>0</v>
      </c>
      <c r="R162">
        <f t="shared" si="25"/>
        <v>0</v>
      </c>
    </row>
    <row r="163" spans="1:18" ht="18" customHeight="1" x14ac:dyDescent="0.3">
      <c r="A163" s="9">
        <v>5676</v>
      </c>
      <c r="B163" s="9" t="str">
        <f>VLOOKUP(A:A,제품등록!A:B,2,0)</f>
        <v>MO5676</v>
      </c>
      <c r="C163" s="31" t="str">
        <f>VLOOKUP(B163,제품등록!B:C,2,0)</f>
        <v>S)몬스터 스트로베리 드림즈 355CAN 4X6</v>
      </c>
      <c r="D163" s="9"/>
      <c r="E163" s="9">
        <v>108</v>
      </c>
      <c r="F163" s="2">
        <f>SUMIF('창고1(실사표)'!B:B,재고차이!A:A,'창고1(실사표)'!F:F)*D163+SUMIF('창고2(실사표)'!B:B,재고차이!A:A,'창고2(실사표)'!F:F)*D163+SUMIF('믹스(잔량실사표)'!B:B,재고차이!A:A,'믹스(잔량실사표)'!F:F)*D163</f>
        <v>0</v>
      </c>
      <c r="G163" s="2">
        <f>SUMIF('창고1(실사표)'!B:B,재고차이!A:A,'창고1(실사표)'!E:E)*E163+SUMIF('창고2(실사표)'!B:B,재고차이!A:A,'창고2(실사표)'!E:E)*E163+SUMIF('믹스(잔량실사표)'!B:B,재고차이!A:A,'믹스(잔량실사표)'!E:E)*E163</f>
        <v>2268</v>
      </c>
      <c r="H163" s="2">
        <f>SUMIF('창고1(실사표)'!B:B,재고차이!A:A,'창고1(실사표)'!G:G)+SUMIF('창고2(실사표)'!B:B,재고차이!A:A,'창고2(실사표)'!G:G)++SUMIF('믹스(잔량실사표)'!B:B,재고차이!A:A,'믹스(잔량실사표)'!G:G)</f>
        <v>23</v>
      </c>
      <c r="I16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63" s="2">
        <f t="shared" si="21"/>
        <v>2291</v>
      </c>
      <c r="K163" s="2">
        <f>SUMIF(SAP!B:B,재고차이!B:B,SAP!Q:Q)</f>
        <v>2292</v>
      </c>
      <c r="L163" s="2">
        <f>SUMIF(주간상차!A:A,재고차이!A:A,주간상차!E:E)</f>
        <v>0</v>
      </c>
      <c r="M163" s="37">
        <f t="shared" si="22"/>
        <v>0</v>
      </c>
      <c r="N163" s="41"/>
      <c r="O163" s="42"/>
      <c r="P163" s="125"/>
      <c r="Q163" s="8">
        <f>SUMIF(파손품!D:D,재고차이!B:B,파손품!I:I)+SUMIF(동파파손!D:D,재고차이!B:B,동파파손!I:I)</f>
        <v>1</v>
      </c>
      <c r="R163">
        <f t="shared" si="25"/>
        <v>0</v>
      </c>
    </row>
    <row r="164" spans="1:18" ht="18" customHeight="1" x14ac:dyDescent="0.3">
      <c r="A164" s="9">
        <v>5679</v>
      </c>
      <c r="B164" s="9" t="str">
        <f>VLOOKUP(A:A,제품등록!A:B,2,0)</f>
        <v>MO5679</v>
      </c>
      <c r="C164" s="31" t="str">
        <f>VLOOKUP(B164,제품등록!B:C,2,0)</f>
        <v>S)몬스터 에너지 파피용 355CAN 4X6</v>
      </c>
      <c r="D164" s="9"/>
      <c r="E164" s="9">
        <v>108</v>
      </c>
      <c r="F164" s="2">
        <f>SUMIF('창고1(실사표)'!B:B,재고차이!A:A,'창고1(실사표)'!F:F)*D164+SUMIF('창고2(실사표)'!B:B,재고차이!A:A,'창고2(실사표)'!F:F)*D164+SUMIF('믹스(잔량실사표)'!B:B,재고차이!A:A,'믹스(잔량실사표)'!F:F)*D164</f>
        <v>0</v>
      </c>
      <c r="G164" s="2">
        <f>SUMIF('창고1(실사표)'!B:B,재고차이!A:A,'창고1(실사표)'!E:E)*E164+SUMIF('창고2(실사표)'!B:B,재고차이!A:A,'창고2(실사표)'!E:E)*E164+SUMIF('믹스(잔량실사표)'!B:B,재고차이!A:A,'믹스(잔량실사표)'!E:E)*E164</f>
        <v>3996</v>
      </c>
      <c r="H164" s="2">
        <f>SUMIF('창고1(실사표)'!B:B,재고차이!A:A,'창고1(실사표)'!G:G)+SUMIF('창고2(실사표)'!B:B,재고차이!A:A,'창고2(실사표)'!G:G)++SUMIF('믹스(잔량실사표)'!B:B,재고차이!A:A,'믹스(잔량실사표)'!G:G)</f>
        <v>27</v>
      </c>
      <c r="I16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64" s="2">
        <f t="shared" si="21"/>
        <v>4023</v>
      </c>
      <c r="K164" s="2">
        <f>SUMIF(SAP!B:B,재고차이!B:B,SAP!Q:Q)</f>
        <v>4023</v>
      </c>
      <c r="L164" s="2">
        <f>SUMIF(주간상차!A:A,재고차이!A:A,주간상차!E:E)</f>
        <v>0</v>
      </c>
      <c r="M164" s="37">
        <f t="shared" si="22"/>
        <v>0</v>
      </c>
      <c r="N164" s="41"/>
      <c r="O164" s="42"/>
      <c r="P164" s="125"/>
      <c r="Q164" s="8">
        <f>SUMIF(파손품!D:D,재고차이!B:B,파손품!I:I)+SUMIF(동파파손!D:D,재고차이!B:B,동파파손!I:I)</f>
        <v>0</v>
      </c>
      <c r="R164">
        <f t="shared" si="25"/>
        <v>0</v>
      </c>
    </row>
    <row r="165" spans="1:18" ht="18" hidden="1" customHeight="1" x14ac:dyDescent="0.3">
      <c r="A165" s="9">
        <v>1005</v>
      </c>
      <c r="B165" s="9" t="str">
        <f>VLOOKUP(A:A,제품등록!A:B,2,0)</f>
        <v>MM1005</v>
      </c>
      <c r="C165" s="31" t="str">
        <f>VLOOKUP(B165,제품등록!B:C,2,0)</f>
        <v>미닛 레몬에이드 탄산 500PET 4X6</v>
      </c>
      <c r="D165" s="9"/>
      <c r="E165" s="9">
        <v>70</v>
      </c>
      <c r="F165" s="2">
        <f>SUMIF('창고1(실사표)'!B:B,재고차이!A:A,'창고1(실사표)'!F:F)*D165+SUMIF('창고2(실사표)'!B:B,재고차이!A:A,'창고2(실사표)'!F:F)*D165+SUMIF('믹스(잔량실사표)'!B:B,재고차이!A:A,'믹스(잔량실사표)'!F:F)*D165</f>
        <v>0</v>
      </c>
      <c r="G165" s="2">
        <f>SUMIF('창고1(실사표)'!B:B,재고차이!A:A,'창고1(실사표)'!E:E)*E165+SUMIF('창고2(실사표)'!B:B,재고차이!A:A,'창고2(실사표)'!E:E)*E165+SUMIF('믹스(잔량실사표)'!B:B,재고차이!A:A,'믹스(잔량실사표)'!E:E)*E165</f>
        <v>0</v>
      </c>
      <c r="H16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6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65" s="2">
        <f t="shared" si="21"/>
        <v>0</v>
      </c>
      <c r="K165" s="2">
        <f>SUMIF(SAP!B:B,재고차이!B:B,SAP!Q:Q)</f>
        <v>0</v>
      </c>
      <c r="L165" s="2">
        <f>SUMIF(주간상차!A:A,재고차이!A:A,주간상차!E:E)</f>
        <v>0</v>
      </c>
      <c r="M165" s="37">
        <f t="shared" si="22"/>
        <v>0</v>
      </c>
      <c r="N165" s="41"/>
      <c r="O165" s="42"/>
      <c r="P165" s="125"/>
      <c r="Q165" s="8">
        <f>SUMIF(파손품!D:D,재고차이!B:B,파손품!I:I)+SUMIF(동파파손!D:D,재고차이!B:B,동파파손!I:I)</f>
        <v>0</v>
      </c>
      <c r="R165">
        <f t="shared" si="25"/>
        <v>0</v>
      </c>
    </row>
    <row r="166" spans="1:18" ht="18" hidden="1" customHeight="1" x14ac:dyDescent="0.3">
      <c r="A166" s="9">
        <v>1213</v>
      </c>
      <c r="B166" s="9" t="str">
        <f>VLOOKUP(A:A,제품등록!A:B,2,0)</f>
        <v>CA1213</v>
      </c>
      <c r="C166" s="31" t="str">
        <f>VLOOKUP(B166,제품등록!B:C,2,0)</f>
        <v>캐나다 토닉워터 300PET 4X6</v>
      </c>
      <c r="D166" s="9"/>
      <c r="E166" s="9">
        <v>104</v>
      </c>
      <c r="F166" s="2">
        <f>SUMIF('창고1(실사표)'!B:B,재고차이!A:A,'창고1(실사표)'!F:F)*D166+SUMIF('창고2(실사표)'!B:B,재고차이!A:A,'창고2(실사표)'!F:F)*D166+SUMIF('믹스(잔량실사표)'!B:B,재고차이!A:A,'믹스(잔량실사표)'!F:F)*D166</f>
        <v>0</v>
      </c>
      <c r="G166" s="2">
        <f>SUMIF('창고1(실사표)'!B:B,재고차이!A:A,'창고1(실사표)'!E:E)*E166+SUMIF('창고2(실사표)'!B:B,재고차이!A:A,'창고2(실사표)'!E:E)*E166+SUMIF('믹스(잔량실사표)'!B:B,재고차이!A:A,'믹스(잔량실사표)'!E:E)*E166</f>
        <v>0</v>
      </c>
      <c r="H16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6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66" s="2">
        <f t="shared" si="21"/>
        <v>0</v>
      </c>
      <c r="K166" s="2">
        <f>SUMIF(SAP!B:B,재고차이!B:B,SAP!Q:Q)</f>
        <v>0</v>
      </c>
      <c r="L166" s="2">
        <f>SUMIF(주간상차!A:A,재고차이!A:A,주간상차!E:E)</f>
        <v>0</v>
      </c>
      <c r="M166" s="37">
        <f t="shared" si="22"/>
        <v>0</v>
      </c>
      <c r="N166" s="41"/>
      <c r="O166" s="42"/>
      <c r="P166" s="125"/>
      <c r="Q166" s="8">
        <f>SUMIF(파손품!D:D,재고차이!B:B,파손품!I:I)+SUMIF(동파파손!D:D,재고차이!B:B,동파파손!I:I)</f>
        <v>0</v>
      </c>
      <c r="R166">
        <f t="shared" si="25"/>
        <v>0</v>
      </c>
    </row>
    <row r="167" spans="1:18" ht="18" hidden="1" customHeight="1" x14ac:dyDescent="0.3">
      <c r="A167" s="9">
        <v>1215</v>
      </c>
      <c r="B167" s="9" t="str">
        <f>VLOOKUP(A:A,제품등록!A:B,2,0)</f>
        <v>CA1215</v>
      </c>
      <c r="C167" s="31" t="str">
        <f>VLOOKUP(B167,제품등록!B:C,2,0)</f>
        <v>캐나다 진저에일 토닉 제로 300PET 4X6</v>
      </c>
      <c r="D167" s="9"/>
      <c r="E167" s="9">
        <v>104</v>
      </c>
      <c r="F167" s="2">
        <f>SUMIF('창고1(실사표)'!B:B,재고차이!A:A,'창고1(실사표)'!F:F)*D167+SUMIF('창고2(실사표)'!B:B,재고차이!A:A,'창고2(실사표)'!F:F)*D167+SUMIF('믹스(잔량실사표)'!B:B,재고차이!A:A,'믹스(잔량실사표)'!F:F)*D167</f>
        <v>0</v>
      </c>
      <c r="G167" s="2">
        <f>SUMIF('창고1(실사표)'!B:B,재고차이!A:A,'창고1(실사표)'!E:E)*E167+SUMIF('창고2(실사표)'!B:B,재고차이!A:A,'창고2(실사표)'!E:E)*E167+SUMIF('믹스(잔량실사표)'!B:B,재고차이!A:A,'믹스(잔량실사표)'!E:E)*E167</f>
        <v>0</v>
      </c>
      <c r="H16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6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67" s="2">
        <f t="shared" si="21"/>
        <v>0</v>
      </c>
      <c r="K167" s="2">
        <f>SUMIF(SAP!B:B,재고차이!B:B,SAP!Q:Q)</f>
        <v>0</v>
      </c>
      <c r="L167" s="2">
        <f>SUMIF(주간상차!A:A,재고차이!A:A,주간상차!E:E)</f>
        <v>0</v>
      </c>
      <c r="M167" s="37">
        <f t="shared" si="22"/>
        <v>0</v>
      </c>
      <c r="N167" s="41"/>
      <c r="O167" s="42"/>
      <c r="P167" s="125"/>
      <c r="Q167" s="8">
        <f>SUMIF(파손품!D:D,재고차이!B:B,파손품!I:I)+SUMIF(동파파손!D:D,재고차이!B:B,동파파손!I:I)</f>
        <v>0</v>
      </c>
      <c r="R167">
        <f t="shared" si="25"/>
        <v>0</v>
      </c>
    </row>
    <row r="168" spans="1:18" ht="18.75" hidden="1" customHeight="1" x14ac:dyDescent="0.3">
      <c r="A168" s="9">
        <v>8815</v>
      </c>
      <c r="B168" s="9" t="str">
        <f>VLOOKUP(A:A,제품등록!A:B,2,0)</f>
        <v>VJ8815</v>
      </c>
      <c r="C168" s="31" t="str">
        <f>VLOOKUP(B168,제품등록!B:C,2,0)</f>
        <v>휘오 제주 500P X20</v>
      </c>
      <c r="D168" s="9"/>
      <c r="E168" s="9">
        <v>112</v>
      </c>
      <c r="F168" s="2">
        <f>SUMIF('창고1(실사표)'!B:B,재고차이!A:A,'창고1(실사표)'!F:F)*D168+SUMIF('창고2(실사표)'!B:B,재고차이!A:A,'창고2(실사표)'!F:F)*D168+SUMIF('믹스(잔량실사표)'!B:B,재고차이!A:A,'믹스(잔량실사표)'!F:F)*D168</f>
        <v>0</v>
      </c>
      <c r="G168" s="2">
        <f>SUMIF('창고1(실사표)'!B:B,재고차이!A:A,'창고1(실사표)'!E:E)*E168+SUMIF('창고2(실사표)'!B:B,재고차이!A:A,'창고2(실사표)'!E:E)*E168+SUMIF('믹스(잔량실사표)'!B:B,재고차이!A:A,'믹스(잔량실사표)'!E:E)*E168</f>
        <v>0</v>
      </c>
      <c r="H16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6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68" s="2">
        <f t="shared" si="21"/>
        <v>0</v>
      </c>
      <c r="K168" s="2">
        <f>SUMIF(SAP!B:B,재고차이!B:B,SAP!Q:Q)</f>
        <v>0</v>
      </c>
      <c r="L168" s="2">
        <f>SUMIF(주간상차!A:A,재고차이!A:A,주간상차!E:E)</f>
        <v>0</v>
      </c>
      <c r="M168" s="37">
        <f t="shared" si="22"/>
        <v>0</v>
      </c>
      <c r="N168" s="41"/>
      <c r="O168" s="42"/>
      <c r="P168" s="125"/>
      <c r="Q168" s="8">
        <f>SUMIF(파손품!D:D,재고차이!B:B,파손품!I:I)+SUMIF(동파파손!D:D,재고차이!B:B,동파파손!I:I)</f>
        <v>0</v>
      </c>
      <c r="R168">
        <f t="shared" si="25"/>
        <v>0</v>
      </c>
    </row>
    <row r="169" spans="1:18" ht="18.75" hidden="1" customHeight="1" x14ac:dyDescent="0.3">
      <c r="A169" s="9">
        <v>8816</v>
      </c>
      <c r="B169" s="9" t="str">
        <f>VLOOKUP(A:A,제품등록!A:B,2,0)</f>
        <v>VJ8816</v>
      </c>
      <c r="C169" s="31" t="str">
        <f>VLOOKUP(B169,제품등록!B:C,2,0)</f>
        <v>휘오 제주 2.0P X6</v>
      </c>
      <c r="D169" s="9"/>
      <c r="E169" s="9">
        <v>80</v>
      </c>
      <c r="F169" s="2">
        <f>SUMIF('창고1(실사표)'!B:B,재고차이!A:A,'창고1(실사표)'!F:F)*D169+SUMIF('창고2(실사표)'!B:B,재고차이!A:A,'창고2(실사표)'!F:F)*D169+SUMIF('믹스(잔량실사표)'!B:B,재고차이!A:A,'믹스(잔량실사표)'!F:F)*D169</f>
        <v>0</v>
      </c>
      <c r="G169" s="2">
        <f>SUMIF('창고1(실사표)'!B:B,재고차이!A:A,'창고1(실사표)'!E:E)*E169+SUMIF('창고2(실사표)'!B:B,재고차이!A:A,'창고2(실사표)'!E:E)*E169+SUMIF('믹스(잔량실사표)'!B:B,재고차이!A:A,'믹스(잔량실사표)'!E:E)*E169</f>
        <v>0</v>
      </c>
      <c r="H169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6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69" s="2">
        <f t="shared" si="21"/>
        <v>0</v>
      </c>
      <c r="K169" s="2">
        <f>SUMIF(SAP!B:B,재고차이!B:B,SAP!Q:Q)</f>
        <v>0</v>
      </c>
      <c r="L169" s="2">
        <f>SUMIF(주간상차!A:A,재고차이!A:A,주간상차!E:E)</f>
        <v>0</v>
      </c>
      <c r="M169" s="37">
        <f t="shared" si="22"/>
        <v>0</v>
      </c>
      <c r="N169" s="41"/>
      <c r="O169" s="42"/>
      <c r="P169" s="125"/>
      <c r="Q169" s="8">
        <f>SUMIF(파손품!D:D,재고차이!B:B,파손품!I:I)+SUMIF(동파파손!D:D,재고차이!B:B,동파파손!I:I)</f>
        <v>0</v>
      </c>
      <c r="R169">
        <f t="shared" si="25"/>
        <v>0</v>
      </c>
    </row>
    <row r="170" spans="1:18" ht="18.75" hidden="1" customHeight="1" x14ac:dyDescent="0.3">
      <c r="A170" s="9">
        <v>8576</v>
      </c>
      <c r="B170" s="9" t="str">
        <f>VLOOKUP(A:A,제품등록!A:B,2,0)</f>
        <v>TR8576</v>
      </c>
      <c r="C170" s="31" t="str">
        <f>VLOOKUP(B170,제품등록!B:C,2,0)</f>
        <v>토레타 1.5PET 2X6</v>
      </c>
      <c r="D170" s="9"/>
      <c r="E170" s="9">
        <v>44</v>
      </c>
      <c r="F170" s="2">
        <f>SUMIF('창고1(실사표)'!B:B,재고차이!A:A,'창고1(실사표)'!F:F)*D170+SUMIF('창고2(실사표)'!B:B,재고차이!A:A,'창고2(실사표)'!F:F)*D170+SUMIF('믹스(잔량실사표)'!B:B,재고차이!A:A,'믹스(잔량실사표)'!F:F)*D170</f>
        <v>0</v>
      </c>
      <c r="G170" s="2">
        <f>SUMIF('창고1(실사표)'!B:B,재고차이!A:A,'창고1(실사표)'!E:E)*E170+SUMIF('창고2(실사표)'!B:B,재고차이!A:A,'창고2(실사표)'!E:E)*E170+SUMIF('믹스(잔량실사표)'!B:B,재고차이!A:A,'믹스(잔량실사표)'!E:E)*E170</f>
        <v>0</v>
      </c>
      <c r="H17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7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70" s="2">
        <f t="shared" ref="J170:J196" si="26">SUM(F170:I170)</f>
        <v>0</v>
      </c>
      <c r="K170" s="2">
        <f>SUMIF(SAP!B:B,재고차이!B:B,SAP!Q:Q)</f>
        <v>0</v>
      </c>
      <c r="L170" s="2">
        <f>SUMIF(주간상차!A:A,재고차이!A:A,주간상차!E:E)</f>
        <v>0</v>
      </c>
      <c r="M170" s="37">
        <f t="shared" ref="M170:M196" si="27">J170-K170-L170-N170+O170+Q170</f>
        <v>0</v>
      </c>
      <c r="N170" s="41"/>
      <c r="O170" s="42"/>
      <c r="P170" s="125"/>
      <c r="Q170" s="8">
        <f>SUMIF(파손품!D:D,재고차이!B:B,파손품!I:I)+SUMIF(동파파손!D:D,재고차이!B:B,동파파손!I:I)</f>
        <v>0</v>
      </c>
      <c r="R170">
        <f t="shared" si="25"/>
        <v>0</v>
      </c>
    </row>
    <row r="171" spans="1:18" ht="18.75" hidden="1" customHeight="1" x14ac:dyDescent="0.3">
      <c r="A171" s="9">
        <v>8584</v>
      </c>
      <c r="B171" s="9" t="str">
        <f>VLOOKUP(A:A,제품등록!A:B,2,0)</f>
        <v>TR8584</v>
      </c>
      <c r="C171" s="31" t="str">
        <f>VLOOKUP(B171,제품등록!B:C,2,0)</f>
        <v>토레타 로즈힙워터 500PET 4X6</v>
      </c>
      <c r="D171" s="9">
        <v>48</v>
      </c>
      <c r="E171" s="9">
        <v>60</v>
      </c>
      <c r="F171" s="2">
        <f>SUMIF('창고1(실사표)'!B:B,재고차이!A:A,'창고1(실사표)'!F:F)*D171+SUMIF('창고2(실사표)'!B:B,재고차이!A:A,'창고2(실사표)'!F:F)*D171+SUMIF('믹스(잔량실사표)'!B:B,재고차이!A:A,'믹스(잔량실사표)'!F:F)*D171</f>
        <v>0</v>
      </c>
      <c r="G171" s="2">
        <f>SUMIF('창고1(실사표)'!B:B,재고차이!A:A,'창고1(실사표)'!E:E)*E171+SUMIF('창고2(실사표)'!B:B,재고차이!A:A,'창고2(실사표)'!E:E)*E171+SUMIF('믹스(잔량실사표)'!B:B,재고차이!A:A,'믹스(잔량실사표)'!E:E)*E171</f>
        <v>0</v>
      </c>
      <c r="H171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7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71" s="2">
        <f t="shared" si="26"/>
        <v>0</v>
      </c>
      <c r="K171" s="2">
        <f>SUMIF(SAP!B:B,재고차이!B:B,SAP!Q:Q)</f>
        <v>0</v>
      </c>
      <c r="L171" s="2">
        <f>SUMIF(주간상차!A:A,재고차이!A:A,주간상차!E:E)</f>
        <v>0</v>
      </c>
      <c r="M171" s="37">
        <f t="shared" si="27"/>
        <v>0</v>
      </c>
      <c r="N171" s="41"/>
      <c r="O171" s="42"/>
      <c r="P171" s="125"/>
      <c r="Q171" s="8">
        <f>SUMIF(파손품!D:D,재고차이!B:B,파손품!I:I)+SUMIF(동파파손!D:D,재고차이!B:B,동파파손!I:I)</f>
        <v>0</v>
      </c>
      <c r="R171">
        <f t="shared" si="25"/>
        <v>0</v>
      </c>
    </row>
    <row r="172" spans="1:18" ht="18.75" hidden="1" customHeight="1" x14ac:dyDescent="0.3">
      <c r="A172" s="9">
        <v>3181</v>
      </c>
      <c r="B172" s="9" t="str">
        <f>VLOOKUP(A:A,제품등록!A:B,2,0)</f>
        <v>WT3181</v>
      </c>
      <c r="C172" s="31" t="str">
        <f>VLOOKUP(B172,제품등록!B:C,2,0)</f>
        <v>W차 식후비법 500PET 4X6</v>
      </c>
      <c r="D172" s="9">
        <v>40</v>
      </c>
      <c r="E172" s="9">
        <v>70</v>
      </c>
      <c r="F172" s="2">
        <f>SUMIF('창고1(실사표)'!B:B,재고차이!A:A,'창고1(실사표)'!F:F)*D172+SUMIF('창고2(실사표)'!B:B,재고차이!A:A,'창고2(실사표)'!F:F)*D172+SUMIF('믹스(잔량실사표)'!B:B,재고차이!A:A,'믹스(잔량실사표)'!F:F)*D172</f>
        <v>0</v>
      </c>
      <c r="G172" s="2">
        <f>SUMIF('창고1(실사표)'!B:B,재고차이!A:A,'창고1(실사표)'!E:E)*E172+SUMIF('창고2(실사표)'!B:B,재고차이!A:A,'창고2(실사표)'!E:E)*E172+SUMIF('믹스(잔량실사표)'!B:B,재고차이!A:A,'믹스(잔량실사표)'!E:E)*E172</f>
        <v>0</v>
      </c>
      <c r="H172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7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72" s="2">
        <f t="shared" si="26"/>
        <v>0</v>
      </c>
      <c r="K172" s="2">
        <f>SUMIF(SAP!B:B,재고차이!B:B,SAP!Q:Q)</f>
        <v>0</v>
      </c>
      <c r="L172" s="2">
        <f>SUMIF(주간상차!A:A,재고차이!A:A,주간상차!E:E)</f>
        <v>0</v>
      </c>
      <c r="M172" s="37">
        <f t="shared" si="27"/>
        <v>0</v>
      </c>
      <c r="N172" s="41"/>
      <c r="O172" s="42"/>
      <c r="P172" s="125"/>
      <c r="Q172" s="8">
        <f>SUMIF(파손품!D:D,재고차이!B:B,파손품!I:I)+SUMIF(동파파손!D:D,재고차이!B:B,동파파손!I:I)</f>
        <v>0</v>
      </c>
      <c r="R172">
        <f t="shared" si="25"/>
        <v>0</v>
      </c>
    </row>
    <row r="173" spans="1:18" ht="18.75" hidden="1" customHeight="1" x14ac:dyDescent="0.3">
      <c r="A173" s="9">
        <v>8811</v>
      </c>
      <c r="B173" s="9" t="str">
        <f>VLOOKUP(A:A,제품등록!A:B,2,0)</f>
        <v>VS8811</v>
      </c>
      <c r="C173" s="31" t="str">
        <f>VLOOKUP(B173,제품등록!B:C,2,0)</f>
        <v>휘오철원순수500P X20</v>
      </c>
      <c r="D173" s="9">
        <v>72</v>
      </c>
      <c r="E173" s="9">
        <v>96</v>
      </c>
      <c r="F173" s="2">
        <f>SUMIF('창고1(실사표)'!B:B,재고차이!A:A,'창고1(실사표)'!F:F)*D173+SUMIF('창고2(실사표)'!B:B,재고차이!A:A,'창고2(실사표)'!F:F)*D173+SUMIF('믹스(잔량실사표)'!B:B,재고차이!A:A,'믹스(잔량실사표)'!F:F)*D173</f>
        <v>0</v>
      </c>
      <c r="G173" s="2">
        <f>SUMIF('창고1(실사표)'!B:B,재고차이!A:A,'창고1(실사표)'!E:E)*E173+SUMIF('창고2(실사표)'!B:B,재고차이!A:A,'창고2(실사표)'!E:E)*E173+SUMIF('믹스(잔량실사표)'!B:B,재고차이!A:A,'믹스(잔량실사표)'!E:E)*E173</f>
        <v>0</v>
      </c>
      <c r="H173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7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73" s="2">
        <f t="shared" si="26"/>
        <v>0</v>
      </c>
      <c r="K173" s="2">
        <f>SUMIF(SAP!B:B,재고차이!B:B,SAP!Q:Q)</f>
        <v>0</v>
      </c>
      <c r="L173" s="2">
        <f>SUMIF(주간상차!A:A,재고차이!A:A,주간상차!E:E)</f>
        <v>0</v>
      </c>
      <c r="M173" s="37">
        <f t="shared" si="27"/>
        <v>0</v>
      </c>
      <c r="N173" s="41"/>
      <c r="O173" s="42"/>
      <c r="P173" s="125"/>
      <c r="Q173" s="8">
        <f>SUMIF(파손품!D:D,재고차이!B:B,파손품!I:I)+SUMIF(동파파손!D:D,재고차이!B:B,동파파손!I:I)</f>
        <v>0</v>
      </c>
      <c r="R173">
        <f t="shared" si="25"/>
        <v>0</v>
      </c>
    </row>
    <row r="174" spans="1:18" ht="18.75" hidden="1" customHeight="1" x14ac:dyDescent="0.3">
      <c r="A174" s="9">
        <v>8812</v>
      </c>
      <c r="B174" s="9" t="str">
        <f>VLOOKUP(A:A,제품등록!A:B,2,0)</f>
        <v>VS8812</v>
      </c>
      <c r="C174" s="31" t="str">
        <f>VLOOKUP(B174,제품등록!B:C,2,0)</f>
        <v>휘오철원순수2.0P X6</v>
      </c>
      <c r="D174" s="9">
        <v>60</v>
      </c>
      <c r="E174" s="9">
        <v>80</v>
      </c>
      <c r="F174" s="2">
        <f>SUMIF('창고1(실사표)'!B:B,재고차이!A:A,'창고1(실사표)'!F:F)*D174+SUMIF('창고2(실사표)'!B:B,재고차이!A:A,'창고2(실사표)'!F:F)*D174+SUMIF('믹스(잔량실사표)'!B:B,재고차이!A:A,'믹스(잔량실사표)'!F:F)*D174</f>
        <v>0</v>
      </c>
      <c r="G174" s="2">
        <f>SUMIF('창고1(실사표)'!B:B,재고차이!A:A,'창고1(실사표)'!E:E)*E174+SUMIF('창고2(실사표)'!B:B,재고차이!A:A,'창고2(실사표)'!E:E)*E174+SUMIF('믹스(잔량실사표)'!B:B,재고차이!A:A,'믹스(잔량실사표)'!E:E)*E174</f>
        <v>0</v>
      </c>
      <c r="H17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7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74" s="2">
        <f t="shared" si="26"/>
        <v>0</v>
      </c>
      <c r="K174" s="2">
        <f>SUMIF(SAP!B:B,재고차이!B:B,SAP!Q:Q)</f>
        <v>0</v>
      </c>
      <c r="L174" s="2">
        <f>SUMIF(주간상차!A:A,재고차이!A:A,주간상차!E:E)</f>
        <v>0</v>
      </c>
      <c r="M174" s="37">
        <f t="shared" si="27"/>
        <v>0</v>
      </c>
      <c r="N174" s="41"/>
      <c r="O174" s="42"/>
      <c r="P174" s="125"/>
      <c r="Q174" s="8">
        <f>SUMIF(파손품!D:D,재고차이!B:B,파손품!I:I)+SUMIF(동파파손!D:D,재고차이!B:B,동파파손!I:I)</f>
        <v>0</v>
      </c>
      <c r="R174">
        <f t="shared" si="25"/>
        <v>0</v>
      </c>
    </row>
    <row r="175" spans="1:18" ht="18.75" hidden="1" customHeight="1" x14ac:dyDescent="0.3">
      <c r="A175" s="9">
        <v>3182</v>
      </c>
      <c r="B175" s="9" t="str">
        <f>VLOOKUP(A:A,제품등록!A:B,2,0)</f>
        <v>WT3182</v>
      </c>
      <c r="C175" s="31" t="str">
        <f>VLOOKUP(B175,제품등록!B:C,2,0)</f>
        <v>W차 신체건강 500PET 4X6</v>
      </c>
      <c r="D175" s="9">
        <v>40</v>
      </c>
      <c r="E175" s="9">
        <v>70</v>
      </c>
      <c r="F175" s="2">
        <f>SUMIF('창고1(실사표)'!B:B,재고차이!A:A,'창고1(실사표)'!F:F)*D175+SUMIF('창고2(실사표)'!B:B,재고차이!A:A,'창고2(실사표)'!F:F)*D175+SUMIF('믹스(잔량실사표)'!B:B,재고차이!A:A,'믹스(잔량실사표)'!F:F)*D175</f>
        <v>0</v>
      </c>
      <c r="G175" s="2">
        <f>SUMIF('창고1(실사표)'!B:B,재고차이!A:A,'창고1(실사표)'!E:E)*E175+SUMIF('창고2(실사표)'!B:B,재고차이!A:A,'창고2(실사표)'!E:E)*E175+SUMIF('믹스(잔량실사표)'!B:B,재고차이!A:A,'믹스(잔량실사표)'!E:E)*E175</f>
        <v>0</v>
      </c>
      <c r="H17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7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75" s="2">
        <f t="shared" si="26"/>
        <v>0</v>
      </c>
      <c r="K175" s="2">
        <f>SUMIF(SAP!B:B,재고차이!B:B,SAP!Q:Q)</f>
        <v>0</v>
      </c>
      <c r="L175" s="2">
        <f>SUMIF(주간상차!A:A,재고차이!A:A,주간상차!E:E)</f>
        <v>0</v>
      </c>
      <c r="M175" s="37">
        <f t="shared" si="27"/>
        <v>0</v>
      </c>
      <c r="N175" s="41"/>
      <c r="O175" s="42"/>
      <c r="P175" s="125"/>
      <c r="Q175" s="8">
        <f>SUMIF(파손품!D:D,재고차이!B:B,파손품!I:I)+SUMIF(동파파손!D:D,재고차이!B:B,동파파손!I:I)</f>
        <v>0</v>
      </c>
      <c r="R175">
        <f t="shared" si="25"/>
        <v>0</v>
      </c>
    </row>
    <row r="176" spans="1:18" ht="18.75" hidden="1" customHeight="1" x14ac:dyDescent="0.3">
      <c r="A176" s="9">
        <v>6280</v>
      </c>
      <c r="B176" s="9" t="str">
        <f>VLOOKUP(A:A,제품등록!A:B,2,0)</f>
        <v>PA6280</v>
      </c>
      <c r="C176" s="31" t="str">
        <f>VLOOKUP(B176,제품등록!B:C,2,0)</f>
        <v>파워에이드 프로틴 355PET 4X6</v>
      </c>
      <c r="D176" s="9"/>
      <c r="E176" s="9">
        <v>80</v>
      </c>
      <c r="F176" s="2">
        <f>SUMIF('창고1(실사표)'!B:B,재고차이!A:A,'창고1(실사표)'!F:F)*D176+SUMIF('창고2(실사표)'!B:B,재고차이!A:A,'창고2(실사표)'!F:F)*D176+SUMIF('믹스(잔량실사표)'!B:B,재고차이!A:A,'믹스(잔량실사표)'!F:F)*D176</f>
        <v>0</v>
      </c>
      <c r="G176" s="2">
        <f>SUMIF('창고1(실사표)'!B:B,재고차이!A:A,'창고1(실사표)'!E:E)*E176+SUMIF('창고2(실사표)'!B:B,재고차이!A:A,'창고2(실사표)'!E:E)*E176+SUMIF('믹스(잔량실사표)'!B:B,재고차이!A:A,'믹스(잔량실사표)'!E:E)*E176</f>
        <v>0</v>
      </c>
      <c r="H17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7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76" s="2">
        <f t="shared" si="26"/>
        <v>0</v>
      </c>
      <c r="K176" s="2">
        <f>SUMIF(SAP!B:B,재고차이!B:B,SAP!Q:Q)</f>
        <v>0</v>
      </c>
      <c r="L176" s="2">
        <f>SUMIF(주간상차!A:A,재고차이!A:A,주간상차!E:E)</f>
        <v>0</v>
      </c>
      <c r="M176" s="37">
        <f t="shared" si="27"/>
        <v>0</v>
      </c>
      <c r="N176" s="41"/>
      <c r="O176" s="42"/>
      <c r="P176" s="125"/>
      <c r="Q176" s="8">
        <f>SUMIF(파손품!D:D,재고차이!B:B,파손품!I:I)+SUMIF(동파파손!D:D,재고차이!B:B,동파파손!I:I)</f>
        <v>0</v>
      </c>
      <c r="R176">
        <f t="shared" si="25"/>
        <v>0</v>
      </c>
    </row>
    <row r="177" spans="1:18" ht="18.75" customHeight="1" x14ac:dyDescent="0.3">
      <c r="A177" s="197" t="s">
        <v>1629</v>
      </c>
      <c r="B177" s="9" t="str">
        <f>VLOOKUP(A:A,제품등록!A:B,2,0)</f>
        <v>PA0002</v>
      </c>
      <c r="C177" s="31" t="str">
        <f>VLOOKUP(B177,제품등록!B:C,2,0)</f>
        <v>파워 제로 마운틴블라 600PET 4X6</v>
      </c>
      <c r="D177" s="9"/>
      <c r="E177" s="9">
        <v>48</v>
      </c>
      <c r="F177" s="2">
        <f>SUMIF('창고1(실사표)'!B:B,재고차이!A:A,'창고1(실사표)'!F:F)*D177+SUMIF('창고2(실사표)'!B:B,재고차이!A:A,'창고2(실사표)'!F:F)*D177+SUMIF('믹스(잔량실사표)'!B:B,재고차이!A:A,'믹스(잔량실사표)'!F:F)*D177</f>
        <v>0</v>
      </c>
      <c r="G177" s="2">
        <f>SUMIF('창고1(실사표)'!B:B,재고차이!A:A,'창고1(실사표)'!E:E)*E177+SUMIF('창고2(실사표)'!B:B,재고차이!A:A,'창고2(실사표)'!E:E)*E177+SUMIF('믹스(잔량실사표)'!B:B,재고차이!A:A,'믹스(잔량실사표)'!E:E)*E177</f>
        <v>1488</v>
      </c>
      <c r="H177" s="2">
        <f>SUMIF('창고1(실사표)'!B:B,재고차이!A:A,'창고1(실사표)'!G:G)+SUMIF('창고2(실사표)'!B:B,재고차이!A:A,'창고2(실사표)'!G:G)++SUMIF('믹스(잔량실사표)'!B:B,재고차이!A:A,'믹스(잔량실사표)'!G:G)</f>
        <v>44</v>
      </c>
      <c r="I17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77" s="2">
        <f t="shared" si="26"/>
        <v>1532</v>
      </c>
      <c r="K177" s="2">
        <f>SUMIF(SAP!B:B,재고차이!B:B,SAP!Q:Q)</f>
        <v>1436</v>
      </c>
      <c r="L177" s="2">
        <f>SUMIF(주간상차!A:A,재고차이!A:A,주간상차!E:E)</f>
        <v>96</v>
      </c>
      <c r="M177" s="37">
        <f t="shared" si="27"/>
        <v>0</v>
      </c>
      <c r="N177" s="41"/>
      <c r="O177" s="42"/>
      <c r="P177" s="125"/>
      <c r="Q177" s="8">
        <f>SUMIF(파손품!D:D,재고차이!B:B,파손품!I:I)+SUMIF(동파파손!D:D,재고차이!B:B,동파파손!I:I)</f>
        <v>0</v>
      </c>
      <c r="R177">
        <f t="shared" si="25"/>
        <v>0</v>
      </c>
    </row>
    <row r="178" spans="1:18" ht="18.75" customHeight="1" x14ac:dyDescent="0.3">
      <c r="A178" s="9">
        <v>1007</v>
      </c>
      <c r="B178" s="9" t="str">
        <f>VLOOKUP(A:A,제품등록!A:B,2,0)</f>
        <v>PA1007</v>
      </c>
      <c r="C178" s="31" t="str">
        <f>VLOOKUP(B178,제품등록!B:C,2,0)</f>
        <v>S)파워 제로 라임향 600PET 4X6</v>
      </c>
      <c r="D178" s="9"/>
      <c r="E178" s="9">
        <v>48</v>
      </c>
      <c r="F178" s="2">
        <f>SUMIF('창고1(실사표)'!B:B,재고차이!A:A,'창고1(실사표)'!F:F)*D178+SUMIF('창고2(실사표)'!B:B,재고차이!A:A,'창고2(실사표)'!F:F)*D178+SUMIF('믹스(잔량실사표)'!B:B,재고차이!A:A,'믹스(잔량실사표)'!F:F)*D178</f>
        <v>0</v>
      </c>
      <c r="G178" s="2">
        <f>SUMIF('창고1(실사표)'!B:B,재고차이!A:A,'창고1(실사표)'!E:E)*E178+SUMIF('창고2(실사표)'!B:B,재고차이!A:A,'창고2(실사표)'!E:E)*E178+SUMIF('믹스(잔량실사표)'!B:B,재고차이!A:A,'믹스(잔량실사표)'!E:E)*E178</f>
        <v>5328</v>
      </c>
      <c r="H178" s="2">
        <f>SUMIF('창고1(실사표)'!B:B,재고차이!A:A,'창고1(실사표)'!G:G)+SUMIF('창고2(실사표)'!B:B,재고차이!A:A,'창고2(실사표)'!G:G)++SUMIF('믹스(잔량실사표)'!B:B,재고차이!A:A,'믹스(잔량실사표)'!G:G)</f>
        <v>9</v>
      </c>
      <c r="I17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78" s="2">
        <f t="shared" si="26"/>
        <v>5337</v>
      </c>
      <c r="K178" s="2">
        <f>SUMIF(SAP!B:B,재고차이!B:B,SAP!Q:Q)</f>
        <v>4233</v>
      </c>
      <c r="L178" s="2">
        <f>SUMIF(주간상차!A:A,재고차이!A:A,주간상차!E:E)</f>
        <v>1104</v>
      </c>
      <c r="M178" s="37">
        <f t="shared" si="27"/>
        <v>0</v>
      </c>
      <c r="N178" s="41"/>
      <c r="O178" s="42"/>
      <c r="P178" s="125"/>
      <c r="Q178" s="8">
        <f>SUMIF(파손품!D:D,재고차이!B:B,파손품!I:I)+SUMIF(동파파손!D:D,재고차이!B:B,동파파손!I:I)</f>
        <v>0</v>
      </c>
      <c r="R178">
        <f t="shared" si="25"/>
        <v>0</v>
      </c>
    </row>
    <row r="179" spans="1:18" ht="18.75" hidden="1" customHeight="1" x14ac:dyDescent="0.3">
      <c r="A179" s="9">
        <v>8275</v>
      </c>
      <c r="B179" s="9" t="str">
        <f>VLOOKUP(A:A,제품등록!A:B,2,0)</f>
        <v>GG8275</v>
      </c>
      <c r="C179" s="31" t="str">
        <f>VLOOKUP(B179,제품등록!B:C,2,0)</f>
        <v>조지아 크래프트 콜드블랙 470PET 4X6</v>
      </c>
      <c r="D179" s="9"/>
      <c r="E179" s="9">
        <v>56</v>
      </c>
      <c r="F179" s="2">
        <f>SUMIF('창고1(실사표)'!B:B,재고차이!A:A,'창고1(실사표)'!F:F)*D179+SUMIF('창고2(실사표)'!B:B,재고차이!A:A,'창고2(실사표)'!F:F)*D179+SUMIF('믹스(잔량실사표)'!B:B,재고차이!A:A,'믹스(잔량실사표)'!F:F)*D179</f>
        <v>0</v>
      </c>
      <c r="G179" s="2">
        <f>SUMIF('창고1(실사표)'!B:B,재고차이!A:A,'창고1(실사표)'!E:E)*E179+SUMIF('창고2(실사표)'!B:B,재고차이!A:A,'창고2(실사표)'!E:E)*E179+SUMIF('믹스(잔량실사표)'!B:B,재고차이!A:A,'믹스(잔량실사표)'!E:E)*E179</f>
        <v>0</v>
      </c>
      <c r="H179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7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79" s="2">
        <f t="shared" si="26"/>
        <v>0</v>
      </c>
      <c r="K179" s="2">
        <f>SUMIF(SAP!B:B,재고차이!B:B,SAP!Q:Q)</f>
        <v>0</v>
      </c>
      <c r="L179" s="2">
        <f>SUMIF(주간상차!A:A,재고차이!A:A,주간상차!E:E)</f>
        <v>0</v>
      </c>
      <c r="M179" s="37">
        <f t="shared" si="27"/>
        <v>0</v>
      </c>
      <c r="N179" s="41"/>
      <c r="O179" s="42"/>
      <c r="P179" s="125"/>
      <c r="Q179" s="8">
        <f>SUMIF(파손품!D:D,재고차이!B:B,파손품!I:I)+SUMIF(동파파손!D:D,재고차이!B:B,동파파손!I:I)</f>
        <v>0</v>
      </c>
      <c r="R179">
        <f t="shared" si="25"/>
        <v>0</v>
      </c>
    </row>
    <row r="180" spans="1:18" ht="18.75" customHeight="1" x14ac:dyDescent="0.3">
      <c r="A180" s="9">
        <v>6277</v>
      </c>
      <c r="B180" s="9" t="str">
        <f>VLOOKUP(A:A,제품등록!A:B,2,0)</f>
        <v>PA6277</v>
      </c>
      <c r="C180" s="31" t="str">
        <f>VLOOKUP(B180,제품등록!B:C,2,0)</f>
        <v>파워 퍼플스톰 600PET 4X6</v>
      </c>
      <c r="D180" s="9"/>
      <c r="E180" s="9">
        <v>48</v>
      </c>
      <c r="F180" s="2">
        <f>SUMIF('창고1(실사표)'!B:B,재고차이!A:A,'창고1(실사표)'!F:F)*D180+SUMIF('창고2(실사표)'!B:B,재고차이!A:A,'창고2(실사표)'!F:F)*D180+SUMIF('믹스(잔량실사표)'!B:B,재고차이!A:A,'믹스(잔량실사표)'!F:F)*D180</f>
        <v>0</v>
      </c>
      <c r="G180" s="2">
        <f>SUMIF('창고1(실사표)'!B:B,재고차이!A:A,'창고1(실사표)'!E:E)*E180+SUMIF('창고2(실사표)'!B:B,재고차이!A:A,'창고2(실사표)'!E:E)*E180+SUMIF('믹스(잔량실사표)'!B:B,재고차이!A:A,'믹스(잔량실사표)'!E:E)*E180</f>
        <v>1536</v>
      </c>
      <c r="H180" s="2">
        <f>SUMIF('창고1(실사표)'!B:B,재고차이!A:A,'창고1(실사표)'!G:G)+SUMIF('창고2(실사표)'!B:B,재고차이!A:A,'창고2(실사표)'!G:G)++SUMIF('믹스(잔량실사표)'!B:B,재고차이!A:A,'믹스(잔량실사표)'!G:G)</f>
        <v>2</v>
      </c>
      <c r="I18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80" s="2">
        <f t="shared" si="26"/>
        <v>1538</v>
      </c>
      <c r="K180" s="2">
        <f>SUMIF(SAP!B:B,재고차이!B:B,SAP!Q:Q)</f>
        <v>818</v>
      </c>
      <c r="L180" s="2">
        <f>SUMIF(주간상차!A:A,재고차이!A:A,주간상차!E:E)</f>
        <v>720</v>
      </c>
      <c r="M180" s="37">
        <f t="shared" si="27"/>
        <v>0</v>
      </c>
      <c r="N180" s="41"/>
      <c r="O180" s="42"/>
      <c r="P180" s="125"/>
      <c r="Q180" s="8">
        <f>SUMIF(파손품!D:D,재고차이!B:B,파손품!I:I)+SUMIF(동파파손!D:D,재고차이!B:B,동파파손!I:I)</f>
        <v>0</v>
      </c>
      <c r="R180">
        <f t="shared" si="25"/>
        <v>0</v>
      </c>
    </row>
    <row r="181" spans="1:18" ht="18.75" customHeight="1" x14ac:dyDescent="0.3">
      <c r="A181" s="9">
        <v>6285</v>
      </c>
      <c r="B181" s="9" t="str">
        <f>VLOOKUP(A:A,제품등록!A:B,2,0)</f>
        <v>PA6285</v>
      </c>
      <c r="C181" s="31" t="str">
        <f>VLOOKUP(B181,제품등록!B:C,2,0)</f>
        <v>S)파워 스칼렛스톰 600PET 4X6</v>
      </c>
      <c r="D181" s="9"/>
      <c r="E181" s="9">
        <v>48</v>
      </c>
      <c r="F181" s="2">
        <f>SUMIF('창고1(실사표)'!B:B,재고차이!A:A,'창고1(실사표)'!F:F)*D181+SUMIF('창고2(실사표)'!B:B,재고차이!A:A,'창고2(실사표)'!F:F)*D181+SUMIF('믹스(잔량실사표)'!B:B,재고차이!A:A,'믹스(잔량실사표)'!F:F)*D181</f>
        <v>0</v>
      </c>
      <c r="G181" s="2">
        <f>SUMIF('창고1(실사표)'!B:B,재고차이!A:A,'창고1(실사표)'!E:E)*E181+SUMIF('창고2(실사표)'!B:B,재고차이!A:A,'창고2(실사표)'!E:E)*E181+SUMIF('믹스(잔량실사표)'!B:B,재고차이!A:A,'믹스(잔량실사표)'!E:E)*E181</f>
        <v>1728</v>
      </c>
      <c r="H181" s="2">
        <f>SUMIF('창고1(실사표)'!B:B,재고차이!A:A,'창고1(실사표)'!G:G)+SUMIF('창고2(실사표)'!B:B,재고차이!A:A,'창고2(실사표)'!G:G)++SUMIF('믹스(잔량실사표)'!B:B,재고차이!A:A,'믹스(잔량실사표)'!G:G)</f>
        <v>36</v>
      </c>
      <c r="I18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81" s="2">
        <f t="shared" si="26"/>
        <v>1764</v>
      </c>
      <c r="K181" s="2">
        <f>SUMIF(SAP!B:B,재고차이!B:B,SAP!Q:Q)</f>
        <v>996</v>
      </c>
      <c r="L181" s="2">
        <f>SUMIF(주간상차!A:A,재고차이!A:A,주간상차!E:E)</f>
        <v>768</v>
      </c>
      <c r="M181" s="37">
        <f t="shared" si="27"/>
        <v>0</v>
      </c>
      <c r="N181" s="41"/>
      <c r="O181" s="42"/>
      <c r="P181" s="125"/>
      <c r="Q181" s="8">
        <f>SUMIF(파손품!D:D,재고차이!B:B,파손품!I:I)+SUMIF(동파파손!D:D,재고차이!B:B,동파파손!I:I)</f>
        <v>0</v>
      </c>
      <c r="R181">
        <f t="shared" si="25"/>
        <v>0</v>
      </c>
    </row>
    <row r="182" spans="1:18" ht="19.5" customHeight="1" x14ac:dyDescent="0.3">
      <c r="A182" s="9">
        <v>6871</v>
      </c>
      <c r="B182" s="9" t="str">
        <f>VLOOKUP(A:A,제품등록!A:B,2,0)</f>
        <v>PA6871</v>
      </c>
      <c r="C182" s="31" t="str">
        <f>VLOOKUP(B182,제품등록!B:C,2,0)</f>
        <v>S)파워 마운틴블라 600PET 4X6</v>
      </c>
      <c r="D182" s="9"/>
      <c r="E182" s="9">
        <v>48</v>
      </c>
      <c r="F182" s="2">
        <f>SUMIF('창고1(실사표)'!B:B,재고차이!A:A,'창고1(실사표)'!F:F)*D182+SUMIF('창고2(실사표)'!B:B,재고차이!A:A,'창고2(실사표)'!F:F)*D182+SUMIF('믹스(잔량실사표)'!B:B,재고차이!A:A,'믹스(잔량실사표)'!F:F)*D182</f>
        <v>0</v>
      </c>
      <c r="G182" s="2">
        <f>SUMIF('창고1(실사표)'!B:B,재고차이!A:A,'창고1(실사표)'!E:E)*E182+SUMIF('창고2(실사표)'!B:B,재고차이!A:A,'창고2(실사표)'!E:E)*E182+SUMIF('믹스(잔량실사표)'!B:B,재고차이!A:A,'믹스(잔량실사표)'!E:E)*E182</f>
        <v>2496</v>
      </c>
      <c r="H182" s="2">
        <f>SUMIF('창고1(실사표)'!B:B,재고차이!A:A,'창고1(실사표)'!G:G)+SUMIF('창고2(실사표)'!B:B,재고차이!A:A,'창고2(실사표)'!G:G)++SUMIF('믹스(잔량실사표)'!B:B,재고차이!A:A,'믹스(잔량실사표)'!G:G)</f>
        <v>39</v>
      </c>
      <c r="I18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82" s="2">
        <f t="shared" si="26"/>
        <v>2535</v>
      </c>
      <c r="K182" s="2">
        <f>SUMIF(SAP!B:B,재고차이!B:B,SAP!Q:Q)</f>
        <v>711</v>
      </c>
      <c r="L182" s="2">
        <f>SUMIF(주간상차!A:A,재고차이!A:A,주간상차!E:E)</f>
        <v>1824</v>
      </c>
      <c r="M182" s="37">
        <f t="shared" si="27"/>
        <v>0</v>
      </c>
      <c r="N182" s="41"/>
      <c r="O182" s="42"/>
      <c r="P182" s="125"/>
      <c r="Q182" s="8">
        <f>SUMIF(파손품!D:D,재고차이!B:B,파손품!I:I)+SUMIF(동파파손!D:D,재고차이!B:B,동파파손!I:I)</f>
        <v>0</v>
      </c>
      <c r="R182">
        <f t="shared" ref="R182:R188" si="28">M182/E182</f>
        <v>0</v>
      </c>
    </row>
    <row r="183" spans="1:18" ht="19.5" customHeight="1" x14ac:dyDescent="0.3">
      <c r="A183" s="9">
        <v>8521</v>
      </c>
      <c r="B183" s="9" t="str">
        <f>VLOOKUP(A:A,제품등록!A:B,2,0)</f>
        <v>PA8521</v>
      </c>
      <c r="C183" s="31" t="str">
        <f>VLOOKUP(B183,제품등록!B:C,2,0)</f>
        <v>파워M/B 240CAN 5X6</v>
      </c>
      <c r="D183" s="9">
        <v>99</v>
      </c>
      <c r="E183" s="9">
        <v>132</v>
      </c>
      <c r="F183" s="2">
        <f>SUMIF('창고1(실사표)'!B:B,재고차이!A:A,'창고1(실사표)'!F:F)*D183+SUMIF('창고2(실사표)'!B:B,재고차이!A:A,'창고2(실사표)'!F:F)*D183+SUMIF('믹스(잔량실사표)'!B:B,재고차이!A:A,'믹스(잔량실사표)'!F:F)*D183</f>
        <v>0</v>
      </c>
      <c r="G183" s="2">
        <f>SUMIF('창고1(실사표)'!B:B,재고차이!A:A,'창고1(실사표)'!E:E)*E183+SUMIF('창고2(실사표)'!B:B,재고차이!A:A,'창고2(실사표)'!E:E)*E183+SUMIF('믹스(잔량실사표)'!B:B,재고차이!A:A,'믹스(잔량실사표)'!E:E)*E183</f>
        <v>2508</v>
      </c>
      <c r="H183" s="2">
        <f>SUMIF('창고1(실사표)'!B:B,재고차이!A:A,'창고1(실사표)'!G:G)+SUMIF('창고2(실사표)'!B:B,재고차이!A:A,'창고2(실사표)'!G:G)++SUMIF('믹스(잔량실사표)'!B:B,재고차이!A:A,'믹스(잔량실사표)'!G:G)</f>
        <v>45</v>
      </c>
      <c r="I18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83" s="2">
        <f t="shared" si="26"/>
        <v>2553</v>
      </c>
      <c r="K183" s="2">
        <f>SUMIF(SAP!B:B,재고차이!B:B,SAP!Q:Q)</f>
        <v>2553</v>
      </c>
      <c r="L183" s="2">
        <f>SUMIF(주간상차!A:A,재고차이!A:A,주간상차!E:E)</f>
        <v>0</v>
      </c>
      <c r="M183" s="37">
        <f t="shared" si="27"/>
        <v>0</v>
      </c>
      <c r="N183" s="41"/>
      <c r="O183" s="42"/>
      <c r="P183" s="125"/>
      <c r="Q183" s="8">
        <f>SUMIF(파손품!D:D,재고차이!B:B,파손품!I:I)+SUMIF(동파파손!D:D,재고차이!B:B,동파파손!I:I)</f>
        <v>0</v>
      </c>
      <c r="R183">
        <f t="shared" si="28"/>
        <v>0</v>
      </c>
    </row>
    <row r="184" spans="1:18" ht="18.75" customHeight="1" x14ac:dyDescent="0.3">
      <c r="A184" s="9">
        <v>8541</v>
      </c>
      <c r="B184" s="9" t="str">
        <f>VLOOKUP(A:A,제품등록!A:B,2,0)</f>
        <v>PA8541</v>
      </c>
      <c r="C184" s="31" t="str">
        <f>VLOOKUP(B184,제품등록!B:C,2,0)</f>
        <v>파워마운틴소분1.5P 2X6</v>
      </c>
      <c r="D184" s="9">
        <v>32</v>
      </c>
      <c r="E184" s="9">
        <v>44</v>
      </c>
      <c r="F184" s="2">
        <f>SUMIF('창고1(실사표)'!B:B,재고차이!A:A,'창고1(실사표)'!F:F)*D184+SUMIF('창고2(실사표)'!B:B,재고차이!A:A,'창고2(실사표)'!F:F)*D184+SUMIF('믹스(잔량실사표)'!B:B,재고차이!A:A,'믹스(잔량실사표)'!F:F)*D184</f>
        <v>0</v>
      </c>
      <c r="G184" s="2">
        <f>SUMIF('창고1(실사표)'!B:B,재고차이!A:A,'창고1(실사표)'!E:E)*E184+SUMIF('창고2(실사표)'!B:B,재고차이!A:A,'창고2(실사표)'!E:E)*E184+SUMIF('믹스(잔량실사표)'!B:B,재고차이!A:A,'믹스(잔량실사표)'!E:E)*E184</f>
        <v>1628</v>
      </c>
      <c r="H184" s="2">
        <f>SUMIF('창고1(실사표)'!B:B,재고차이!A:A,'창고1(실사표)'!G:G)+SUMIF('창고2(실사표)'!B:B,재고차이!A:A,'창고2(실사표)'!G:G)++SUMIF('믹스(잔량실사표)'!B:B,재고차이!A:A,'믹스(잔량실사표)'!G:G)</f>
        <v>6</v>
      </c>
      <c r="I18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84" s="2">
        <f t="shared" si="26"/>
        <v>1634</v>
      </c>
      <c r="K184" s="2">
        <f>SUMIF(SAP!B:B,재고차이!B:B,SAP!Q:Q)</f>
        <v>226</v>
      </c>
      <c r="L184" s="2">
        <f>SUMIF(주간상차!A:A,재고차이!A:A,주간상차!E:E)</f>
        <v>1408</v>
      </c>
      <c r="M184" s="37">
        <f t="shared" si="27"/>
        <v>0</v>
      </c>
      <c r="N184" s="41"/>
      <c r="O184" s="42"/>
      <c r="P184" s="125"/>
      <c r="Q184" s="8">
        <f>SUMIF(파손품!D:D,재고차이!B:B,파손품!I:I)+SUMIF(동파파손!D:D,재고차이!B:B,동파파손!I:I)</f>
        <v>0</v>
      </c>
      <c r="R184">
        <f t="shared" si="28"/>
        <v>0</v>
      </c>
    </row>
    <row r="185" spans="1:18" ht="18.75" customHeight="1" x14ac:dyDescent="0.3">
      <c r="A185" s="9">
        <v>5640</v>
      </c>
      <c r="B185" s="9" t="str">
        <f>VLOOKUP(A:A,제품등록!A:B,2,0)</f>
        <v>PC5640</v>
      </c>
      <c r="C185" s="31" t="str">
        <f>VLOOKUP(B185,제품등록!B:C,2,0)</f>
        <v>강원평창수 2.0PET X6</v>
      </c>
      <c r="D185" s="9"/>
      <c r="E185" s="9">
        <v>80</v>
      </c>
      <c r="F185" s="2">
        <f>SUMIF('창고1(실사표)'!B:B,재고차이!A:A,'창고1(실사표)'!F:F)*D185+SUMIF('창고2(실사표)'!B:B,재고차이!A:A,'창고2(실사표)'!F:F)*D185+SUMIF('믹스(잔량실사표)'!B:B,재고차이!A:A,'믹스(잔량실사표)'!F:F)*D185</f>
        <v>0</v>
      </c>
      <c r="G185" s="2">
        <f>SUMIF('창고1(실사표)'!B:B,재고차이!A:A,'창고1(실사표)'!E:E)*E185+SUMIF('창고2(실사표)'!B:B,재고차이!A:A,'창고2(실사표)'!E:E)*E185+SUMIF('믹스(잔량실사표)'!B:B,재고차이!A:A,'믹스(잔량실사표)'!E:E)*E185</f>
        <v>0</v>
      </c>
      <c r="H18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8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85" s="2">
        <f t="shared" si="26"/>
        <v>0</v>
      </c>
      <c r="K185" s="2">
        <f>SUMIF(SAP!B:B,재고차이!B:B,SAP!Q:Q)</f>
        <v>0</v>
      </c>
      <c r="L185" s="2">
        <f>SUMIF(주간상차!A:A,재고차이!A:A,주간상차!E:E)</f>
        <v>0</v>
      </c>
      <c r="M185" s="37">
        <f t="shared" si="27"/>
        <v>0</v>
      </c>
      <c r="N185" s="41"/>
      <c r="O185" s="42"/>
      <c r="P185" s="125"/>
      <c r="Q185" s="8">
        <f>SUMIF(파손품!D:D,재고차이!B:B,파손품!I:I)+SUMIF(동파파손!D:D,재고차이!B:B,동파파손!I:I)</f>
        <v>0</v>
      </c>
      <c r="R185">
        <f t="shared" si="28"/>
        <v>0</v>
      </c>
    </row>
    <row r="186" spans="1:18" ht="18.75" customHeight="1" x14ac:dyDescent="0.3">
      <c r="A186" s="9">
        <v>5651</v>
      </c>
      <c r="B186" s="9" t="str">
        <f>VLOOKUP(A:A,제품등록!A:B,2,0)</f>
        <v>PC5651</v>
      </c>
      <c r="C186" s="31" t="str">
        <f>VLOOKUP(B186,제품등록!B:C,2,0)</f>
        <v>강원평창수(올림픽) 500PET X20</v>
      </c>
      <c r="D186" s="9"/>
      <c r="E186" s="9">
        <v>96</v>
      </c>
      <c r="F186" s="2">
        <f>SUMIF('창고1(실사표)'!B:B,재고차이!A:A,'창고1(실사표)'!F:F)*D186+SUMIF('창고2(실사표)'!B:B,재고차이!A:A,'창고2(실사표)'!F:F)*D186+SUMIF('믹스(잔량실사표)'!B:B,재고차이!A:A,'믹스(잔량실사표)'!F:F)*D186</f>
        <v>0</v>
      </c>
      <c r="G186" s="2">
        <f>SUMIF('창고1(실사표)'!B:B,재고차이!A:A,'창고1(실사표)'!E:E)*E186+SUMIF('창고2(실사표)'!B:B,재고차이!A:A,'창고2(실사표)'!E:E)*E186+SUMIF('믹스(잔량실사표)'!B:B,재고차이!A:A,'믹스(잔량실사표)'!E:E)*E186</f>
        <v>1152</v>
      </c>
      <c r="H186" s="2">
        <f>SUMIF('창고1(실사표)'!B:B,재고차이!A:A,'창고1(실사표)'!G:G)+SUMIF('창고2(실사표)'!B:B,재고차이!A:A,'창고2(실사표)'!G:G)++SUMIF('믹스(잔량실사표)'!B:B,재고차이!A:A,'믹스(잔량실사표)'!G:G)</f>
        <v>80</v>
      </c>
      <c r="I18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86" s="2">
        <f t="shared" si="26"/>
        <v>1232</v>
      </c>
      <c r="K186" s="2">
        <f>SUMIF(SAP!B:B,재고차이!B:B,SAP!Q:Q)</f>
        <v>1232</v>
      </c>
      <c r="L186" s="2">
        <f>SUMIF(주간상차!A:A,재고차이!A:A,주간상차!E:E)</f>
        <v>0</v>
      </c>
      <c r="M186" s="37">
        <f t="shared" si="27"/>
        <v>0</v>
      </c>
      <c r="N186" s="41"/>
      <c r="O186" s="42"/>
      <c r="P186" s="125"/>
      <c r="Q186" s="8">
        <f>SUMIF(파손품!D:D,재고차이!B:B,파손품!I:I)+SUMIF(동파파손!D:D,재고차이!B:B,동파파손!I:I)</f>
        <v>0</v>
      </c>
      <c r="R186">
        <f t="shared" si="28"/>
        <v>0</v>
      </c>
    </row>
    <row r="187" spans="1:18" ht="18.75" hidden="1" customHeight="1" x14ac:dyDescent="0.3">
      <c r="A187" s="9">
        <v>4935</v>
      </c>
      <c r="B187" s="9" t="str">
        <f>VLOOKUP(A:A,제품등록!A:B,2,0)</f>
        <v>KM4935</v>
      </c>
      <c r="C187" s="31" t="str">
        <f>VLOOKUP(B187,제품등록!B:C,2,0)</f>
        <v>S)갈배 사이다 제로 500PET 4X6</v>
      </c>
      <c r="D187" s="9"/>
      <c r="E187" s="9">
        <v>60</v>
      </c>
      <c r="F187" s="2">
        <f>SUMIF('창고1(실사표)'!B:B,재고차이!A:A,'창고1(실사표)'!F:F)*D187+SUMIF('창고2(실사표)'!B:B,재고차이!A:A,'창고2(실사표)'!F:F)*D187+SUMIF('믹스(잔량실사표)'!B:B,재고차이!A:A,'믹스(잔량실사표)'!F:F)*D187</f>
        <v>0</v>
      </c>
      <c r="G187" s="2">
        <f>SUMIF('창고1(실사표)'!B:B,재고차이!A:A,'창고1(실사표)'!E:E)*E187+SUMIF('창고2(실사표)'!B:B,재고차이!A:A,'창고2(실사표)'!E:E)*E187+SUMIF('믹스(잔량실사표)'!B:B,재고차이!A:A,'믹스(잔량실사표)'!E:E)*E187</f>
        <v>0</v>
      </c>
      <c r="H18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8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87" s="2">
        <f t="shared" si="26"/>
        <v>0</v>
      </c>
      <c r="K187" s="2">
        <f>SUMIF(SAP!B:B,재고차이!B:B,SAP!Q:Q)</f>
        <v>0</v>
      </c>
      <c r="L187" s="2">
        <f>SUMIF(주간상차!A:A,재고차이!A:A,주간상차!E:E)</f>
        <v>0</v>
      </c>
      <c r="M187" s="37">
        <f t="shared" si="27"/>
        <v>0</v>
      </c>
      <c r="N187" s="41"/>
      <c r="O187" s="42"/>
      <c r="P187" s="125"/>
      <c r="Q187" s="8">
        <f>SUMIF(파손품!D:D,재고차이!B:B,파손품!I:I)+SUMIF(동파파손!D:D,재고차이!B:B,동파파손!I:I)</f>
        <v>0</v>
      </c>
      <c r="R187">
        <f t="shared" si="28"/>
        <v>0</v>
      </c>
    </row>
    <row r="188" spans="1:18" ht="18.75" customHeight="1" x14ac:dyDescent="0.3">
      <c r="A188" s="9">
        <v>4179</v>
      </c>
      <c r="B188" s="9" t="str">
        <f>VLOOKUP(A:A,제품등록!A:B,2,0)</f>
        <v>SP4179</v>
      </c>
      <c r="C188" s="31" t="str">
        <f>VLOOKUP(B188,제품등록!B:C,2,0)</f>
        <v>스프라이트(신350C 4X6</v>
      </c>
      <c r="D188" s="9">
        <v>88</v>
      </c>
      <c r="E188" s="9">
        <v>100</v>
      </c>
      <c r="F188" s="2">
        <f>SUMIF('창고1(실사표)'!B:B,재고차이!A:A,'창고1(실사표)'!F:F)*D188+SUMIF('창고2(실사표)'!B:B,재고차이!A:A,'창고2(실사표)'!F:F)*D188+SUMIF('믹스(잔량실사표)'!B:B,재고차이!A:A,'믹스(잔량실사표)'!F:F)*D188</f>
        <v>0</v>
      </c>
      <c r="G188" s="2">
        <f>SUMIF('창고1(실사표)'!B:B,재고차이!A:A,'창고1(실사표)'!E:E)*E188+SUMIF('창고2(실사표)'!B:B,재고차이!A:A,'창고2(실사표)'!E:E)*E188+SUMIF('믹스(잔량실사표)'!B:B,재고차이!A:A,'믹스(잔량실사표)'!E:E)*E188</f>
        <v>0</v>
      </c>
      <c r="H188" s="2">
        <f>SUMIF('창고1(실사표)'!B:B,재고차이!A:A,'창고1(실사표)'!G:G)+SUMIF('창고2(실사표)'!B:B,재고차이!A:A,'창고2(실사표)'!G:G)++SUMIF('믹스(잔량실사표)'!B:B,재고차이!A:A,'믹스(잔량실사표)'!G:G)</f>
        <v>96</v>
      </c>
      <c r="I18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88" s="2">
        <f t="shared" si="26"/>
        <v>96</v>
      </c>
      <c r="K188" s="2">
        <f>SUMIF(SAP!B:B,재고차이!B:B,SAP!Q:Q)</f>
        <v>96</v>
      </c>
      <c r="L188" s="2">
        <f>SUMIF(주간상차!A:A,재고차이!A:A,주간상차!E:E)</f>
        <v>0</v>
      </c>
      <c r="M188" s="37">
        <f t="shared" si="27"/>
        <v>0</v>
      </c>
      <c r="N188" s="41"/>
      <c r="O188" s="42"/>
      <c r="P188" s="125"/>
      <c r="Q188" s="8">
        <f>SUMIF(파손품!D:D,재고차이!B:B,파손품!I:I)+SUMIF(동파파손!D:D,재고차이!B:B,동파파손!I:I)</f>
        <v>0</v>
      </c>
      <c r="R188">
        <f t="shared" si="28"/>
        <v>0</v>
      </c>
    </row>
    <row r="189" spans="1:18" ht="18.75" customHeight="1" x14ac:dyDescent="0.3">
      <c r="A189" s="9">
        <v>4184</v>
      </c>
      <c r="B189" s="9" t="str">
        <f>VLOOKUP(A:A,제품등록!A:B,2,0)</f>
        <v>SP4184</v>
      </c>
      <c r="C189" s="31" t="str">
        <f>VLOOKUP(B189,제품등록!B:C,2,0)</f>
        <v>S)스프제로 칠 아이스블라스트 350CAN 4X6</v>
      </c>
      <c r="D189" s="9">
        <v>88</v>
      </c>
      <c r="E189" s="9">
        <v>100</v>
      </c>
      <c r="F189" s="2">
        <f>SUMIF('창고1(실사표)'!B:B,재고차이!A:A,'창고1(실사표)'!F:F)*D189+SUMIF('창고2(실사표)'!B:B,재고차이!A:A,'창고2(실사표)'!F:F)*D189+SUMIF('믹스(잔량실사표)'!B:B,재고차이!A:A,'믹스(잔량실사표)'!F:F)*D189</f>
        <v>0</v>
      </c>
      <c r="G189" s="2">
        <f>SUMIF('창고1(실사표)'!B:B,재고차이!A:A,'창고1(실사표)'!E:E)*E189+SUMIF('창고2(실사표)'!B:B,재고차이!A:A,'창고2(실사표)'!E:E)*E189+SUMIF('믹스(잔량실사표)'!B:B,재고차이!A:A,'믹스(잔량실사표)'!E:E)*E189</f>
        <v>1400</v>
      </c>
      <c r="H189" s="2">
        <f>SUMIF('창고1(실사표)'!B:B,재고차이!A:A,'창고1(실사표)'!G:G)+SUMIF('창고2(실사표)'!B:B,재고차이!A:A,'창고2(실사표)'!G:G)++SUMIF('믹스(잔량실사표)'!B:B,재고차이!A:A,'믹스(잔량실사표)'!G:G)</f>
        <v>39</v>
      </c>
      <c r="I18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89" s="2">
        <f t="shared" si="26"/>
        <v>1439</v>
      </c>
      <c r="K189" s="2">
        <f>SUMIF(SAP!B:B,재고차이!B:B,SAP!Q:Q)</f>
        <v>1139</v>
      </c>
      <c r="L189" s="2">
        <f>SUMIF(주간상차!A:A,재고차이!A:A,주간상차!E:E)</f>
        <v>300</v>
      </c>
      <c r="M189" s="37">
        <f t="shared" si="27"/>
        <v>0</v>
      </c>
      <c r="N189" s="41"/>
      <c r="O189" s="42"/>
      <c r="P189" s="125"/>
      <c r="Q189" s="8">
        <f>SUMIF(파손품!D:D,재고차이!B:B,파손품!I:I)+SUMIF(동파파손!D:D,재고차이!B:B,동파파손!I:I)</f>
        <v>0</v>
      </c>
      <c r="R189">
        <f t="shared" ref="R189:R196" si="29">M189/E189</f>
        <v>0</v>
      </c>
    </row>
    <row r="190" spans="1:18" ht="18.75" customHeight="1" x14ac:dyDescent="0.3">
      <c r="A190" s="9">
        <v>6103</v>
      </c>
      <c r="B190" s="9" t="str">
        <f>VLOOKUP(A:A,제품등록!A:B,2,0)</f>
        <v>SP6103</v>
      </c>
      <c r="C190" s="31" t="str">
        <f>VLOOKUP(B190,제품등록!B:C,2,0)</f>
        <v>S)스프라이트 제로 500PET 4X6</v>
      </c>
      <c r="D190" s="9">
        <v>40</v>
      </c>
      <c r="E190" s="9">
        <v>60</v>
      </c>
      <c r="F190" s="2">
        <f>SUMIF('창고1(실사표)'!B:B,재고차이!A:A,'창고1(실사표)'!F:F)*D190+SUMIF('창고2(실사표)'!B:B,재고차이!A:A,'창고2(실사표)'!F:F)*D190+SUMIF('믹스(잔량실사표)'!B:B,재고차이!A:A,'믹스(잔량실사표)'!F:F)*D190</f>
        <v>0</v>
      </c>
      <c r="G190" s="2">
        <f>SUMIF('창고1(실사표)'!B:B,재고차이!A:A,'창고1(실사표)'!E:E)*E190+SUMIF('창고2(실사표)'!B:B,재고차이!A:A,'창고2(실사표)'!E:E)*E190+SUMIF('믹스(잔량실사표)'!B:B,재고차이!A:A,'믹스(잔량실사표)'!E:E)*E190</f>
        <v>2220</v>
      </c>
      <c r="H190" s="2">
        <f>SUMIF('창고1(실사표)'!B:B,재고차이!A:A,'창고1(실사표)'!G:G)+SUMIF('창고2(실사표)'!B:B,재고차이!A:A,'창고2(실사표)'!G:G)++SUMIF('믹스(잔량실사표)'!B:B,재고차이!A:A,'믹스(잔량실사표)'!G:G)</f>
        <v>51</v>
      </c>
      <c r="I19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90" s="2">
        <f t="shared" si="26"/>
        <v>2271</v>
      </c>
      <c r="K190" s="2">
        <f>SUMIF(SAP!B:B,재고차이!B:B,SAP!Q:Q)</f>
        <v>2091</v>
      </c>
      <c r="L190" s="2">
        <f>SUMIF(주간상차!A:A,재고차이!A:A,주간상차!E:E)</f>
        <v>180</v>
      </c>
      <c r="M190" s="37">
        <f t="shared" si="27"/>
        <v>0</v>
      </c>
      <c r="N190" s="41"/>
      <c r="O190" s="42"/>
      <c r="P190" s="125"/>
      <c r="Q190" s="8">
        <f>SUMIF(파손품!D:D,재고차이!B:B,파손품!I:I)+SUMIF(동파파손!D:D,재고차이!B:B,동파파손!I:I)</f>
        <v>0</v>
      </c>
      <c r="R190">
        <f t="shared" si="29"/>
        <v>0</v>
      </c>
    </row>
    <row r="191" spans="1:18" ht="18.75" customHeight="1" x14ac:dyDescent="0.3">
      <c r="A191" s="9">
        <v>6117</v>
      </c>
      <c r="B191" s="9" t="str">
        <f>VLOOKUP(A:A,제품등록!A:B,2,0)</f>
        <v>SP6117</v>
      </c>
      <c r="C191" s="31" t="str">
        <f>VLOOKUP(B191,제품등록!B:C,2,0)</f>
        <v>스프라이트(신500P 4X6</v>
      </c>
      <c r="D191" s="9">
        <v>40</v>
      </c>
      <c r="E191" s="9">
        <v>60</v>
      </c>
      <c r="F191" s="2">
        <f>SUMIF('창고1(실사표)'!B:B,재고차이!A:A,'창고1(실사표)'!F:F)*D191+SUMIF('창고2(실사표)'!B:B,재고차이!A:A,'창고2(실사표)'!F:F)*D191+SUMIF('믹스(잔량실사표)'!B:B,재고차이!A:A,'믹스(잔량실사표)'!F:F)*D191</f>
        <v>0</v>
      </c>
      <c r="G191" s="2">
        <f>SUMIF('창고1(실사표)'!B:B,재고차이!A:A,'창고1(실사표)'!E:E)*E191+SUMIF('창고2(실사표)'!B:B,재고차이!A:A,'창고2(실사표)'!E:E)*E191+SUMIF('믹스(잔량실사표)'!B:B,재고차이!A:A,'믹스(잔량실사표)'!E:E)*E191</f>
        <v>1800</v>
      </c>
      <c r="H191" s="2">
        <f>SUMIF('창고1(실사표)'!B:B,재고차이!A:A,'창고1(실사표)'!G:G)+SUMIF('창고2(실사표)'!B:B,재고차이!A:A,'창고2(실사표)'!G:G)++SUMIF('믹스(잔량실사표)'!B:B,재고차이!A:A,'믹스(잔량실사표)'!G:G)</f>
        <v>22</v>
      </c>
      <c r="I19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91" s="2">
        <f t="shared" si="26"/>
        <v>1822</v>
      </c>
      <c r="K191" s="2">
        <f>SUMIF(SAP!B:B,재고차이!B:B,SAP!Q:Q)</f>
        <v>1042</v>
      </c>
      <c r="L191" s="2">
        <f>SUMIF(주간상차!A:A,재고차이!A:A,주간상차!E:E)</f>
        <v>780</v>
      </c>
      <c r="M191" s="37">
        <f t="shared" si="27"/>
        <v>0</v>
      </c>
      <c r="N191" s="41"/>
      <c r="O191" s="42"/>
      <c r="P191" s="125"/>
      <c r="Q191" s="8">
        <f>SUMIF(파손품!D:D,재고차이!B:B,파손품!I:I)+SUMIF(동파파손!D:D,재고차이!B:B,동파파손!I:I)</f>
        <v>0</v>
      </c>
      <c r="R191">
        <f t="shared" si="29"/>
        <v>0</v>
      </c>
    </row>
    <row r="192" spans="1:18" ht="18.75" customHeight="1" x14ac:dyDescent="0.3">
      <c r="A192" s="9">
        <v>6120</v>
      </c>
      <c r="B192" s="9" t="str">
        <f>VLOOKUP(A:A,제품등록!A:B,2,0)</f>
        <v>SP6120</v>
      </c>
      <c r="C192" s="31" t="str">
        <f>VLOOKUP(B192,제품등록!B:C,2,0)</f>
        <v>S스프라이트(신1.5P 2X6</v>
      </c>
      <c r="D192" s="9">
        <v>32</v>
      </c>
      <c r="E192" s="9">
        <v>44</v>
      </c>
      <c r="F192" s="2">
        <f>SUMIF('창고1(실사표)'!B:B,재고차이!A:A,'창고1(실사표)'!F:F)*D192+SUMIF('창고2(실사표)'!B:B,재고차이!A:A,'창고2(실사표)'!F:F)*D192+SUMIF('믹스(잔량실사표)'!B:B,재고차이!A:A,'믹스(잔량실사표)'!F:F)*D192</f>
        <v>0</v>
      </c>
      <c r="G192" s="2">
        <f>SUMIF('창고1(실사표)'!B:B,재고차이!A:A,'창고1(실사표)'!E:E)*E192+SUMIF('창고2(실사표)'!B:B,재고차이!A:A,'창고2(실사표)'!E:E)*E192+SUMIF('믹스(잔량실사표)'!B:B,재고차이!A:A,'믹스(잔량실사표)'!E:E)*E192</f>
        <v>1012</v>
      </c>
      <c r="H192" s="2">
        <f>SUMIF('창고1(실사표)'!B:B,재고차이!A:A,'창고1(실사표)'!G:G)+SUMIF('창고2(실사표)'!B:B,재고차이!A:A,'창고2(실사표)'!G:G)++SUMIF('믹스(잔량실사표)'!B:B,재고차이!A:A,'믹스(잔량실사표)'!G:G)</f>
        <v>10</v>
      </c>
      <c r="I19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92" s="2">
        <f t="shared" si="26"/>
        <v>1022</v>
      </c>
      <c r="K192" s="2">
        <f>SUMIF(SAP!B:B,재고차이!B:B,SAP!Q:Q)</f>
        <v>1022</v>
      </c>
      <c r="L192" s="2">
        <f>SUMIF(주간상차!A:A,재고차이!A:A,주간상차!E:E)</f>
        <v>0</v>
      </c>
      <c r="M192" s="37">
        <f t="shared" si="27"/>
        <v>0</v>
      </c>
      <c r="N192" s="41"/>
      <c r="O192" s="42"/>
      <c r="P192" s="125"/>
      <c r="Q192" s="8">
        <f>SUMIF(파손품!D:D,재고차이!B:B,파손품!I:I)+SUMIF(동파파손!D:D,재고차이!B:B,동파파손!I:I)</f>
        <v>0</v>
      </c>
      <c r="R192">
        <f t="shared" si="29"/>
        <v>0</v>
      </c>
    </row>
    <row r="193" spans="1:18" ht="18.75" customHeight="1" x14ac:dyDescent="0.3">
      <c r="A193" s="9">
        <v>8560</v>
      </c>
      <c r="B193" s="9" t="str">
        <f>VLOOKUP(A:A,제품등록!A:B,2,0)</f>
        <v>TR8560</v>
      </c>
      <c r="C193" s="31" t="str">
        <f>VLOOKUP(B193,제품등록!B:C,2,0)</f>
        <v>토레타 240CAN 5X6</v>
      </c>
      <c r="D193" s="9">
        <v>99</v>
      </c>
      <c r="E193" s="9">
        <v>132</v>
      </c>
      <c r="F193" s="2">
        <f>SUMIF('창고1(실사표)'!B:B,재고차이!A:A,'창고1(실사표)'!F:F)*D193+SUMIF('창고2(실사표)'!B:B,재고차이!A:A,'창고2(실사표)'!F:F)*D193+SUMIF('믹스(잔량실사표)'!B:B,재고차이!A:A,'믹스(잔량실사표)'!F:F)*D193</f>
        <v>0</v>
      </c>
      <c r="G193" s="2">
        <f>SUMIF('창고1(실사표)'!B:B,재고차이!A:A,'창고1(실사표)'!E:E)*E193+SUMIF('창고2(실사표)'!B:B,재고차이!A:A,'창고2(실사표)'!E:E)*E193+SUMIF('믹스(잔량실사표)'!B:B,재고차이!A:A,'믹스(잔량실사표)'!E:E)*E193</f>
        <v>396</v>
      </c>
      <c r="H193" s="2">
        <f>SUMIF('창고1(실사표)'!B:B,재고차이!A:A,'창고1(실사표)'!G:G)+SUMIF('창고2(실사표)'!B:B,재고차이!A:A,'창고2(실사표)'!G:G)++SUMIF('믹스(잔량실사표)'!B:B,재고차이!A:A,'믹스(잔량실사표)'!G:G)</f>
        <v>51</v>
      </c>
      <c r="I19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93" s="2">
        <f t="shared" si="26"/>
        <v>447</v>
      </c>
      <c r="K193" s="2">
        <f>SUMIF(SAP!B:B,재고차이!B:B,SAP!Q:Q)</f>
        <v>447</v>
      </c>
      <c r="L193" s="2">
        <f>SUMIF(주간상차!A:A,재고차이!A:A,주간상차!E:E)</f>
        <v>0</v>
      </c>
      <c r="M193" s="37">
        <f t="shared" si="27"/>
        <v>0</v>
      </c>
      <c r="N193" s="41"/>
      <c r="O193" s="42"/>
      <c r="P193" s="125"/>
      <c r="Q193" s="8">
        <f>SUMIF(파손품!D:D,재고차이!B:B,파손품!I:I)+SUMIF(동파파손!D:D,재고차이!B:B,동파파손!I:I)</f>
        <v>0</v>
      </c>
      <c r="R193">
        <f t="shared" si="29"/>
        <v>0</v>
      </c>
    </row>
    <row r="194" spans="1:18" ht="18.75" customHeight="1" x14ac:dyDescent="0.3">
      <c r="A194" s="9">
        <v>8561</v>
      </c>
      <c r="B194" s="9" t="str">
        <f>VLOOKUP(A:A,제품등록!A:B,2,0)</f>
        <v>TR8561</v>
      </c>
      <c r="C194" s="31" t="str">
        <f>VLOOKUP(B194,제품등록!B:C,2,0)</f>
        <v>토레타 500ml (소분)</v>
      </c>
      <c r="D194" s="9">
        <v>48</v>
      </c>
      <c r="E194" s="9">
        <v>70</v>
      </c>
      <c r="F194" s="2">
        <f>SUMIF('창고1(실사표)'!B:B,재고차이!A:A,'창고1(실사표)'!F:F)*D194+SUMIF('창고2(실사표)'!B:B,재고차이!A:A,'창고2(실사표)'!F:F)*D194+SUMIF('믹스(잔량실사표)'!B:B,재고차이!A:A,'믹스(잔량실사표)'!F:F)*D194</f>
        <v>0</v>
      </c>
      <c r="G194" s="2">
        <f>SUMIF('창고1(실사표)'!B:B,재고차이!A:A,'창고1(실사표)'!E:E)*E194+SUMIF('창고2(실사표)'!B:B,재고차이!A:A,'창고2(실사표)'!E:E)*E194+SUMIF('믹스(잔량실사표)'!B:B,재고차이!A:A,'믹스(잔량실사표)'!E:E)*E194</f>
        <v>3640</v>
      </c>
      <c r="H194" s="2">
        <f>SUMIF('창고1(실사표)'!B:B,재고차이!A:A,'창고1(실사표)'!G:G)+SUMIF('창고2(실사표)'!B:B,재고차이!A:A,'창고2(실사표)'!G:G)++SUMIF('믹스(잔량실사표)'!B:B,재고차이!A:A,'믹스(잔량실사표)'!G:G)</f>
        <v>51</v>
      </c>
      <c r="I19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94" s="2">
        <f t="shared" si="26"/>
        <v>3691</v>
      </c>
      <c r="K194" s="2">
        <f>SUMIF(SAP!B:B,재고차이!B:B,SAP!Q:Q)</f>
        <v>3691</v>
      </c>
      <c r="L194" s="2">
        <f>SUMIF(주간상차!A:A,재고차이!A:A,주간상차!E:E)</f>
        <v>0</v>
      </c>
      <c r="M194" s="37">
        <f t="shared" si="27"/>
        <v>0</v>
      </c>
      <c r="N194" s="41"/>
      <c r="O194" s="42"/>
      <c r="P194" s="125"/>
      <c r="Q194" s="8">
        <f>SUMIF(파손품!D:D,재고차이!B:B,파손품!I:I)+SUMIF(동파파손!D:D,재고차이!B:B,동파파손!I:I)</f>
        <v>0</v>
      </c>
      <c r="R194">
        <f t="shared" si="29"/>
        <v>0</v>
      </c>
    </row>
    <row r="195" spans="1:18" ht="18.75" customHeight="1" x14ac:dyDescent="0.3">
      <c r="A195" s="9">
        <v>8590</v>
      </c>
      <c r="B195" s="9" t="str">
        <f>VLOOKUP(A:A,제품등록!A:B,2,0)</f>
        <v>TR8590</v>
      </c>
      <c r="C195" s="31" t="str">
        <f>VLOOKUP(B195,제품등록!B:C,2,0)</f>
        <v>토레타 제로500PET 4x6</v>
      </c>
      <c r="D195" s="9">
        <v>48</v>
      </c>
      <c r="E195" s="9">
        <v>70</v>
      </c>
      <c r="F195" s="2">
        <f>SUMIF('창고1(실사표)'!B:B,재고차이!A:A,'창고1(실사표)'!F:F)*D195+SUMIF('창고2(실사표)'!B:B,재고차이!A:A,'창고2(실사표)'!F:F)*D195+SUMIF('믹스(잔량실사표)'!B:B,재고차이!A:A,'믹스(잔량실사표)'!F:F)*D195</f>
        <v>0</v>
      </c>
      <c r="G195" s="2">
        <f>SUMIF('창고1(실사표)'!B:B,재고차이!A:A,'창고1(실사표)'!E:E)*E195+SUMIF('창고2(실사표)'!B:B,재고차이!A:A,'창고2(실사표)'!E:E)*E195+SUMIF('믹스(잔량실사표)'!B:B,재고차이!A:A,'믹스(잔량실사표)'!E:E)*E195</f>
        <v>4480</v>
      </c>
      <c r="H195" s="2">
        <f>SUMIF('창고1(실사표)'!B:B,재고차이!A:A,'창고1(실사표)'!G:G)+SUMIF('창고2(실사표)'!B:B,재고차이!A:A,'창고2(실사표)'!G:G)++SUMIF('믹스(잔량실사표)'!B:B,재고차이!A:A,'믹스(잔량실사표)'!G:G)</f>
        <v>30</v>
      </c>
      <c r="I19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95" s="2">
        <f t="shared" si="26"/>
        <v>4510</v>
      </c>
      <c r="K195" s="2">
        <f>SUMIF(SAP!B:B,재고차이!B:B,SAP!Q:Q)</f>
        <v>3250</v>
      </c>
      <c r="L195" s="2">
        <f>SUMIF(주간상차!A:A,재고차이!A:A,주간상차!E:E)</f>
        <v>1260</v>
      </c>
      <c r="M195" s="37">
        <f t="shared" si="27"/>
        <v>0</v>
      </c>
      <c r="N195" s="41"/>
      <c r="O195" s="42"/>
      <c r="P195" s="125"/>
      <c r="Q195" s="8">
        <f>SUMIF(파손품!D:D,재고차이!B:B,파손품!I:I)+SUMIF(동파파손!D:D,재고차이!B:B,동파파손!I:I)</f>
        <v>0</v>
      </c>
      <c r="R195">
        <f t="shared" si="29"/>
        <v>0</v>
      </c>
    </row>
    <row r="196" spans="1:18" ht="18.75" hidden="1" customHeight="1" x14ac:dyDescent="0.3">
      <c r="A196" s="9">
        <v>7724</v>
      </c>
      <c r="B196" s="9" t="str">
        <f>VLOOKUP(A:A,제품등록!A:B,2,0)</f>
        <v>BB7724</v>
      </c>
      <c r="C196" s="31" t="str">
        <f>VLOOKUP(B196,제품등록!B:C,2,0)</f>
        <v>S)봉봉 아이스티제로 복숭아 500PET 4X6</v>
      </c>
      <c r="D196" s="9"/>
      <c r="E196" s="9">
        <v>60</v>
      </c>
      <c r="F196" s="2">
        <f>SUMIF('창고1(실사표)'!B:B,재고차이!A:A,'창고1(실사표)'!F:F)*D196+SUMIF('창고2(실사표)'!B:B,재고차이!A:A,'창고2(실사표)'!F:F)*D196+SUMIF('믹스(잔량실사표)'!B:B,재고차이!A:A,'믹스(잔량실사표)'!F:F)*D196</f>
        <v>0</v>
      </c>
      <c r="G196" s="2">
        <f>SUMIF('창고1(실사표)'!B:B,재고차이!A:A,'창고1(실사표)'!E:E)*E196+SUMIF('창고2(실사표)'!B:B,재고차이!A:A,'창고2(실사표)'!E:E)*E196+SUMIF('믹스(잔량실사표)'!B:B,재고차이!A:A,'믹스(잔량실사표)'!E:E)*E196</f>
        <v>0</v>
      </c>
      <c r="H19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9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96" s="2">
        <f t="shared" si="26"/>
        <v>0</v>
      </c>
      <c r="K196" s="2">
        <f>SUMIF(SAP!B:B,재고차이!B:B,SAP!Q:Q)</f>
        <v>0</v>
      </c>
      <c r="L196" s="2">
        <f>SUMIF(주간상차!A:A,재고차이!A:A,주간상차!E:E)</f>
        <v>0</v>
      </c>
      <c r="M196" s="37">
        <f t="shared" si="27"/>
        <v>0</v>
      </c>
      <c r="N196" s="41"/>
      <c r="O196" s="42"/>
      <c r="P196" s="125"/>
      <c r="Q196" s="8">
        <f>SUMIF(파손품!D:D,재고차이!B:B,파손품!I:I)+SUMIF(동파파손!D:D,재고차이!B:B,동파파손!I:I)</f>
        <v>0</v>
      </c>
      <c r="R196">
        <f t="shared" si="29"/>
        <v>0</v>
      </c>
    </row>
    <row r="197" spans="1:18" ht="17.25" thickBot="1" x14ac:dyDescent="0.35">
      <c r="A197" s="34"/>
      <c r="B197" s="34"/>
      <c r="C197" s="35" t="s">
        <v>136</v>
      </c>
      <c r="D197" s="34"/>
      <c r="E197" s="34"/>
      <c r="F197" s="2">
        <f t="shared" ref="F197:O197" si="30">SUM(F4:F196)</f>
        <v>0</v>
      </c>
      <c r="G197" s="2">
        <f t="shared" si="30"/>
        <v>98034</v>
      </c>
      <c r="H197" s="2">
        <f t="shared" si="30"/>
        <v>3562</v>
      </c>
      <c r="I197" s="2">
        <f t="shared" si="30"/>
        <v>0</v>
      </c>
      <c r="J197" s="2">
        <f t="shared" si="30"/>
        <v>101596</v>
      </c>
      <c r="K197" s="2">
        <f>SUM(K9:K196)</f>
        <v>83885</v>
      </c>
      <c r="L197" s="2">
        <f t="shared" si="30"/>
        <v>17615</v>
      </c>
      <c r="M197" s="37">
        <f>SUM(M9:M196)</f>
        <v>0</v>
      </c>
      <c r="N197" s="43">
        <f t="shared" si="30"/>
        <v>112</v>
      </c>
      <c r="O197" s="44">
        <f t="shared" si="30"/>
        <v>9</v>
      </c>
      <c r="P197" s="45"/>
      <c r="Q197" s="8">
        <f>SUM(Q4:Q196)</f>
        <v>7</v>
      </c>
    </row>
    <row r="199" spans="1:18" x14ac:dyDescent="0.3">
      <c r="M199" s="68"/>
    </row>
    <row r="205" spans="1:18" x14ac:dyDescent="0.3">
      <c r="K205" s="1" t="s">
        <v>2323</v>
      </c>
    </row>
  </sheetData>
  <autoFilter ref="A3:Q197" xr:uid="{00000000-0009-0000-0000-000002000000}">
    <sortState xmlns:xlrd2="http://schemas.microsoft.com/office/spreadsheetml/2017/richdata2" ref="A9:Q196">
      <sortCondition ref="B3:B196"/>
    </sortState>
  </autoFilter>
  <mergeCells count="1">
    <mergeCell ref="C1:C2"/>
  </mergeCells>
  <phoneticPr fontId="90" type="noConversion"/>
  <conditionalFormatting sqref="F3:F4 F197:M197">
    <cfRule type="cellIs" dxfId="18" priority="947" operator="lessThan">
      <formula>0</formula>
    </cfRule>
  </conditionalFormatting>
  <conditionalFormatting sqref="F6:L9">
    <cfRule type="cellIs" dxfId="17" priority="276" operator="lessThan">
      <formula>0</formula>
    </cfRule>
  </conditionalFormatting>
  <conditionalFormatting sqref="F4:M5">
    <cfRule type="cellIs" dxfId="16" priority="358" operator="lessThan">
      <formula>0</formula>
    </cfRule>
  </conditionalFormatting>
  <conditionalFormatting sqref="F198:P65592">
    <cfRule type="cellIs" dxfId="15" priority="915" operator="lessThan">
      <formula>0</formula>
    </cfRule>
  </conditionalFormatting>
  <conditionalFormatting sqref="F1:Q2">
    <cfRule type="cellIs" dxfId="14" priority="901" operator="lessThan">
      <formula>0</formula>
    </cfRule>
  </conditionalFormatting>
  <conditionalFormatting sqref="L10:L19">
    <cfRule type="cellIs" dxfId="13" priority="194" operator="lessThan">
      <formula>0</formula>
    </cfRule>
  </conditionalFormatting>
  <conditionalFormatting sqref="M4:M196 Q4:Q196">
    <cfRule type="cellIs" dxfId="12" priority="2" stopIfTrue="1" operator="notEqual">
      <formula>0</formula>
    </cfRule>
  </conditionalFormatting>
  <conditionalFormatting sqref="M6:M19">
    <cfRule type="cellIs" dxfId="11" priority="196" operator="lessThan">
      <formula>0</formula>
    </cfRule>
  </conditionalFormatting>
  <conditionalFormatting sqref="Q4:Q65592 L20:M196 F10:K196">
    <cfRule type="cellIs" dxfId="10" priority="3" operator="lessThan">
      <formula>0</formula>
    </cfRule>
  </conditionalFormatting>
  <pageMargins left="0.19685039370078741" right="0" top="0.78740157480314965" bottom="0" header="0.31496062992125984" footer="0.31496062992125984"/>
  <pageSetup paperSize="9" scale="31" orientation="portrait" cellComments="asDisplaye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  <pageSetUpPr fitToPage="1"/>
  </sheetPr>
  <dimension ref="A1:P54"/>
  <sheetViews>
    <sheetView zoomScaleNormal="100" workbookViewId="0">
      <pane ySplit="2" topLeftCell="A3" activePane="bottomLeft" state="frozen"/>
      <selection activeCell="E3" sqref="E3"/>
      <selection pane="bottomLeft" activeCell="A3" sqref="A3:J54"/>
    </sheetView>
  </sheetViews>
  <sheetFormatPr defaultColWidth="9" defaultRowHeight="16.5" x14ac:dyDescent="0.3"/>
  <cols>
    <col min="1" max="1" width="5.75" style="5" customWidth="1"/>
    <col min="2" max="2" width="9.25" style="5" bestFit="1" customWidth="1"/>
    <col min="3" max="3" width="11.25" style="5" customWidth="1"/>
    <col min="4" max="4" width="38.125" style="5" customWidth="1"/>
    <col min="5" max="5" width="13.375" style="5" customWidth="1"/>
    <col min="6" max="6" width="9.625" style="5" customWidth="1"/>
    <col min="7" max="7" width="9.25" style="5" customWidth="1"/>
    <col min="8" max="9" width="13" style="5" customWidth="1"/>
    <col min="10" max="10" width="24.5" style="5" customWidth="1"/>
    <col min="11" max="11" width="17.625" style="5" bestFit="1" customWidth="1"/>
    <col min="12" max="12" width="10.625" style="12" hidden="1" customWidth="1"/>
    <col min="13" max="13" width="12.375" style="5" hidden="1" customWidth="1"/>
    <col min="14" max="14" width="9.5" style="5" hidden="1" customWidth="1"/>
    <col min="15" max="15" width="13" style="5" hidden="1" customWidth="1"/>
    <col min="16" max="16" width="17" style="5" hidden="1" customWidth="1"/>
    <col min="17" max="16384" width="9" style="5"/>
  </cols>
  <sheetData>
    <row r="1" spans="1:16" ht="24" customHeight="1" x14ac:dyDescent="0.3">
      <c r="C1" s="15"/>
      <c r="D1" s="15"/>
      <c r="H1" s="5" t="s">
        <v>348</v>
      </c>
      <c r="I1" s="11">
        <f ca="1">TODAY()</f>
        <v>46008</v>
      </c>
      <c r="J1" s="11"/>
      <c r="L1" s="94"/>
      <c r="N1" s="14">
        <f>100%-N2</f>
        <v>0.25</v>
      </c>
    </row>
    <row r="2" spans="1:16" ht="33" x14ac:dyDescent="0.3">
      <c r="A2" s="96"/>
      <c r="B2" s="96" t="s">
        <v>333</v>
      </c>
      <c r="C2" s="96" t="s">
        <v>1613</v>
      </c>
      <c r="D2" s="96" t="s">
        <v>0</v>
      </c>
      <c r="E2" s="96" t="s">
        <v>2398</v>
      </c>
      <c r="F2" s="96" t="s">
        <v>334</v>
      </c>
      <c r="G2" s="96" t="s">
        <v>335</v>
      </c>
      <c r="H2" s="97" t="s">
        <v>2361</v>
      </c>
      <c r="I2" s="96" t="s">
        <v>2547</v>
      </c>
      <c r="J2" s="96" t="s">
        <v>350</v>
      </c>
      <c r="K2" s="98" t="s">
        <v>2360</v>
      </c>
      <c r="L2" s="95" t="s">
        <v>2547</v>
      </c>
      <c r="M2" s="5" t="s">
        <v>338</v>
      </c>
      <c r="N2" s="99">
        <v>0.75</v>
      </c>
      <c r="O2" s="17" t="s">
        <v>339</v>
      </c>
      <c r="P2" s="100" t="s">
        <v>347</v>
      </c>
    </row>
    <row r="3" spans="1:16" ht="15.75" customHeight="1" x14ac:dyDescent="0.3">
      <c r="A3" s="10">
        <f t="shared" ref="A3:A25" si="0">ROW()-2</f>
        <v>1</v>
      </c>
      <c r="B3" s="10">
        <v>7949</v>
      </c>
      <c r="C3" s="10" t="str">
        <f>VLOOKUP(B:B,재고차이!A:B,2,0)</f>
        <v>MM7949</v>
      </c>
      <c r="D3" s="10" t="str">
        <f>VLOOKUP(C:C,재고차이!B:C,2,0)</f>
        <v>미닛 오+포+알 180NRB 3X12</v>
      </c>
      <c r="E3" s="200"/>
      <c r="F3" s="200"/>
      <c r="G3" s="200"/>
      <c r="H3" s="200"/>
      <c r="I3" s="164">
        <v>46089</v>
      </c>
      <c r="J3" s="164"/>
      <c r="K3" s="20">
        <f t="shared" ref="K3:K26" ca="1" si="1">+P3</f>
        <v>-123.75</v>
      </c>
      <c r="L3" s="95">
        <f>IF(I3="","",SUMIF(제품등록!B:B,'창고1(실사표)'!C:C,제품등록!F:F))</f>
        <v>273</v>
      </c>
      <c r="M3" s="11">
        <f t="shared" ref="M3:M32" si="2">IF(I3=0,"",I3-L3)</f>
        <v>45816</v>
      </c>
      <c r="N3" s="18">
        <f t="shared" ref="N3:N26" si="3">IF(L3="","",L3*상미75)</f>
        <v>68.25</v>
      </c>
      <c r="O3" s="19">
        <f t="shared" ref="O3:O26" si="4">IF(M3="","",M3+N3)</f>
        <v>45884.25</v>
      </c>
      <c r="P3" s="17">
        <f t="shared" ref="P3:P26" ca="1" si="5">IF(O3="","",O3-$I$1)</f>
        <v>-123.75</v>
      </c>
    </row>
    <row r="4" spans="1:16" ht="15.75" customHeight="1" x14ac:dyDescent="0.3">
      <c r="A4" s="10">
        <f t="shared" si="0"/>
        <v>2</v>
      </c>
      <c r="B4" s="10">
        <v>6509</v>
      </c>
      <c r="C4" s="10" t="str">
        <f>VLOOKUP(B:B,재고차이!A:B,2,0)</f>
        <v>MM6509</v>
      </c>
      <c r="D4" s="10" t="str">
        <f>VLOOKUP(C:C,재고차이!B:C,2,0)</f>
        <v>S)MM오리지널0R100 1.5P 2X6</v>
      </c>
      <c r="E4" s="200">
        <v>13</v>
      </c>
      <c r="F4" s="200"/>
      <c r="G4" s="200"/>
      <c r="H4" s="200"/>
      <c r="I4" s="164">
        <v>46110</v>
      </c>
      <c r="J4" s="164"/>
      <c r="K4" s="20">
        <f t="shared" ca="1" si="1"/>
        <v>-102.75</v>
      </c>
      <c r="L4" s="95">
        <f>IF(I4="","",SUMIF(제품등록!B:B,'창고1(실사표)'!C:C,제품등록!F:F))</f>
        <v>273</v>
      </c>
      <c r="M4" s="11">
        <f t="shared" si="2"/>
        <v>45837</v>
      </c>
      <c r="N4" s="18">
        <f t="shared" si="3"/>
        <v>68.25</v>
      </c>
      <c r="O4" s="19">
        <f t="shared" si="4"/>
        <v>45905.25</v>
      </c>
      <c r="P4" s="17">
        <f t="shared" ca="1" si="5"/>
        <v>-102.75</v>
      </c>
    </row>
    <row r="5" spans="1:16" ht="15.75" customHeight="1" x14ac:dyDescent="0.3">
      <c r="A5" s="10">
        <f t="shared" si="0"/>
        <v>3</v>
      </c>
      <c r="B5" s="10">
        <v>6705</v>
      </c>
      <c r="C5" s="10" t="str">
        <f>VLOOKUP(B:B,재고차이!A:B,2,0)</f>
        <v>MM6705</v>
      </c>
      <c r="D5" s="10" t="str">
        <f>VLOOKUP(C:C,재고차이!B:C,2,0)</f>
        <v>S)MM오리지널OR100 350P 4X6</v>
      </c>
      <c r="E5" s="200">
        <v>4</v>
      </c>
      <c r="F5" s="200"/>
      <c r="G5" s="200"/>
      <c r="H5" s="200"/>
      <c r="I5" s="164">
        <v>46075</v>
      </c>
      <c r="J5" s="164"/>
      <c r="K5" s="20">
        <f t="shared" ca="1" si="1"/>
        <v>-137.75</v>
      </c>
      <c r="L5" s="95">
        <f>IF(I5="","",SUMIF(제품등록!B:B,'창고1(실사표)'!C:C,제품등록!F:F))</f>
        <v>273</v>
      </c>
      <c r="M5" s="11">
        <f t="shared" si="2"/>
        <v>45802</v>
      </c>
      <c r="N5" s="18">
        <f t="shared" si="3"/>
        <v>68.25</v>
      </c>
      <c r="O5" s="19">
        <f t="shared" si="4"/>
        <v>45870.25</v>
      </c>
      <c r="P5" s="17">
        <f t="shared" ca="1" si="5"/>
        <v>-137.75</v>
      </c>
    </row>
    <row r="6" spans="1:16" ht="15" customHeight="1" x14ac:dyDescent="0.3">
      <c r="A6" s="10">
        <f t="shared" si="0"/>
        <v>4</v>
      </c>
      <c r="B6" s="10">
        <v>8541</v>
      </c>
      <c r="C6" s="10" t="str">
        <f>VLOOKUP(B:B,재고차이!A:B,2,0)</f>
        <v>PA8541</v>
      </c>
      <c r="D6" s="10" t="str">
        <f>VLOOKUP(C:C,재고차이!B:C,2,0)</f>
        <v>파워마운틴소분1.5P 2X6</v>
      </c>
      <c r="E6" s="200">
        <f>32+5</f>
        <v>37</v>
      </c>
      <c r="F6" s="200"/>
      <c r="G6" s="200"/>
      <c r="H6" s="200"/>
      <c r="I6" s="164">
        <v>46191</v>
      </c>
      <c r="J6" s="164"/>
      <c r="K6" s="20">
        <f t="shared" ca="1" si="1"/>
        <v>-90.75</v>
      </c>
      <c r="L6" s="95">
        <f>IF(I6="","",SUMIF(제품등록!B:B,'창고1(실사표)'!C:C,제품등록!F:F))</f>
        <v>365</v>
      </c>
      <c r="M6" s="11">
        <f t="shared" si="2"/>
        <v>45826</v>
      </c>
      <c r="N6" s="18">
        <f t="shared" si="3"/>
        <v>91.25</v>
      </c>
      <c r="O6" s="19">
        <f t="shared" si="4"/>
        <v>45917.25</v>
      </c>
      <c r="P6" s="17">
        <f t="shared" ca="1" si="5"/>
        <v>-90.75</v>
      </c>
    </row>
    <row r="7" spans="1:16" ht="15.75" customHeight="1" x14ac:dyDescent="0.3">
      <c r="A7" s="10">
        <f t="shared" si="0"/>
        <v>5</v>
      </c>
      <c r="B7" s="10">
        <v>6871</v>
      </c>
      <c r="C7" s="10" t="str">
        <f>VLOOKUP(B:B,재고차이!A:B,2,0)</f>
        <v>PA6871</v>
      </c>
      <c r="D7" s="10" t="str">
        <f>VLOOKUP(C:C,재고차이!B:C,2,0)</f>
        <v>S)파워 마운틴블라 600PET 4X6</v>
      </c>
      <c r="E7" s="200">
        <f>38+14</f>
        <v>52</v>
      </c>
      <c r="F7" s="200"/>
      <c r="G7" s="200"/>
      <c r="H7" s="200"/>
      <c r="I7" s="164">
        <v>46197</v>
      </c>
      <c r="J7" s="164"/>
      <c r="K7" s="20">
        <f t="shared" ref="K7:K9" ca="1" si="6">+P7</f>
        <v>-84.75</v>
      </c>
      <c r="L7" s="95">
        <f>IF(I7="","",SUMIF(제품등록!B:B,'창고1(실사표)'!C:C,제품등록!F:F))</f>
        <v>365</v>
      </c>
      <c r="M7" s="11">
        <f t="shared" ref="M7:M9" si="7">IF(I7=0,"",I7-L7)</f>
        <v>45832</v>
      </c>
      <c r="N7" s="18">
        <f t="shared" ref="N7:N9" si="8">IF(L7="","",L7*상미75)</f>
        <v>91.25</v>
      </c>
      <c r="O7" s="19">
        <f t="shared" ref="O7:O9" si="9">IF(M7="","",M7+N7)</f>
        <v>45923.25</v>
      </c>
      <c r="P7" s="17">
        <f t="shared" ref="P7:P9" ca="1" si="10">IF(O7="","",O7-$I$1)</f>
        <v>-84.75</v>
      </c>
    </row>
    <row r="8" spans="1:16" ht="15.75" customHeight="1" x14ac:dyDescent="0.3">
      <c r="A8" s="10">
        <f t="shared" si="0"/>
        <v>6</v>
      </c>
      <c r="B8" s="10">
        <v>6277</v>
      </c>
      <c r="C8" s="10" t="str">
        <f>VLOOKUP(B:B,재고차이!A:B,2,0)</f>
        <v>PA6277</v>
      </c>
      <c r="D8" s="10" t="str">
        <f>VLOOKUP(C:C,재고차이!B:C,2,0)</f>
        <v>파워 퍼플스톰 600PET 4X6</v>
      </c>
      <c r="E8" s="200">
        <f>15+17</f>
        <v>32</v>
      </c>
      <c r="F8" s="200"/>
      <c r="G8" s="200"/>
      <c r="H8" s="200"/>
      <c r="I8" s="164">
        <v>46192</v>
      </c>
      <c r="J8" s="164"/>
      <c r="K8" s="20">
        <f t="shared" ca="1" si="6"/>
        <v>-89.75</v>
      </c>
      <c r="L8" s="95">
        <f>IF(I8="","",SUMIF(제품등록!B:B,'창고1(실사표)'!C:C,제품등록!F:F))</f>
        <v>365</v>
      </c>
      <c r="M8" s="11">
        <f t="shared" si="7"/>
        <v>45827</v>
      </c>
      <c r="N8" s="18">
        <f t="shared" si="8"/>
        <v>91.25</v>
      </c>
      <c r="O8" s="19">
        <f t="shared" si="9"/>
        <v>45918.25</v>
      </c>
      <c r="P8" s="17">
        <f t="shared" ca="1" si="10"/>
        <v>-89.75</v>
      </c>
    </row>
    <row r="9" spans="1:16" x14ac:dyDescent="0.3">
      <c r="A9" s="10">
        <f t="shared" si="0"/>
        <v>7</v>
      </c>
      <c r="B9" s="10" t="s">
        <v>2490</v>
      </c>
      <c r="C9" s="10" t="str">
        <f>VLOOKUP(B:B,재고차이!A:B,2,0)</f>
        <v>PA0002</v>
      </c>
      <c r="D9" s="10" t="str">
        <f>VLOOKUP(C:C,재고차이!B:C,2,0)</f>
        <v>파워 제로 마운틴블라 600PET 4X6</v>
      </c>
      <c r="E9" s="200">
        <v>3</v>
      </c>
      <c r="F9" s="200"/>
      <c r="G9" s="200"/>
      <c r="H9" s="200"/>
      <c r="I9" s="164">
        <v>46179</v>
      </c>
      <c r="J9" s="164"/>
      <c r="K9" s="20">
        <f t="shared" ca="1" si="6"/>
        <v>-102.75</v>
      </c>
      <c r="L9" s="95">
        <f>IF(I9="","",SUMIF(제품등록!B:B,'창고1(실사표)'!C:C,제품등록!F:F))</f>
        <v>365</v>
      </c>
      <c r="M9" s="11">
        <f t="shared" si="7"/>
        <v>45814</v>
      </c>
      <c r="N9" s="18">
        <f t="shared" si="8"/>
        <v>91.25</v>
      </c>
      <c r="O9" s="19">
        <f t="shared" si="9"/>
        <v>45905.25</v>
      </c>
      <c r="P9" s="17">
        <f t="shared" ca="1" si="10"/>
        <v>-102.75</v>
      </c>
    </row>
    <row r="10" spans="1:16" x14ac:dyDescent="0.3">
      <c r="A10" s="10">
        <f t="shared" si="0"/>
        <v>8</v>
      </c>
      <c r="B10" s="10" t="s">
        <v>2490</v>
      </c>
      <c r="C10" s="10" t="str">
        <f>VLOOKUP(B:B,재고차이!A:B,2,0)</f>
        <v>PA0002</v>
      </c>
      <c r="D10" s="10" t="str">
        <f>VLOOKUP(C:C,재고차이!B:C,2,0)</f>
        <v>파워 제로 마운틴블라 600PET 4X6</v>
      </c>
      <c r="E10" s="200">
        <v>28</v>
      </c>
      <c r="F10" s="200"/>
      <c r="G10" s="200"/>
      <c r="H10" s="200"/>
      <c r="I10" s="164">
        <v>46180</v>
      </c>
      <c r="J10" s="164"/>
      <c r="K10" s="20">
        <f t="shared" ref="K10:K12" ca="1" si="11">+P10</f>
        <v>-101.75</v>
      </c>
      <c r="L10" s="95">
        <f>IF(I10="","",SUMIF(제품등록!B:B,'창고1(실사표)'!C:C,제품등록!F:F))</f>
        <v>365</v>
      </c>
      <c r="M10" s="11">
        <f t="shared" ref="M10:M12" si="12">IF(I10=0,"",I10-L10)</f>
        <v>45815</v>
      </c>
      <c r="N10" s="18">
        <f t="shared" ref="N10:N12" si="13">IF(L10="","",L10*상미75)</f>
        <v>91.25</v>
      </c>
      <c r="O10" s="19">
        <f t="shared" ref="O10:O12" si="14">IF(M10="","",M10+N10)</f>
        <v>45906.25</v>
      </c>
      <c r="P10" s="17">
        <f t="shared" ref="P10:P12" ca="1" si="15">IF(O10="","",O10-$I$1)</f>
        <v>-101.75</v>
      </c>
    </row>
    <row r="11" spans="1:16" ht="15.75" customHeight="1" x14ac:dyDescent="0.3">
      <c r="A11" s="10">
        <f t="shared" si="0"/>
        <v>9</v>
      </c>
      <c r="B11" s="10">
        <v>6285</v>
      </c>
      <c r="C11" s="10" t="str">
        <f>VLOOKUP(B:B,재고차이!A:B,2,0)</f>
        <v>PA6285</v>
      </c>
      <c r="D11" s="10" t="str">
        <f>VLOOKUP(C:C,재고차이!B:C,2,0)</f>
        <v>S)파워 스칼렛스톰 600PET 4X6</v>
      </c>
      <c r="E11" s="200">
        <v>1</v>
      </c>
      <c r="F11" s="200"/>
      <c r="G11" s="200"/>
      <c r="H11" s="200"/>
      <c r="I11" s="164">
        <v>46183</v>
      </c>
      <c r="J11" s="164"/>
      <c r="K11" s="20">
        <f t="shared" ref="K11" ca="1" si="16">+P11</f>
        <v>-98.75</v>
      </c>
      <c r="L11" s="95">
        <f>IF(I11="","",SUMIF(제품등록!B:B,'창고1(실사표)'!C:C,제품등록!F:F))</f>
        <v>365</v>
      </c>
      <c r="M11" s="11">
        <f t="shared" ref="M11" si="17">IF(I11=0,"",I11-L11)</f>
        <v>45818</v>
      </c>
      <c r="N11" s="18">
        <f t="shared" ref="N11" si="18">IF(L11="","",L11*상미75)</f>
        <v>91.25</v>
      </c>
      <c r="O11" s="19">
        <f t="shared" ref="O11" si="19">IF(M11="","",M11+N11)</f>
        <v>45909.25</v>
      </c>
      <c r="P11" s="17">
        <f t="shared" ref="P11" ca="1" si="20">IF(O11="","",O11-$I$1)</f>
        <v>-98.75</v>
      </c>
    </row>
    <row r="12" spans="1:16" ht="15.75" customHeight="1" x14ac:dyDescent="0.3">
      <c r="A12" s="10">
        <f t="shared" si="0"/>
        <v>10</v>
      </c>
      <c r="B12" s="10">
        <v>6285</v>
      </c>
      <c r="C12" s="10" t="str">
        <f>VLOOKUP(B:B,재고차이!A:B,2,0)</f>
        <v>PA6285</v>
      </c>
      <c r="D12" s="10" t="str">
        <f>VLOOKUP(C:C,재고차이!B:C,2,0)</f>
        <v>S)파워 스칼렛스톰 600PET 4X6</v>
      </c>
      <c r="E12" s="200">
        <v>3</v>
      </c>
      <c r="F12" s="200"/>
      <c r="G12" s="200"/>
      <c r="H12" s="200"/>
      <c r="I12" s="164">
        <v>46184</v>
      </c>
      <c r="J12" s="164"/>
      <c r="K12" s="20">
        <f t="shared" ca="1" si="11"/>
        <v>-97.75</v>
      </c>
      <c r="L12" s="95">
        <f>IF(I12="","",SUMIF(제품등록!B:B,'창고1(실사표)'!C:C,제품등록!F:F))</f>
        <v>365</v>
      </c>
      <c r="M12" s="11">
        <f t="shared" si="12"/>
        <v>45819</v>
      </c>
      <c r="N12" s="18">
        <f t="shared" si="13"/>
        <v>91.25</v>
      </c>
      <c r="O12" s="19">
        <f t="shared" si="14"/>
        <v>45910.25</v>
      </c>
      <c r="P12" s="17">
        <f t="shared" ca="1" si="15"/>
        <v>-97.75</v>
      </c>
    </row>
    <row r="13" spans="1:16" ht="15.75" customHeight="1" x14ac:dyDescent="0.3">
      <c r="A13" s="10">
        <f t="shared" si="0"/>
        <v>11</v>
      </c>
      <c r="B13" s="10">
        <v>6285</v>
      </c>
      <c r="C13" s="10" t="str">
        <f>VLOOKUP(B:B,재고차이!A:B,2,0)</f>
        <v>PA6285</v>
      </c>
      <c r="D13" s="10" t="str">
        <f>VLOOKUP(C:C,재고차이!B:C,2,0)</f>
        <v>S)파워 스칼렛스톰 600PET 4X6</v>
      </c>
      <c r="E13" s="200">
        <f>12+20</f>
        <v>32</v>
      </c>
      <c r="F13" s="200"/>
      <c r="G13" s="200"/>
      <c r="H13" s="200"/>
      <c r="I13" s="164">
        <v>46190</v>
      </c>
      <c r="J13" s="164"/>
      <c r="K13" s="20">
        <f t="shared" ref="K13" ca="1" si="21">+P13</f>
        <v>-91.75</v>
      </c>
      <c r="L13" s="95">
        <f>IF(I13="","",SUMIF(제품등록!B:B,'창고1(실사표)'!C:C,제품등록!F:F))</f>
        <v>365</v>
      </c>
      <c r="M13" s="11">
        <f t="shared" ref="M13" si="22">IF(I13=0,"",I13-L13)</f>
        <v>45825</v>
      </c>
      <c r="N13" s="18">
        <f t="shared" ref="N13" si="23">IF(L13="","",L13*상미75)</f>
        <v>91.25</v>
      </c>
      <c r="O13" s="19">
        <f t="shared" ref="O13" si="24">IF(M13="","",M13+N13)</f>
        <v>45916.25</v>
      </c>
      <c r="P13" s="17">
        <f t="shared" ref="P13" ca="1" si="25">IF(O13="","",O13-$I$1)</f>
        <v>-91.75</v>
      </c>
    </row>
    <row r="14" spans="1:16" ht="15.75" customHeight="1" x14ac:dyDescent="0.3">
      <c r="A14" s="10">
        <f t="shared" si="0"/>
        <v>12</v>
      </c>
      <c r="B14" s="10">
        <v>1007</v>
      </c>
      <c r="C14" s="10" t="str">
        <f>VLOOKUP(B:B,재고차이!A:B,2,0)</f>
        <v>PA1007</v>
      </c>
      <c r="D14" s="10" t="str">
        <f>VLOOKUP(C:C,재고차이!B:C,2,0)</f>
        <v>S)파워 제로 라임향 600PET 4X6</v>
      </c>
      <c r="E14" s="200">
        <f>23+42+46</f>
        <v>111</v>
      </c>
      <c r="F14" s="200"/>
      <c r="G14" s="200"/>
      <c r="H14" s="200"/>
      <c r="I14" s="164">
        <v>46196</v>
      </c>
      <c r="J14" s="164"/>
      <c r="K14" s="20">
        <f t="shared" ref="K14:K16" ca="1" si="26">+P14</f>
        <v>-85.75</v>
      </c>
      <c r="L14" s="95">
        <f>IF(I14="","",SUMIF(제품등록!B:B,'창고1(실사표)'!C:C,제품등록!F:F))</f>
        <v>365</v>
      </c>
      <c r="M14" s="11">
        <f t="shared" ref="M14:M16" si="27">IF(I14=0,"",I14-L14)</f>
        <v>45831</v>
      </c>
      <c r="N14" s="18">
        <f t="shared" ref="N14:N16" si="28">IF(L14="","",L14*상미75)</f>
        <v>91.25</v>
      </c>
      <c r="O14" s="19">
        <f t="shared" ref="O14:O16" si="29">IF(M14="","",M14+N14)</f>
        <v>45922.25</v>
      </c>
      <c r="P14" s="17">
        <f t="shared" ref="P14:P16" ca="1" si="30">IF(O14="","",O14-$I$1)</f>
        <v>-85.75</v>
      </c>
    </row>
    <row r="15" spans="1:16" ht="15.75" customHeight="1" x14ac:dyDescent="0.3">
      <c r="A15" s="10">
        <f t="shared" si="0"/>
        <v>13</v>
      </c>
      <c r="B15" s="10">
        <v>8561</v>
      </c>
      <c r="C15" s="10" t="str">
        <f>VLOOKUP(B:B,재고차이!A:B,2,0)</f>
        <v>TR8561</v>
      </c>
      <c r="D15" s="10" t="str">
        <f>VLOOKUP(C:C,재고차이!B:C,2,0)</f>
        <v>토레타 500ml (소분)</v>
      </c>
      <c r="E15" s="10">
        <f>6+18</f>
        <v>24</v>
      </c>
      <c r="F15" s="10"/>
      <c r="G15" s="200"/>
      <c r="H15" s="200"/>
      <c r="I15" s="164">
        <v>46163</v>
      </c>
      <c r="J15" s="164"/>
      <c r="K15" s="20">
        <f t="shared" ref="K15" ca="1" si="31">+P15</f>
        <v>-118.75</v>
      </c>
      <c r="L15" s="95">
        <f>IF(I15="","",SUMIF(제품등록!B:B,'창고1(실사표)'!C:C,제품등록!F:F))</f>
        <v>365</v>
      </c>
      <c r="M15" s="11">
        <f t="shared" ref="M15" si="32">IF(I15=0,"",I15-L15)</f>
        <v>45798</v>
      </c>
      <c r="N15" s="18">
        <f t="shared" ref="N15" si="33">IF(L15="","",L15*상미75)</f>
        <v>91.25</v>
      </c>
      <c r="O15" s="19">
        <f t="shared" ref="O15" si="34">IF(M15="","",M15+N15)</f>
        <v>45889.25</v>
      </c>
      <c r="P15" s="17">
        <f t="shared" ref="P15" ca="1" si="35">IF(O15="","",O15-$I$1)</f>
        <v>-118.75</v>
      </c>
    </row>
    <row r="16" spans="1:16" ht="15.75" customHeight="1" x14ac:dyDescent="0.3">
      <c r="A16" s="10">
        <f t="shared" si="0"/>
        <v>14</v>
      </c>
      <c r="B16" s="10">
        <v>8561</v>
      </c>
      <c r="C16" s="10" t="str">
        <f>VLOOKUP(B:B,재고차이!A:B,2,0)</f>
        <v>TR8561</v>
      </c>
      <c r="D16" s="10" t="str">
        <f>VLOOKUP(C:C,재고차이!B:C,2,0)</f>
        <v>토레타 500ml (소분)</v>
      </c>
      <c r="E16" s="10">
        <v>28</v>
      </c>
      <c r="F16" s="10"/>
      <c r="G16" s="200"/>
      <c r="H16" s="200"/>
      <c r="I16" s="164">
        <v>46164</v>
      </c>
      <c r="J16" s="164"/>
      <c r="K16" s="20">
        <f t="shared" ca="1" si="26"/>
        <v>-117.75</v>
      </c>
      <c r="L16" s="95">
        <f>IF(I16="","",SUMIF(제품등록!B:B,'창고1(실사표)'!C:C,제품등록!F:F))</f>
        <v>365</v>
      </c>
      <c r="M16" s="11">
        <f t="shared" si="27"/>
        <v>45799</v>
      </c>
      <c r="N16" s="18">
        <f t="shared" si="28"/>
        <v>91.25</v>
      </c>
      <c r="O16" s="19">
        <f t="shared" si="29"/>
        <v>45890.25</v>
      </c>
      <c r="P16" s="17">
        <f t="shared" ca="1" si="30"/>
        <v>-117.75</v>
      </c>
    </row>
    <row r="17" spans="1:16" ht="15.75" customHeight="1" x14ac:dyDescent="0.3">
      <c r="A17" s="10">
        <f t="shared" si="0"/>
        <v>15</v>
      </c>
      <c r="B17" s="10">
        <v>8590</v>
      </c>
      <c r="C17" s="10" t="str">
        <f>VLOOKUP(B:B,재고차이!A:B,2,0)</f>
        <v>TR8590</v>
      </c>
      <c r="D17" s="10" t="str">
        <f>VLOOKUP(C:C,재고차이!B:C,2,0)</f>
        <v>토레타 제로500PET 4x6</v>
      </c>
      <c r="E17" s="10">
        <f>12+18+34</f>
        <v>64</v>
      </c>
      <c r="F17" s="10"/>
      <c r="G17" s="200"/>
      <c r="H17" s="200"/>
      <c r="I17" s="164">
        <v>46211</v>
      </c>
      <c r="J17" s="164"/>
      <c r="K17" s="20">
        <f t="shared" ref="K17:K18" ca="1" si="36">+P17</f>
        <v>-70.75</v>
      </c>
      <c r="L17" s="95">
        <f>IF(I17="","",SUMIF(제품등록!B:B,'창고1(실사표)'!C:C,제품등록!F:F))</f>
        <v>365</v>
      </c>
      <c r="M17" s="11">
        <f t="shared" ref="M17:M18" si="37">IF(I17=0,"",I17-L17)</f>
        <v>45846</v>
      </c>
      <c r="N17" s="18">
        <f t="shared" ref="N17:N18" si="38">IF(L17="","",L17*상미75)</f>
        <v>91.25</v>
      </c>
      <c r="O17" s="19">
        <f t="shared" ref="O17:O18" si="39">IF(M17="","",M17+N17)</f>
        <v>45937.25</v>
      </c>
      <c r="P17" s="17">
        <f t="shared" ref="P17:P18" ca="1" si="40">IF(O17="","",O17-$I$1)</f>
        <v>-70.75</v>
      </c>
    </row>
    <row r="18" spans="1:16" x14ac:dyDescent="0.3">
      <c r="A18" s="10">
        <f t="shared" si="0"/>
        <v>16</v>
      </c>
      <c r="B18" s="10" t="s">
        <v>2687</v>
      </c>
      <c r="C18" s="10" t="str">
        <f>VLOOKUP(B:B,재고차이!A:B,2,0)</f>
        <v>IH0001</v>
      </c>
      <c r="D18" s="10" t="str">
        <f>VLOOKUP(C:C,재고차이!B:C,2,0)</f>
        <v>S)일로하스 피치 540PET 4X6</v>
      </c>
      <c r="E18" s="200">
        <f>4+15</f>
        <v>19</v>
      </c>
      <c r="F18" s="200"/>
      <c r="G18" s="200"/>
      <c r="H18" s="200"/>
      <c r="I18" s="164">
        <v>46156</v>
      </c>
      <c r="J18" s="164"/>
      <c r="K18" s="20">
        <f t="shared" ca="1" si="36"/>
        <v>-125.75</v>
      </c>
      <c r="L18" s="95">
        <f>IF(I18="","",SUMIF(제품등록!B:B,'창고1(실사표)'!C:C,제품등록!F:F))</f>
        <v>365</v>
      </c>
      <c r="M18" s="11">
        <f t="shared" si="37"/>
        <v>45791</v>
      </c>
      <c r="N18" s="18">
        <f t="shared" si="38"/>
        <v>91.25</v>
      </c>
      <c r="O18" s="19">
        <f t="shared" si="39"/>
        <v>45882.25</v>
      </c>
      <c r="P18" s="17">
        <f t="shared" ca="1" si="40"/>
        <v>-125.75</v>
      </c>
    </row>
    <row r="19" spans="1:16" ht="15.75" customHeight="1" x14ac:dyDescent="0.3">
      <c r="A19" s="10">
        <f t="shared" si="0"/>
        <v>17</v>
      </c>
      <c r="B19" s="10">
        <v>1000</v>
      </c>
      <c r="C19" s="10" t="str">
        <f>VLOOKUP(B:B,재고차이!A:B,2,0)</f>
        <v>MM1000</v>
      </c>
      <c r="D19" s="10" t="str">
        <f>VLOOKUP(C:C,재고차이!B:C,2,0)</f>
        <v>미닛 허니&amp;유자 280PET 4X6</v>
      </c>
      <c r="E19" s="200">
        <v>3</v>
      </c>
      <c r="F19" s="200"/>
      <c r="G19" s="200"/>
      <c r="H19" s="200"/>
      <c r="I19" s="164">
        <v>46150</v>
      </c>
      <c r="J19" s="164"/>
      <c r="K19" s="20">
        <f t="shared" ca="1" si="1"/>
        <v>-131.75</v>
      </c>
      <c r="L19" s="95">
        <f>IF(I19="","",SUMIF(제품등록!B:B,'창고1(실사표)'!C:C,제품등록!F:F))</f>
        <v>365</v>
      </c>
      <c r="M19" s="11">
        <f t="shared" si="2"/>
        <v>45785</v>
      </c>
      <c r="N19" s="18">
        <f t="shared" si="3"/>
        <v>91.25</v>
      </c>
      <c r="O19" s="19">
        <f t="shared" si="4"/>
        <v>45876.25</v>
      </c>
      <c r="P19" s="17">
        <f t="shared" ca="1" si="5"/>
        <v>-131.75</v>
      </c>
    </row>
    <row r="20" spans="1:16" ht="15.75" customHeight="1" x14ac:dyDescent="0.3">
      <c r="A20" s="10">
        <f t="shared" si="0"/>
        <v>18</v>
      </c>
      <c r="B20" s="10">
        <v>1001</v>
      </c>
      <c r="C20" s="10" t="str">
        <f>VLOOKUP(B:B,재고차이!A:B,2,0)</f>
        <v>MM1001</v>
      </c>
      <c r="D20" s="10" t="str">
        <f>VLOOKUP(C:C,재고차이!B:C,2,0)</f>
        <v>미닛 모과&amp;생강 280PET 4X6</v>
      </c>
      <c r="E20" s="200">
        <v>2</v>
      </c>
      <c r="F20" s="200"/>
      <c r="G20" s="200"/>
      <c r="H20" s="200"/>
      <c r="I20" s="164">
        <v>46242</v>
      </c>
      <c r="J20" s="164"/>
      <c r="K20" s="20">
        <f t="shared" ca="1" si="1"/>
        <v>-108.75</v>
      </c>
      <c r="L20" s="95">
        <f>IF(I20="","",SUMIF(제품등록!B:B,'창고1(실사표)'!C:C,제품등록!F:F))</f>
        <v>457</v>
      </c>
      <c r="M20" s="11">
        <f t="shared" si="2"/>
        <v>45785</v>
      </c>
      <c r="N20" s="18">
        <f t="shared" si="3"/>
        <v>114.25</v>
      </c>
      <c r="O20" s="19">
        <f t="shared" si="4"/>
        <v>45899.25</v>
      </c>
      <c r="P20" s="17">
        <f t="shared" ca="1" si="5"/>
        <v>-108.75</v>
      </c>
    </row>
    <row r="21" spans="1:16" ht="15.75" customHeight="1" x14ac:dyDescent="0.3">
      <c r="A21" s="10">
        <f t="shared" si="0"/>
        <v>19</v>
      </c>
      <c r="B21" s="10">
        <v>1002</v>
      </c>
      <c r="C21" s="10" t="str">
        <f>VLOOKUP(B:B,재고차이!A:B,2,0)</f>
        <v>MM1002</v>
      </c>
      <c r="D21" s="10" t="str">
        <f>VLOOKUP(C:C,재고차이!B:C,2,0)</f>
        <v>미닛 레몬에이드 350PET 4X6</v>
      </c>
      <c r="E21" s="200">
        <v>9</v>
      </c>
      <c r="F21" s="200"/>
      <c r="G21" s="200"/>
      <c r="H21" s="200"/>
      <c r="I21" s="164">
        <v>46089</v>
      </c>
      <c r="J21" s="164"/>
      <c r="K21" s="20">
        <f t="shared" ca="1" si="1"/>
        <v>-121.5</v>
      </c>
      <c r="L21" s="95">
        <f>IF(I21="","",SUMIF(제품등록!B:B,'창고1(실사표)'!C:C,제품등록!F:F))</f>
        <v>270</v>
      </c>
      <c r="M21" s="11">
        <f t="shared" si="2"/>
        <v>45819</v>
      </c>
      <c r="N21" s="18">
        <f t="shared" si="3"/>
        <v>67.5</v>
      </c>
      <c r="O21" s="19">
        <f t="shared" si="4"/>
        <v>45886.5</v>
      </c>
      <c r="P21" s="17">
        <f t="shared" ca="1" si="5"/>
        <v>-121.5</v>
      </c>
    </row>
    <row r="22" spans="1:16" ht="15.75" customHeight="1" x14ac:dyDescent="0.3">
      <c r="A22" s="10">
        <f t="shared" si="0"/>
        <v>20</v>
      </c>
      <c r="B22" s="10">
        <v>1002</v>
      </c>
      <c r="C22" s="10" t="str">
        <f>VLOOKUP(B:B,재고차이!A:B,2,0)</f>
        <v>MM1002</v>
      </c>
      <c r="D22" s="10" t="str">
        <f>VLOOKUP(C:C,재고차이!B:C,2,0)</f>
        <v>미닛 레몬에이드 350PET 4X6</v>
      </c>
      <c r="E22" s="200">
        <v>3</v>
      </c>
      <c r="F22" s="200"/>
      <c r="G22" s="200"/>
      <c r="H22" s="200"/>
      <c r="I22" s="164">
        <v>46090</v>
      </c>
      <c r="J22" s="164"/>
      <c r="K22" s="20">
        <f t="shared" ref="K22" ca="1" si="41">+P22</f>
        <v>-120.5</v>
      </c>
      <c r="L22" s="95">
        <f>IF(I22="","",SUMIF(제품등록!B:B,'창고1(실사표)'!C:C,제품등록!F:F))</f>
        <v>270</v>
      </c>
      <c r="M22" s="11">
        <f t="shared" ref="M22" si="42">IF(I22=0,"",I22-L22)</f>
        <v>45820</v>
      </c>
      <c r="N22" s="18">
        <f t="shared" ref="N22" si="43">IF(L22="","",L22*상미75)</f>
        <v>67.5</v>
      </c>
      <c r="O22" s="19">
        <f t="shared" ref="O22" si="44">IF(M22="","",M22+N22)</f>
        <v>45887.5</v>
      </c>
      <c r="P22" s="17">
        <f t="shared" ref="P22" ca="1" si="45">IF(O22="","",O22-$I$1)</f>
        <v>-120.5</v>
      </c>
    </row>
    <row r="23" spans="1:16" ht="16.5" customHeight="1" x14ac:dyDescent="0.3">
      <c r="A23" s="10">
        <f t="shared" si="0"/>
        <v>21</v>
      </c>
      <c r="B23" s="10">
        <v>8065</v>
      </c>
      <c r="C23" s="10" t="str">
        <f>VLOOKUP(B:B,재고차이!A:B,2,0)</f>
        <v>GG8065</v>
      </c>
      <c r="D23" s="10" t="str">
        <f>VLOOKUP(C:C,재고차이!B:C,2,0)</f>
        <v>조지아 크래프트 블랙 470PET 4X6</v>
      </c>
      <c r="E23" s="200">
        <f>14+10</f>
        <v>24</v>
      </c>
      <c r="F23" s="200"/>
      <c r="G23" s="200"/>
      <c r="H23" s="200"/>
      <c r="I23" s="164">
        <v>46191</v>
      </c>
      <c r="J23" s="164"/>
      <c r="K23" s="20">
        <f t="shared" ref="K23" ca="1" si="46">+P23</f>
        <v>-90.75</v>
      </c>
      <c r="L23" s="95">
        <f>IF(I23="","",SUMIF(제품등록!B:B,'창고1(실사표)'!C:C,제품등록!F:F))</f>
        <v>365</v>
      </c>
      <c r="M23" s="11">
        <f t="shared" ref="M23" si="47">IF(I23=0,"",I23-L23)</f>
        <v>45826</v>
      </c>
      <c r="N23" s="18">
        <f t="shared" ref="N23" si="48">IF(L23="","",L23*상미75)</f>
        <v>91.25</v>
      </c>
      <c r="O23" s="19">
        <f t="shared" ref="O23" si="49">IF(M23="","",M23+N23)</f>
        <v>45917.25</v>
      </c>
      <c r="P23" s="17">
        <f t="shared" ref="P23" ca="1" si="50">IF(O23="","",O23-$I$1)</f>
        <v>-90.75</v>
      </c>
    </row>
    <row r="24" spans="1:16" ht="15.75" customHeight="1" x14ac:dyDescent="0.3">
      <c r="A24" s="10">
        <f t="shared" si="0"/>
        <v>22</v>
      </c>
      <c r="B24" s="10">
        <v>8066</v>
      </c>
      <c r="C24" s="10" t="str">
        <f>VLOOKUP(B:B,재고차이!A:B,2,0)</f>
        <v>GG8066</v>
      </c>
      <c r="D24" s="10" t="str">
        <f>VLOOKUP(C:C,재고차이!B:C,2,0)</f>
        <v>조지아 크래프트 라떼 470PET 4X6</v>
      </c>
      <c r="E24" s="200">
        <v>24</v>
      </c>
      <c r="F24" s="200"/>
      <c r="G24" s="200"/>
      <c r="H24" s="200"/>
      <c r="I24" s="164">
        <v>46144</v>
      </c>
      <c r="J24" s="164"/>
      <c r="K24" s="20">
        <f t="shared" ca="1" si="1"/>
        <v>-92</v>
      </c>
      <c r="L24" s="95">
        <f>IF(I24="","",SUMIF(제품등록!B:B,'창고1(실사표)'!C:C,제품등록!F:F))</f>
        <v>304</v>
      </c>
      <c r="M24" s="11">
        <f t="shared" si="2"/>
        <v>45840</v>
      </c>
      <c r="N24" s="18">
        <f t="shared" si="3"/>
        <v>76</v>
      </c>
      <c r="O24" s="19">
        <f t="shared" si="4"/>
        <v>45916</v>
      </c>
      <c r="P24" s="17">
        <f t="shared" ca="1" si="5"/>
        <v>-92</v>
      </c>
    </row>
    <row r="25" spans="1:16" ht="15.75" customHeight="1" x14ac:dyDescent="0.3">
      <c r="A25" s="10">
        <f t="shared" si="0"/>
        <v>23</v>
      </c>
      <c r="B25" s="10">
        <v>8058</v>
      </c>
      <c r="C25" s="10" t="str">
        <f>VLOOKUP(B:B,재고차이!A:B,2,0)</f>
        <v>GG8058</v>
      </c>
      <c r="D25" s="10" t="str">
        <f>VLOOKUP(C:C,재고차이!B:C,2,0)</f>
        <v>조지아 크래프트 스윗블랙 470PET 4X6</v>
      </c>
      <c r="E25" s="200">
        <f>1+8</f>
        <v>9</v>
      </c>
      <c r="F25" s="200"/>
      <c r="G25" s="200"/>
      <c r="H25" s="200"/>
      <c r="I25" s="164">
        <v>46190</v>
      </c>
      <c r="J25" s="164"/>
      <c r="K25" s="20">
        <f t="shared" ca="1" si="1"/>
        <v>-91.75</v>
      </c>
      <c r="L25" s="95">
        <f>IF(I25="","",SUMIF(제품등록!B:B,'창고1(실사표)'!C:C,제품등록!F:F))</f>
        <v>365</v>
      </c>
      <c r="M25" s="11">
        <f t="shared" si="2"/>
        <v>45825</v>
      </c>
      <c r="N25" s="18">
        <f t="shared" si="3"/>
        <v>91.25</v>
      </c>
      <c r="O25" s="19">
        <f t="shared" si="4"/>
        <v>45916.25</v>
      </c>
      <c r="P25" s="17">
        <f t="shared" ca="1" si="5"/>
        <v>-91.75</v>
      </c>
    </row>
    <row r="26" spans="1:16" ht="16.5" customHeight="1" x14ac:dyDescent="0.3">
      <c r="A26" s="10">
        <f t="shared" ref="A26:A54" si="51">ROW()-2</f>
        <v>24</v>
      </c>
      <c r="B26" s="10">
        <v>8278</v>
      </c>
      <c r="C26" s="10" t="str">
        <f>VLOOKUP(B:B,재고차이!A:B,2,0)</f>
        <v>GG8278</v>
      </c>
      <c r="D26" s="10" t="str">
        <f>VLOOKUP(C:C,재고차이!B:C,2,0)</f>
        <v>조지아 크래프트 저칼로리라떼 470PET 4X6</v>
      </c>
      <c r="E26" s="10">
        <v>14</v>
      </c>
      <c r="F26" s="10"/>
      <c r="G26" s="200"/>
      <c r="H26" s="200"/>
      <c r="I26" s="199">
        <v>46110</v>
      </c>
      <c r="J26" s="164"/>
      <c r="K26" s="20">
        <f t="shared" ca="1" si="1"/>
        <v>-126</v>
      </c>
      <c r="L26" s="95">
        <f>IF(I26="","",SUMIF(제품등록!B:B,'창고1(실사표)'!C:C,제품등록!F:F))</f>
        <v>304</v>
      </c>
      <c r="M26" s="11">
        <f t="shared" si="2"/>
        <v>45806</v>
      </c>
      <c r="N26" s="18">
        <f t="shared" si="3"/>
        <v>76</v>
      </c>
      <c r="O26" s="19">
        <f t="shared" si="4"/>
        <v>45882</v>
      </c>
      <c r="P26" s="17">
        <f t="shared" ca="1" si="5"/>
        <v>-126</v>
      </c>
    </row>
    <row r="27" spans="1:16" ht="15.75" customHeight="1" x14ac:dyDescent="0.3">
      <c r="A27" s="10">
        <f t="shared" si="51"/>
        <v>25</v>
      </c>
      <c r="B27" s="10">
        <v>5651</v>
      </c>
      <c r="C27" s="10" t="str">
        <f>VLOOKUP(B:B,재고차이!A:B,2,0)</f>
        <v>PC5651</v>
      </c>
      <c r="D27" s="10" t="str">
        <f>VLOOKUP(C:C,재고차이!B:C,2,0)</f>
        <v>강원평창수(올림픽) 500PET X20</v>
      </c>
      <c r="E27" s="200">
        <v>12</v>
      </c>
      <c r="F27" s="200"/>
      <c r="G27" s="200"/>
      <c r="H27" s="200"/>
      <c r="I27" s="164">
        <v>46164</v>
      </c>
      <c r="J27" s="164"/>
      <c r="K27" s="20">
        <f t="shared" ref="K27:K54" ca="1" si="52">+P27</f>
        <v>-117.75</v>
      </c>
      <c r="L27" s="95">
        <f>IF(I27="","",SUMIF(제품등록!B:B,'창고1(실사표)'!C:C,제품등록!F:F))</f>
        <v>365</v>
      </c>
      <c r="M27" s="11">
        <f t="shared" si="2"/>
        <v>45799</v>
      </c>
      <c r="N27" s="18">
        <f t="shared" ref="N27:N54" si="53">IF(L27="","",L27*상미75)</f>
        <v>91.25</v>
      </c>
      <c r="O27" s="19">
        <f t="shared" ref="O27:O50" si="54">IF(M27="","",M27+N27)</f>
        <v>45890.25</v>
      </c>
      <c r="P27" s="17">
        <f t="shared" ref="P27:P50" ca="1" si="55">IF(O27="","",O27-$I$1)</f>
        <v>-117.75</v>
      </c>
    </row>
    <row r="28" spans="1:16" ht="15.75" customHeight="1" x14ac:dyDescent="0.3">
      <c r="A28" s="10">
        <f t="shared" si="51"/>
        <v>26</v>
      </c>
      <c r="B28" s="10">
        <v>5640</v>
      </c>
      <c r="C28" s="10" t="str">
        <f>VLOOKUP(B:B,재고차이!A:B,2,0)</f>
        <v>PC5640</v>
      </c>
      <c r="D28" s="10" t="str">
        <f>VLOOKUP(C:C,재고차이!B:C,2,0)</f>
        <v>강원평창수 2.0PET X6</v>
      </c>
      <c r="E28" s="200"/>
      <c r="F28" s="200"/>
      <c r="G28" s="200"/>
      <c r="H28" s="200"/>
      <c r="I28" s="164"/>
      <c r="J28" s="164"/>
      <c r="K28" s="20" t="str">
        <f t="shared" ref="K28" si="56">+P28</f>
        <v/>
      </c>
      <c r="L28" s="95" t="str">
        <f>IF(I28="","",SUMIF(제품등록!B:B,'창고1(실사표)'!C:C,제품등록!F:F))</f>
        <v/>
      </c>
      <c r="M28" s="11" t="str">
        <f t="shared" ref="M28" si="57">IF(I28=0,"",I28-L28)</f>
        <v/>
      </c>
      <c r="N28" s="18" t="str">
        <f t="shared" ref="N28" si="58">IF(L28="","",L28*상미75)</f>
        <v/>
      </c>
      <c r="O28" s="19" t="str">
        <f t="shared" ref="O28" si="59">IF(M28="","",M28+N28)</f>
        <v/>
      </c>
      <c r="P28" s="17" t="str">
        <f t="shared" ref="P28" si="60">IF(O28="","",O28-$I$1)</f>
        <v/>
      </c>
    </row>
    <row r="29" spans="1:16" ht="15.75" customHeight="1" x14ac:dyDescent="0.3">
      <c r="A29" s="10">
        <f t="shared" si="51"/>
        <v>27</v>
      </c>
      <c r="B29" s="10">
        <v>4969</v>
      </c>
      <c r="C29" s="10" t="str">
        <f>VLOOKUP(B:B,재고차이!A:B,2,0)</f>
        <v>KC4969</v>
      </c>
      <c r="D29" s="10" t="str">
        <f>VLOOKUP(C:C,재고차이!B:C,2,0)</f>
        <v>S)과일촌 아침에사과 500PET 4X6</v>
      </c>
      <c r="E29" s="200">
        <f>4+16</f>
        <v>20</v>
      </c>
      <c r="F29" s="200"/>
      <c r="G29" s="200"/>
      <c r="H29" s="200"/>
      <c r="I29" s="164">
        <v>46182</v>
      </c>
      <c r="J29" s="164"/>
      <c r="K29" s="20">
        <f t="shared" ref="K29" ca="1" si="61">+P29</f>
        <v>-99.75</v>
      </c>
      <c r="L29" s="95">
        <f>IF(I29="","",SUMIF(제품등록!B:B,'창고1(실사표)'!C:C,제품등록!F:F))</f>
        <v>365</v>
      </c>
      <c r="M29" s="11">
        <f t="shared" ref="M29" si="62">IF(I29=0,"",I29-L29)</f>
        <v>45817</v>
      </c>
      <c r="N29" s="18">
        <f t="shared" ref="N29" si="63">IF(L29="","",L29*상미75)</f>
        <v>91.25</v>
      </c>
      <c r="O29" s="19">
        <f t="shared" ref="O29" si="64">IF(M29="","",M29+N29)</f>
        <v>45908.25</v>
      </c>
      <c r="P29" s="17">
        <f t="shared" ref="P29" ca="1" si="65">IF(O29="","",O29-$I$1)</f>
        <v>-99.75</v>
      </c>
    </row>
    <row r="30" spans="1:16" ht="15.75" customHeight="1" x14ac:dyDescent="0.3">
      <c r="A30" s="10">
        <f t="shared" si="51"/>
        <v>28</v>
      </c>
      <c r="B30" s="10">
        <v>2825</v>
      </c>
      <c r="C30" s="10" t="str">
        <f>VLOOKUP(B:B,재고차이!A:B,2,0)</f>
        <v>KM2825</v>
      </c>
      <c r="D30" s="10" t="str">
        <f>VLOOKUP(C:C,재고차이!B:C,2,0)</f>
        <v>S)갈아만든 배 500PET 4X6</v>
      </c>
      <c r="E30" s="200">
        <v>1</v>
      </c>
      <c r="F30" s="200"/>
      <c r="G30" s="200"/>
      <c r="H30" s="200"/>
      <c r="I30" s="164">
        <v>46123</v>
      </c>
      <c r="J30" s="164"/>
      <c r="K30" s="20">
        <f t="shared" ref="K30:K31" ca="1" si="66">+P30</f>
        <v>-113</v>
      </c>
      <c r="L30" s="95">
        <f>IF(I30="","",SUMIF(제품등록!B:B,'창고1(실사표)'!C:C,제품등록!F:F))</f>
        <v>304</v>
      </c>
      <c r="M30" s="11">
        <f t="shared" ref="M30:M31" si="67">IF(I30=0,"",I30-L30)</f>
        <v>45819</v>
      </c>
      <c r="N30" s="18">
        <f t="shared" ref="N30:N31" si="68">IF(L30="","",L30*상미75)</f>
        <v>76</v>
      </c>
      <c r="O30" s="19">
        <f t="shared" ref="O30:O31" si="69">IF(M30="","",M30+N30)</f>
        <v>45895</v>
      </c>
      <c r="P30" s="17">
        <f t="shared" ref="P30:P31" ca="1" si="70">IF(O30="","",O30-$I$1)</f>
        <v>-113</v>
      </c>
    </row>
    <row r="31" spans="1:16" ht="15.75" customHeight="1" x14ac:dyDescent="0.3">
      <c r="A31" s="10">
        <f t="shared" si="51"/>
        <v>29</v>
      </c>
      <c r="B31" s="10" t="s">
        <v>2613</v>
      </c>
      <c r="C31" s="10" t="str">
        <f>VLOOKUP(B:B,재고차이!A:B,2,0)</f>
        <v>GS0012</v>
      </c>
      <c r="D31" s="10" t="str">
        <f>VLOOKUP(C:C,재고차이!B:C,2,0)</f>
        <v>영진 구론산 오리지날액 150NRB 3X10</v>
      </c>
      <c r="E31" s="200">
        <v>1</v>
      </c>
      <c r="F31" s="200"/>
      <c r="G31" s="200"/>
      <c r="H31" s="200"/>
      <c r="I31" s="164">
        <v>46163</v>
      </c>
      <c r="J31" s="164"/>
      <c r="K31" s="20">
        <f t="shared" ca="1" si="66"/>
        <v>-118.75</v>
      </c>
      <c r="L31" s="95">
        <f>IF(I31="","",SUMIF(제품등록!B:B,'창고1(실사표)'!C:C,제품등록!F:F))</f>
        <v>365</v>
      </c>
      <c r="M31" s="11">
        <f t="shared" si="67"/>
        <v>45798</v>
      </c>
      <c r="N31" s="18">
        <f t="shared" si="68"/>
        <v>91.25</v>
      </c>
      <c r="O31" s="19">
        <f t="shared" si="69"/>
        <v>45889.25</v>
      </c>
      <c r="P31" s="17">
        <f t="shared" ca="1" si="70"/>
        <v>-118.75</v>
      </c>
    </row>
    <row r="32" spans="1:16" ht="17.25" customHeight="1" x14ac:dyDescent="0.3">
      <c r="A32" s="10">
        <f t="shared" si="51"/>
        <v>30</v>
      </c>
      <c r="B32" s="10">
        <v>5375</v>
      </c>
      <c r="C32" s="10" t="str">
        <f>VLOOKUP(B:B,재고차이!A:B,2,0)</f>
        <v>GS5375</v>
      </c>
      <c r="D32" s="10" t="str">
        <f>VLOOKUP(C:C,재고차이!B:C,2,0)</f>
        <v>영진 구론산 탄산 오리지날 150NRB 3X10</v>
      </c>
      <c r="E32" s="200">
        <v>10</v>
      </c>
      <c r="F32" s="200"/>
      <c r="G32" s="200"/>
      <c r="H32" s="200"/>
      <c r="I32" s="199">
        <v>46164</v>
      </c>
      <c r="J32" s="164"/>
      <c r="K32" s="20">
        <f t="shared" ref="K32" ca="1" si="71">+P32</f>
        <v>-117.75</v>
      </c>
      <c r="L32" s="95">
        <f>IF(I32="","",SUMIF(제품등록!B:B,'창고1(실사표)'!C:C,제품등록!F:F))</f>
        <v>365</v>
      </c>
      <c r="M32" s="11">
        <f t="shared" si="2"/>
        <v>45799</v>
      </c>
      <c r="N32" s="18">
        <f t="shared" ref="N32" si="72">IF(L32="","",L32*상미75)</f>
        <v>91.25</v>
      </c>
      <c r="O32" s="19">
        <f t="shared" ref="O32" si="73">IF(M32="","",M32+N32)</f>
        <v>45890.25</v>
      </c>
      <c r="P32" s="17">
        <f t="shared" ref="P32" ca="1" si="74">IF(O32="","",O32-$I$1)</f>
        <v>-117.75</v>
      </c>
    </row>
    <row r="33" spans="1:16" ht="15.75" customHeight="1" x14ac:dyDescent="0.3">
      <c r="A33" s="10">
        <f t="shared" si="51"/>
        <v>31</v>
      </c>
      <c r="B33" s="10">
        <v>2826</v>
      </c>
      <c r="C33" s="10" t="str">
        <f>VLOOKUP(B:B,재고차이!A:B,2,0)</f>
        <v>KM2826</v>
      </c>
      <c r="D33" s="10" t="str">
        <f>VLOOKUP(C:C,재고차이!B:C,2,0)</f>
        <v>갈아만든 배 1.5PET X6</v>
      </c>
      <c r="E33" s="200">
        <v>4</v>
      </c>
      <c r="F33" s="200"/>
      <c r="G33" s="200"/>
      <c r="H33" s="200"/>
      <c r="I33" s="164">
        <v>46103</v>
      </c>
      <c r="J33" s="164"/>
      <c r="K33" s="20">
        <f t="shared" ca="1" si="52"/>
        <v>-133</v>
      </c>
      <c r="L33" s="95">
        <f>IF(I33="","",SUMIF(제품등록!B:B,'창고1(실사표)'!C:C,제품등록!F:F))</f>
        <v>304</v>
      </c>
      <c r="M33" s="11">
        <f>IF(I33=0,"",I33-L33)</f>
        <v>45799</v>
      </c>
      <c r="N33" s="18">
        <f t="shared" si="53"/>
        <v>76</v>
      </c>
      <c r="O33" s="19">
        <f t="shared" si="54"/>
        <v>45875</v>
      </c>
      <c r="P33" s="17">
        <f t="shared" ca="1" si="55"/>
        <v>-133</v>
      </c>
    </row>
    <row r="34" spans="1:16" ht="15.75" customHeight="1" x14ac:dyDescent="0.3">
      <c r="A34" s="10">
        <f t="shared" si="51"/>
        <v>32</v>
      </c>
      <c r="B34" s="10">
        <v>4929</v>
      </c>
      <c r="C34" s="10" t="str">
        <f>VLOOKUP(B:B,재고차이!A:B,2,0)</f>
        <v>KM4929</v>
      </c>
      <c r="D34" s="10" t="str">
        <f>VLOOKUP(C:C,재고차이!B:C,2,0)</f>
        <v>S)갈아만든 배 340CAN 4X6</v>
      </c>
      <c r="E34" s="200">
        <v>1</v>
      </c>
      <c r="F34" s="200"/>
      <c r="G34" s="200"/>
      <c r="H34" s="200"/>
      <c r="I34" s="164">
        <v>46527</v>
      </c>
      <c r="J34" s="164"/>
      <c r="K34" s="20">
        <f t="shared" ca="1" si="52"/>
        <v>-28.5</v>
      </c>
      <c r="L34" s="95">
        <f>IF(I34="","",SUMIF(제품등록!B:B,'창고1(실사표)'!C:C,제품등록!F:F))</f>
        <v>730</v>
      </c>
      <c r="M34" s="11">
        <f>IF(I34=0,"",I34-L34)</f>
        <v>45797</v>
      </c>
      <c r="N34" s="18">
        <f t="shared" si="53"/>
        <v>182.5</v>
      </c>
      <c r="O34" s="19">
        <f t="shared" si="54"/>
        <v>45979.5</v>
      </c>
      <c r="P34" s="17">
        <f t="shared" ca="1" si="55"/>
        <v>-28.5</v>
      </c>
    </row>
    <row r="35" spans="1:16" ht="15.75" customHeight="1" x14ac:dyDescent="0.3">
      <c r="A35" s="10">
        <f t="shared" si="51"/>
        <v>33</v>
      </c>
      <c r="B35" s="10">
        <v>4290</v>
      </c>
      <c r="C35" s="10" t="str">
        <f>VLOOKUP(B:B,재고차이!A:B,2,0)</f>
        <v>KM4290</v>
      </c>
      <c r="D35" s="10" t="str">
        <f>VLOOKUP(C:C,재고차이!B:C,2,0)</f>
        <v>S)갈배 사이다 500PET 4X6</v>
      </c>
      <c r="E35" s="200">
        <v>13</v>
      </c>
      <c r="F35" s="200"/>
      <c r="G35" s="200"/>
      <c r="H35" s="200"/>
      <c r="I35" s="199">
        <v>46161</v>
      </c>
      <c r="J35" s="164"/>
      <c r="K35" s="20">
        <f t="shared" ref="K35" ca="1" si="75">+P35</f>
        <v>-120.75</v>
      </c>
      <c r="L35" s="95">
        <f>IF(I35="","",SUMIF(제품등록!B:B,'창고1(실사표)'!C:C,제품등록!F:F))</f>
        <v>365</v>
      </c>
      <c r="M35" s="11">
        <f t="shared" ref="M35" si="76">IF(I35=0,"",I35-L35)</f>
        <v>45796</v>
      </c>
      <c r="N35" s="18">
        <f t="shared" ref="N35" si="77">IF(L35="","",L35*상미75)</f>
        <v>91.25</v>
      </c>
      <c r="O35" s="19">
        <f t="shared" ref="O35" si="78">IF(M35="","",M35+N35)</f>
        <v>45887.25</v>
      </c>
      <c r="P35" s="17">
        <f t="shared" ref="P35" ca="1" si="79">IF(O35="","",O35-$I$1)</f>
        <v>-120.75</v>
      </c>
    </row>
    <row r="36" spans="1:16" ht="15.75" customHeight="1" x14ac:dyDescent="0.3">
      <c r="A36" s="10">
        <f t="shared" si="51"/>
        <v>34</v>
      </c>
      <c r="B36" s="10">
        <v>4125</v>
      </c>
      <c r="C36" s="10" t="str">
        <f>VLOOKUP(B:B,재고차이!A:B,2,0)</f>
        <v>CP4125</v>
      </c>
      <c r="D36" s="10" t="str">
        <f>VLOOKUP(C:C,재고차이!B:C,2,0)</f>
        <v>S)코코팜 포도 340CAN 4X6</v>
      </c>
      <c r="E36" s="200">
        <v>6</v>
      </c>
      <c r="F36" s="200"/>
      <c r="G36" s="200"/>
      <c r="H36" s="200"/>
      <c r="I36" s="164">
        <v>46485</v>
      </c>
      <c r="J36" s="164"/>
      <c r="K36" s="20">
        <f t="shared" ca="1" si="52"/>
        <v>-70.5</v>
      </c>
      <c r="L36" s="95">
        <f>IF(I36="","",SUMIF(제품등록!B:B,'창고1(실사표)'!C:C,제품등록!F:F))</f>
        <v>730</v>
      </c>
      <c r="M36" s="11">
        <f t="shared" ref="M36:M54" si="80">IF(I36=0,"",I36-L36)</f>
        <v>45755</v>
      </c>
      <c r="N36" s="18">
        <f t="shared" si="53"/>
        <v>182.5</v>
      </c>
      <c r="O36" s="19">
        <f t="shared" si="54"/>
        <v>45937.5</v>
      </c>
      <c r="P36" s="17">
        <f t="shared" ca="1" si="55"/>
        <v>-70.5</v>
      </c>
    </row>
    <row r="37" spans="1:16" ht="15.75" customHeight="1" x14ac:dyDescent="0.3">
      <c r="A37" s="10">
        <f t="shared" si="51"/>
        <v>35</v>
      </c>
      <c r="B37" s="10">
        <v>4259</v>
      </c>
      <c r="C37" s="10" t="str">
        <f>VLOOKUP(B:B,재고차이!A:B,2,0)</f>
        <v>BB4259</v>
      </c>
      <c r="D37" s="10" t="str">
        <f>VLOOKUP(C:C,재고차이!B:C,2,0)</f>
        <v>S)봉봉 포도 340CAN 4X6</v>
      </c>
      <c r="E37" s="200">
        <v>15</v>
      </c>
      <c r="F37" s="200"/>
      <c r="G37" s="200"/>
      <c r="H37" s="200"/>
      <c r="I37" s="199">
        <v>46555</v>
      </c>
      <c r="J37" s="164"/>
      <c r="K37" s="20">
        <f t="shared" ca="1" si="52"/>
        <v>-0.5</v>
      </c>
      <c r="L37" s="95">
        <f>IF(I37="","",SUMIF(제품등록!B:B,'창고1(실사표)'!C:C,제품등록!F:F))</f>
        <v>730</v>
      </c>
      <c r="M37" s="11">
        <f t="shared" si="80"/>
        <v>45825</v>
      </c>
      <c r="N37" s="18">
        <f t="shared" si="53"/>
        <v>182.5</v>
      </c>
      <c r="O37" s="19">
        <f t="shared" si="54"/>
        <v>46007.5</v>
      </c>
      <c r="P37" s="17">
        <f t="shared" ca="1" si="55"/>
        <v>-0.5</v>
      </c>
    </row>
    <row r="38" spans="1:16" ht="15.75" customHeight="1" x14ac:dyDescent="0.3">
      <c r="A38" s="10">
        <f t="shared" si="51"/>
        <v>36</v>
      </c>
      <c r="B38" s="10">
        <v>4112</v>
      </c>
      <c r="C38" s="10" t="str">
        <f>VLOOKUP(B:B,재고차이!A:B,2,0)</f>
        <v>CP4112</v>
      </c>
      <c r="D38" s="10" t="str">
        <f>VLOOKUP(C:C,재고차이!B:C,2,0)</f>
        <v>S)코코팜 피치핑크 240CAN 5X6</v>
      </c>
      <c r="E38" s="200">
        <v>1</v>
      </c>
      <c r="F38" s="200"/>
      <c r="G38" s="200"/>
      <c r="H38" s="200"/>
      <c r="I38" s="164">
        <v>46141</v>
      </c>
      <c r="J38" s="164"/>
      <c r="K38" s="20">
        <f t="shared" ca="1" si="52"/>
        <v>-140.75</v>
      </c>
      <c r="L38" s="95">
        <f>IF(I38="","",SUMIF(제품등록!B:B,'창고1(실사표)'!C:C,제품등록!F:F))</f>
        <v>365</v>
      </c>
      <c r="M38" s="11">
        <f t="shared" si="80"/>
        <v>45776</v>
      </c>
      <c r="N38" s="18">
        <f t="shared" si="53"/>
        <v>91.25</v>
      </c>
      <c r="O38" s="19">
        <f t="shared" si="54"/>
        <v>45867.25</v>
      </c>
      <c r="P38" s="17">
        <f t="shared" ca="1" si="55"/>
        <v>-140.75</v>
      </c>
    </row>
    <row r="39" spans="1:16" ht="15.75" customHeight="1" x14ac:dyDescent="0.3">
      <c r="A39" s="10">
        <f t="shared" si="51"/>
        <v>37</v>
      </c>
      <c r="B39" s="10">
        <v>4281</v>
      </c>
      <c r="C39" s="10" t="str">
        <f>VLOOKUP(B:B,재고차이!A:B,2,0)</f>
        <v>CP4281</v>
      </c>
      <c r="D39" s="10" t="str">
        <f>VLOOKUP(C:C,재고차이!B:C,2,0)</f>
        <v>S)코코팜 화이트 240CAN 5X6</v>
      </c>
      <c r="E39" s="200">
        <v>1</v>
      </c>
      <c r="F39" s="200"/>
      <c r="G39" s="200"/>
      <c r="H39" s="200"/>
      <c r="I39" s="164">
        <v>46133</v>
      </c>
      <c r="J39" s="164"/>
      <c r="K39" s="20">
        <f t="shared" ref="K39" ca="1" si="81">+P39</f>
        <v>-148.75</v>
      </c>
      <c r="L39" s="95">
        <f>IF(I39="","",SUMIF(제품등록!B:B,'창고1(실사표)'!C:C,제품등록!F:F))</f>
        <v>365</v>
      </c>
      <c r="M39" s="11">
        <f t="shared" ref="M39" si="82">IF(I39=0,"",I39-L39)</f>
        <v>45768</v>
      </c>
      <c r="N39" s="18">
        <f t="shared" ref="N39" si="83">IF(L39="","",L39*상미75)</f>
        <v>91.25</v>
      </c>
      <c r="O39" s="19">
        <f t="shared" ref="O39" si="84">IF(M39="","",M39+N39)</f>
        <v>45859.25</v>
      </c>
      <c r="P39" s="17">
        <f t="shared" ref="P39" ca="1" si="85">IF(O39="","",O39-$I$1)</f>
        <v>-148.75</v>
      </c>
    </row>
    <row r="40" spans="1:16" ht="15.75" customHeight="1" x14ac:dyDescent="0.3">
      <c r="A40" s="10">
        <f t="shared" si="51"/>
        <v>38</v>
      </c>
      <c r="B40" s="10">
        <v>4281</v>
      </c>
      <c r="C40" s="10" t="str">
        <f>VLOOKUP(B:B,재고차이!A:B,2,0)</f>
        <v>CP4281</v>
      </c>
      <c r="D40" s="10" t="str">
        <f>VLOOKUP(C:C,재고차이!B:C,2,0)</f>
        <v>S)코코팜 화이트 240CAN 5X6</v>
      </c>
      <c r="E40" s="200">
        <v>5</v>
      </c>
      <c r="F40" s="200"/>
      <c r="G40" s="200"/>
      <c r="H40" s="200"/>
      <c r="I40" s="164">
        <v>46140</v>
      </c>
      <c r="J40" s="164"/>
      <c r="K40" s="20">
        <f t="shared" ca="1" si="52"/>
        <v>-141.75</v>
      </c>
      <c r="L40" s="95">
        <f>IF(I40="","",SUMIF(제품등록!B:B,'창고1(실사표)'!C:C,제품등록!F:F))</f>
        <v>365</v>
      </c>
      <c r="M40" s="11">
        <f t="shared" si="80"/>
        <v>45775</v>
      </c>
      <c r="N40" s="18">
        <f t="shared" si="53"/>
        <v>91.25</v>
      </c>
      <c r="O40" s="19">
        <f t="shared" si="54"/>
        <v>45866.25</v>
      </c>
      <c r="P40" s="17">
        <f t="shared" ca="1" si="55"/>
        <v>-141.75</v>
      </c>
    </row>
    <row r="41" spans="1:16" ht="15.75" customHeight="1" x14ac:dyDescent="0.3">
      <c r="A41" s="10">
        <f t="shared" si="51"/>
        <v>39</v>
      </c>
      <c r="B41" s="10">
        <v>9120</v>
      </c>
      <c r="C41" s="10" t="str">
        <f>VLOOKUP(B:B,재고차이!A:B,2,0)</f>
        <v>MJ9120</v>
      </c>
      <c r="D41" s="10" t="str">
        <f>VLOOKUP(C:C,재고차이!B:C,2,0)</f>
        <v>몸에좋은 Set 음양오행 180NRB 3X10</v>
      </c>
      <c r="E41" s="200">
        <v>3</v>
      </c>
      <c r="F41" s="200"/>
      <c r="G41" s="200"/>
      <c r="H41" s="200"/>
      <c r="I41" s="164">
        <v>46132</v>
      </c>
      <c r="J41" s="164"/>
      <c r="K41" s="20">
        <f t="shared" ca="1" si="52"/>
        <v>-149.75</v>
      </c>
      <c r="L41" s="95">
        <f>IF(I41="","",SUMIF(제품등록!B:B,'창고1(실사표)'!C:C,제품등록!F:F))</f>
        <v>365</v>
      </c>
      <c r="M41" s="11">
        <f t="shared" si="80"/>
        <v>45767</v>
      </c>
      <c r="N41" s="18">
        <f t="shared" si="53"/>
        <v>91.25</v>
      </c>
      <c r="O41" s="19">
        <f t="shared" si="54"/>
        <v>45858.25</v>
      </c>
      <c r="P41" s="17">
        <f t="shared" ca="1" si="55"/>
        <v>-149.75</v>
      </c>
    </row>
    <row r="42" spans="1:16" ht="15.75" customHeight="1" x14ac:dyDescent="0.3">
      <c r="A42" s="10">
        <f t="shared" si="51"/>
        <v>40</v>
      </c>
      <c r="B42" s="10" t="s">
        <v>2646</v>
      </c>
      <c r="C42" s="10" t="str">
        <f>VLOOKUP(B:B,재고차이!A:B,2,0)</f>
        <v>KC1005</v>
      </c>
      <c r="D42" s="10" t="str">
        <f>VLOOKUP(C:C,재고차이!B:C,2,0)</f>
        <v>과일촌 아침에 오+포+사 180NRB 3X12</v>
      </c>
      <c r="E42" s="200">
        <v>1</v>
      </c>
      <c r="F42" s="200"/>
      <c r="G42" s="200"/>
      <c r="H42" s="200"/>
      <c r="I42" s="199">
        <v>46079</v>
      </c>
      <c r="J42" s="164"/>
      <c r="K42" s="20">
        <f t="shared" ca="1" si="52"/>
        <v>-133.75</v>
      </c>
      <c r="L42" s="95">
        <f>IF(I42="","",SUMIF(제품등록!B:B,'창고1(실사표)'!C:C,제품등록!F:F))</f>
        <v>273</v>
      </c>
      <c r="M42" s="11">
        <f t="shared" si="80"/>
        <v>45806</v>
      </c>
      <c r="N42" s="18">
        <f t="shared" si="53"/>
        <v>68.25</v>
      </c>
      <c r="O42" s="19">
        <f t="shared" si="54"/>
        <v>45874.25</v>
      </c>
      <c r="P42" s="17">
        <f t="shared" ca="1" si="55"/>
        <v>-133.75</v>
      </c>
    </row>
    <row r="43" spans="1:16" ht="15.75" customHeight="1" x14ac:dyDescent="0.3">
      <c r="A43" s="10">
        <f t="shared" si="51"/>
        <v>41</v>
      </c>
      <c r="B43" s="10">
        <v>4872</v>
      </c>
      <c r="C43" s="10" t="str">
        <f>VLOOKUP(B:B,재고차이!A:B,2,0)</f>
        <v>GG4872</v>
      </c>
      <c r="D43" s="10" t="str">
        <f>VLOOKUP(C:C,재고차이!B:C,2,0)</f>
        <v>조지아오리지널240C 5X6</v>
      </c>
      <c r="E43" s="200"/>
      <c r="F43" s="200"/>
      <c r="G43" s="200"/>
      <c r="H43" s="200"/>
      <c r="I43" s="164">
        <v>46198</v>
      </c>
      <c r="J43" s="164"/>
      <c r="K43" s="20">
        <f t="shared" ref="K43:K44" ca="1" si="86">+P43</f>
        <v>-83.75</v>
      </c>
      <c r="L43" s="95">
        <f>IF(I43="","",SUMIF(제품등록!B:B,'창고1(실사표)'!C:C,제품등록!F:F))</f>
        <v>365</v>
      </c>
      <c r="M43" s="11">
        <f t="shared" ref="M43:M44" si="87">IF(I43=0,"",I43-L43)</f>
        <v>45833</v>
      </c>
      <c r="N43" s="18">
        <f t="shared" ref="N43:N44" si="88">IF(L43="","",L43*상미75)</f>
        <v>91.25</v>
      </c>
      <c r="O43" s="19">
        <f t="shared" ref="O43:O44" si="89">IF(M43="","",M43+N43)</f>
        <v>45924.25</v>
      </c>
      <c r="P43" s="17">
        <f t="shared" ref="P43:P44" ca="1" si="90">IF(O43="","",O43-$I$1)</f>
        <v>-83.75</v>
      </c>
    </row>
    <row r="44" spans="1:16" ht="15.75" customHeight="1" x14ac:dyDescent="0.3">
      <c r="A44" s="10">
        <f t="shared" si="51"/>
        <v>42</v>
      </c>
      <c r="B44" s="10">
        <v>4879</v>
      </c>
      <c r="C44" s="10" t="str">
        <f>VLOOKUP(B:B,재고차이!A:B,2,0)</f>
        <v>GG4879</v>
      </c>
      <c r="D44" s="10" t="str">
        <f>VLOOKUP(C:C,재고차이!B:C,2,0)</f>
        <v>조지아카페라테240C 5X6</v>
      </c>
      <c r="E44" s="200">
        <v>1</v>
      </c>
      <c r="F44" s="200"/>
      <c r="G44" s="200"/>
      <c r="H44" s="200"/>
      <c r="I44" s="164">
        <v>46203</v>
      </c>
      <c r="J44" s="164"/>
      <c r="K44" s="20">
        <f t="shared" ca="1" si="86"/>
        <v>-78.75</v>
      </c>
      <c r="L44" s="95">
        <f>IF(I44="","",SUMIF(제품등록!B:B,'창고1(실사표)'!C:C,제품등록!F:F))</f>
        <v>365</v>
      </c>
      <c r="M44" s="11">
        <f t="shared" si="87"/>
        <v>45838</v>
      </c>
      <c r="N44" s="18">
        <f t="shared" si="88"/>
        <v>91.25</v>
      </c>
      <c r="O44" s="19">
        <f t="shared" si="89"/>
        <v>45929.25</v>
      </c>
      <c r="P44" s="17">
        <f t="shared" ca="1" si="90"/>
        <v>-78.75</v>
      </c>
    </row>
    <row r="45" spans="1:16" ht="15.75" customHeight="1" x14ac:dyDescent="0.3">
      <c r="A45" s="10">
        <f t="shared" si="51"/>
        <v>43</v>
      </c>
      <c r="B45" s="10">
        <v>4879</v>
      </c>
      <c r="C45" s="10" t="str">
        <f>VLOOKUP(B:B,재고차이!A:B,2,0)</f>
        <v>GG4879</v>
      </c>
      <c r="D45" s="10" t="str">
        <f>VLOOKUP(C:C,재고차이!B:C,2,0)</f>
        <v>조지아카페라테240C 5X6</v>
      </c>
      <c r="E45" s="200">
        <v>7</v>
      </c>
      <c r="F45" s="200"/>
      <c r="G45" s="200"/>
      <c r="H45" s="200"/>
      <c r="I45" s="164">
        <v>46204</v>
      </c>
      <c r="J45" s="164"/>
      <c r="K45" s="20">
        <f t="shared" ca="1" si="52"/>
        <v>-77.75</v>
      </c>
      <c r="L45" s="95">
        <f>IF(I45="","",SUMIF(제품등록!B:B,'창고1(실사표)'!C:C,제품등록!F:F))</f>
        <v>365</v>
      </c>
      <c r="M45" s="11">
        <f t="shared" si="80"/>
        <v>45839</v>
      </c>
      <c r="N45" s="18">
        <f t="shared" si="53"/>
        <v>91.25</v>
      </c>
      <c r="O45" s="19">
        <f t="shared" si="54"/>
        <v>45930.25</v>
      </c>
      <c r="P45" s="17">
        <f t="shared" ca="1" si="55"/>
        <v>-77.75</v>
      </c>
    </row>
    <row r="46" spans="1:16" ht="15.75" customHeight="1" x14ac:dyDescent="0.3">
      <c r="A46" s="10">
        <f t="shared" si="51"/>
        <v>44</v>
      </c>
      <c r="B46" s="10">
        <v>4899</v>
      </c>
      <c r="C46" s="10" t="str">
        <f>VLOOKUP(B:B,재고차이!A:B,2,0)</f>
        <v>GG4899</v>
      </c>
      <c r="D46" s="10" t="str">
        <f>VLOOKUP(C:C,재고차이!B:C,2,0)</f>
        <v>조지아맥스 240C 5X6</v>
      </c>
      <c r="E46" s="200">
        <v>10</v>
      </c>
      <c r="F46" s="200"/>
      <c r="G46" s="200"/>
      <c r="H46" s="200"/>
      <c r="I46" s="164">
        <v>46199</v>
      </c>
      <c r="J46" s="164"/>
      <c r="K46" s="20">
        <f t="shared" ca="1" si="52"/>
        <v>-82.75</v>
      </c>
      <c r="L46" s="95">
        <f>IF(I46="","",SUMIF(제품등록!B:B,'창고1(실사표)'!C:C,제품등록!F:F))</f>
        <v>365</v>
      </c>
      <c r="M46" s="11">
        <f t="shared" si="80"/>
        <v>45834</v>
      </c>
      <c r="N46" s="18">
        <f t="shared" si="53"/>
        <v>91.25</v>
      </c>
      <c r="O46" s="19">
        <f t="shared" si="54"/>
        <v>45925.25</v>
      </c>
      <c r="P46" s="17">
        <f t="shared" ca="1" si="55"/>
        <v>-82.75</v>
      </c>
    </row>
    <row r="47" spans="1:16" ht="15.75" customHeight="1" x14ac:dyDescent="0.3">
      <c r="A47" s="10">
        <f t="shared" si="51"/>
        <v>45</v>
      </c>
      <c r="B47" s="10">
        <v>8521</v>
      </c>
      <c r="C47" s="10" t="str">
        <f>VLOOKUP(B:B,재고차이!A:B,2,0)</f>
        <v>PA8521</v>
      </c>
      <c r="D47" s="10" t="str">
        <f>VLOOKUP(C:C,재고차이!B:C,2,0)</f>
        <v>파워M/B 240CAN 5X6</v>
      </c>
      <c r="E47" s="200">
        <v>19</v>
      </c>
      <c r="F47" s="200"/>
      <c r="G47" s="200"/>
      <c r="H47" s="200"/>
      <c r="I47" s="164">
        <v>46575</v>
      </c>
      <c r="J47" s="164"/>
      <c r="K47" s="20">
        <f t="shared" ref="K47" ca="1" si="91">+P47</f>
        <v>19.5</v>
      </c>
      <c r="L47" s="95">
        <f>IF(I47="","",SUMIF(제품등록!B:B,'창고1(실사표)'!C:C,제품등록!F:F))</f>
        <v>730</v>
      </c>
      <c r="M47" s="11">
        <f t="shared" ref="M47" si="92">IF(I47=0,"",I47-L47)</f>
        <v>45845</v>
      </c>
      <c r="N47" s="18">
        <f t="shared" ref="N47" si="93">IF(L47="","",L47*상미75)</f>
        <v>182.5</v>
      </c>
      <c r="O47" s="19">
        <f t="shared" ref="O47" si="94">IF(M47="","",M47+N47)</f>
        <v>46027.5</v>
      </c>
      <c r="P47" s="17">
        <f t="shared" ref="P47" ca="1" si="95">IF(O47="","",O47-$I$1)</f>
        <v>19.5</v>
      </c>
    </row>
    <row r="48" spans="1:16" ht="15.75" customHeight="1" x14ac:dyDescent="0.3">
      <c r="A48" s="10">
        <f t="shared" si="51"/>
        <v>46</v>
      </c>
      <c r="B48" s="10">
        <v>8560</v>
      </c>
      <c r="C48" s="10" t="str">
        <f>VLOOKUP(B:B,재고차이!A:B,2,0)</f>
        <v>TR8560</v>
      </c>
      <c r="D48" s="10" t="str">
        <f>VLOOKUP(C:C,재고차이!B:C,2,0)</f>
        <v>토레타 240CAN 5X6</v>
      </c>
      <c r="E48" s="200">
        <v>3</v>
      </c>
      <c r="F48" s="200"/>
      <c r="G48" s="200"/>
      <c r="H48" s="200"/>
      <c r="I48" s="164">
        <v>46185</v>
      </c>
      <c r="J48" s="164"/>
      <c r="K48" s="20">
        <f t="shared" ca="1" si="52"/>
        <v>-96.75</v>
      </c>
      <c r="L48" s="95">
        <f>IF(I48="","",SUMIF(제품등록!B:B,'창고1(실사표)'!C:C,제품등록!F:F))</f>
        <v>365</v>
      </c>
      <c r="M48" s="11">
        <f t="shared" si="80"/>
        <v>45820</v>
      </c>
      <c r="N48" s="18">
        <f t="shared" si="53"/>
        <v>91.25</v>
      </c>
      <c r="O48" s="19">
        <f t="shared" si="54"/>
        <v>45911.25</v>
      </c>
      <c r="P48" s="17">
        <f t="shared" ca="1" si="55"/>
        <v>-96.75</v>
      </c>
    </row>
    <row r="49" spans="1:16" ht="15.75" customHeight="1" x14ac:dyDescent="0.3">
      <c r="A49" s="10">
        <f t="shared" si="51"/>
        <v>47</v>
      </c>
      <c r="B49" s="10">
        <v>1300</v>
      </c>
      <c r="C49" s="10" t="str">
        <f>VLOOKUP(B:B,재고차이!A:B,2,0)</f>
        <v>CC1300</v>
      </c>
      <c r="D49" s="10" t="str">
        <f>VLOOKUP(C:C,재고차이!B:C,2,0)</f>
        <v>코카콜라SW 250CAN 5X6</v>
      </c>
      <c r="E49" s="200">
        <f>5+5</f>
        <v>10</v>
      </c>
      <c r="F49" s="200"/>
      <c r="G49" s="200"/>
      <c r="H49" s="200"/>
      <c r="I49" s="164">
        <v>46561</v>
      </c>
      <c r="J49" s="164"/>
      <c r="K49" s="20">
        <f t="shared" ref="K49" ca="1" si="96">+P49</f>
        <v>5.5</v>
      </c>
      <c r="L49" s="95">
        <f>IF(I49="","",SUMIF(제품등록!B:B,'창고1(실사표)'!C:C,제품등록!F:F))</f>
        <v>730</v>
      </c>
      <c r="M49" s="11">
        <f t="shared" ref="M49" si="97">IF(I49=0,"",I49-L49)</f>
        <v>45831</v>
      </c>
      <c r="N49" s="18">
        <f t="shared" ref="N49" si="98">IF(L49="","",L49*상미75)</f>
        <v>182.5</v>
      </c>
      <c r="O49" s="19">
        <f t="shared" ref="O49" si="99">IF(M49="","",M49+N49)</f>
        <v>46013.5</v>
      </c>
      <c r="P49" s="17">
        <f t="shared" ref="P49" ca="1" si="100">IF(O49="","",O49-$I$1)</f>
        <v>5.5</v>
      </c>
    </row>
    <row r="50" spans="1:16" ht="15.75" customHeight="1" x14ac:dyDescent="0.3">
      <c r="A50" s="10">
        <f t="shared" si="51"/>
        <v>48</v>
      </c>
      <c r="B50" s="10">
        <v>1300</v>
      </c>
      <c r="C50" s="10" t="str">
        <f>VLOOKUP(B:B,재고차이!A:B,2,0)</f>
        <v>CC1300</v>
      </c>
      <c r="D50" s="10" t="str">
        <f>VLOOKUP(C:C,재고차이!B:C,2,0)</f>
        <v>코카콜라SW 250CAN 5X6</v>
      </c>
      <c r="E50" s="200">
        <v>8</v>
      </c>
      <c r="F50" s="200"/>
      <c r="G50" s="200"/>
      <c r="H50" s="200"/>
      <c r="I50" s="164">
        <v>46562</v>
      </c>
      <c r="J50" s="164"/>
      <c r="K50" s="20">
        <f t="shared" ca="1" si="52"/>
        <v>6.5</v>
      </c>
      <c r="L50" s="95">
        <f>IF(I50="","",SUMIF(제품등록!B:B,'창고1(실사표)'!C:C,제품등록!F:F))</f>
        <v>730</v>
      </c>
      <c r="M50" s="11">
        <f t="shared" si="80"/>
        <v>45832</v>
      </c>
      <c r="N50" s="18">
        <f t="shared" si="53"/>
        <v>182.5</v>
      </c>
      <c r="O50" s="19">
        <f t="shared" si="54"/>
        <v>46014.5</v>
      </c>
      <c r="P50" s="17">
        <f t="shared" ca="1" si="55"/>
        <v>6.5</v>
      </c>
    </row>
    <row r="51" spans="1:16" ht="15.75" customHeight="1" x14ac:dyDescent="0.3">
      <c r="A51" s="10">
        <f t="shared" si="51"/>
        <v>49</v>
      </c>
      <c r="B51" s="10">
        <v>8273</v>
      </c>
      <c r="C51" s="10" t="str">
        <f>VLOOKUP(B:B,재고차이!A:B,2,0)</f>
        <v>CC8273</v>
      </c>
      <c r="D51" s="10" t="str">
        <f>VLOOKUP(C:C,재고차이!B:C,2,0)</f>
        <v>코크 제로 250CAN 5X6</v>
      </c>
      <c r="E51" s="200"/>
      <c r="F51" s="200"/>
      <c r="G51" s="200"/>
      <c r="H51" s="200"/>
      <c r="I51" s="164">
        <v>46563</v>
      </c>
      <c r="J51" s="164"/>
      <c r="K51" s="20">
        <f t="shared" ref="K51" ca="1" si="101">+P51</f>
        <v>281.25</v>
      </c>
      <c r="L51" s="95">
        <f>IF(I51="","",SUMIF(제품등록!B:B,'창고1(실사표)'!C:C,제품등록!F:F))</f>
        <v>365</v>
      </c>
      <c r="M51" s="11">
        <f t="shared" ref="M51" si="102">IF(I51=0,"",I51-L51)</f>
        <v>46198</v>
      </c>
      <c r="N51" s="18">
        <f t="shared" ref="N51" si="103">IF(L51="","",L51*상미75)</f>
        <v>91.25</v>
      </c>
      <c r="O51" s="19">
        <f t="shared" ref="O51" si="104">IF(M51="","",M51+N51)</f>
        <v>46289.25</v>
      </c>
      <c r="P51" s="17">
        <f t="shared" ref="P51" ca="1" si="105">IF(O51="","",O51-$I$1)</f>
        <v>281.25</v>
      </c>
    </row>
    <row r="52" spans="1:16" ht="15.75" customHeight="1" x14ac:dyDescent="0.3">
      <c r="A52" s="10">
        <f t="shared" si="51"/>
        <v>50</v>
      </c>
      <c r="B52" s="10">
        <v>5771</v>
      </c>
      <c r="C52" s="10" t="str">
        <f>VLOOKUP(B:B,재고차이!A:B,2,0)</f>
        <v>CC5771</v>
      </c>
      <c r="D52" s="10" t="str">
        <f>VLOOKUP(C:C,재고차이!B:C,2,0)</f>
        <v>코크제로 제로 250CAN 5X6</v>
      </c>
      <c r="E52" s="200">
        <v>2</v>
      </c>
      <c r="F52" s="200"/>
      <c r="G52" s="200"/>
      <c r="H52" s="200"/>
      <c r="I52" s="164">
        <v>46365</v>
      </c>
      <c r="J52" s="164"/>
      <c r="K52" s="20">
        <f t="shared" ca="1" si="52"/>
        <v>-54</v>
      </c>
      <c r="L52" s="95">
        <f>IF(I52="","",SUMIF(제품등록!B:B,'창고1(실사표)'!C:C,제품등록!F:F))</f>
        <v>548</v>
      </c>
      <c r="M52" s="11">
        <f t="shared" si="80"/>
        <v>45817</v>
      </c>
      <c r="N52" s="18">
        <f t="shared" si="53"/>
        <v>137</v>
      </c>
      <c r="O52" s="19">
        <f t="shared" ref="O52:O54" si="106">IF(M52="","",M52+N52)</f>
        <v>45954</v>
      </c>
      <c r="P52" s="17">
        <f t="shared" ref="P52:P54" ca="1" si="107">IF(O52="","",O52-$I$1)</f>
        <v>-54</v>
      </c>
    </row>
    <row r="53" spans="1:16" x14ac:dyDescent="0.3">
      <c r="A53" s="10">
        <f t="shared" si="51"/>
        <v>51</v>
      </c>
      <c r="B53" s="10">
        <v>4823</v>
      </c>
      <c r="C53" s="10" t="str">
        <f>VLOOKUP(B:B,재고차이!A:B,2,0)</f>
        <v>FT4823</v>
      </c>
      <c r="D53" s="10" t="str">
        <f>VLOOKUP(C:C,재고차이!B:C,2,0)</f>
        <v>환타오렌지250CAN 5X6 M</v>
      </c>
      <c r="E53" s="200">
        <v>3</v>
      </c>
      <c r="F53" s="200"/>
      <c r="G53" s="200"/>
      <c r="H53" s="200"/>
      <c r="I53" s="164">
        <v>46563</v>
      </c>
      <c r="J53" s="164"/>
      <c r="K53" s="20">
        <f t="shared" ref="K53" ca="1" si="108">+P53</f>
        <v>7.5</v>
      </c>
      <c r="L53" s="95">
        <f>IF(I53="","",SUMIF(제품등록!B:B,'창고1(실사표)'!C:C,제품등록!F:F))</f>
        <v>730</v>
      </c>
      <c r="M53" s="11">
        <f t="shared" ref="M53" si="109">IF(I53=0,"",I53-L53)</f>
        <v>45833</v>
      </c>
      <c r="N53" s="18">
        <f t="shared" ref="N53" si="110">IF(L53="","",L53*상미75)</f>
        <v>182.5</v>
      </c>
      <c r="O53" s="19">
        <f t="shared" ref="O53" si="111">IF(M53="","",M53+N53)</f>
        <v>46015.5</v>
      </c>
      <c r="P53" s="17">
        <f t="shared" ref="P53" ca="1" si="112">IF(O53="","",O53-$I$1)</f>
        <v>7.5</v>
      </c>
    </row>
    <row r="54" spans="1:16" ht="15.75" customHeight="1" x14ac:dyDescent="0.3">
      <c r="A54" s="10">
        <f t="shared" si="51"/>
        <v>52</v>
      </c>
      <c r="B54" s="10">
        <v>5312</v>
      </c>
      <c r="C54" s="10" t="str">
        <f>VLOOKUP(B:B,재고차이!A:B,2,0)</f>
        <v>FT5312</v>
      </c>
      <c r="D54" s="10" t="str">
        <f>VLOOKUP(C:C,재고차이!B:C,2,0)</f>
        <v>환타 파인 250CAN 5X6</v>
      </c>
      <c r="E54" s="200">
        <v>7</v>
      </c>
      <c r="F54" s="200"/>
      <c r="G54" s="200"/>
      <c r="H54" s="200"/>
      <c r="I54" s="199">
        <v>46547</v>
      </c>
      <c r="J54" s="164"/>
      <c r="K54" s="20">
        <f t="shared" ca="1" si="52"/>
        <v>-8.5</v>
      </c>
      <c r="L54" s="95">
        <f>IF(I54="","",SUMIF(제품등록!B:B,'창고1(실사표)'!C:C,제품등록!F:F))</f>
        <v>730</v>
      </c>
      <c r="M54" s="11">
        <f t="shared" si="80"/>
        <v>45817</v>
      </c>
      <c r="N54" s="18">
        <f t="shared" si="53"/>
        <v>182.5</v>
      </c>
      <c r="O54" s="19">
        <f t="shared" si="106"/>
        <v>45999.5</v>
      </c>
      <c r="P54" s="17">
        <f t="shared" ca="1" si="107"/>
        <v>-8.5</v>
      </c>
    </row>
  </sheetData>
  <autoFilter ref="A2:P2" xr:uid="{00000000-0009-0000-0000-000003000000}">
    <sortState xmlns:xlrd2="http://schemas.microsoft.com/office/spreadsheetml/2017/richdata2" ref="A3:P76">
      <sortCondition ref="B2"/>
    </sortState>
  </autoFilter>
  <phoneticPr fontId="101" type="noConversion"/>
  <conditionalFormatting sqref="K1:K1048576">
    <cfRule type="cellIs" dxfId="9" priority="1" operator="lessThan">
      <formula>0</formula>
    </cfRule>
  </conditionalFormatting>
  <conditionalFormatting sqref="P3:P54">
    <cfRule type="cellIs" dxfId="8" priority="2" operator="lessThan">
      <formula>0</formula>
    </cfRule>
  </conditionalFormatting>
  <pageMargins left="0.19685039370078741" right="0" top="0.78740157480314965" bottom="0" header="0.31496062992125984" footer="0.31496062992125984"/>
  <pageSetup paperSize="9" scale="62" orientation="portrait" cellComments="asDisplayed" r:id="rId1"/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P53"/>
  <sheetViews>
    <sheetView zoomScaleNormal="100" workbookViewId="0">
      <pane ySplit="2" topLeftCell="A3" activePane="bottomLeft" state="frozen"/>
      <selection activeCell="D1" sqref="D1:I1048576"/>
      <selection pane="bottomLeft" activeCell="A3" sqref="A3:J53"/>
    </sheetView>
  </sheetViews>
  <sheetFormatPr defaultColWidth="9" defaultRowHeight="16.5" x14ac:dyDescent="0.3"/>
  <cols>
    <col min="1" max="1" width="5.75" style="5" customWidth="1"/>
    <col min="2" max="2" width="9.125" style="5" bestFit="1" customWidth="1"/>
    <col min="3" max="3" width="11.25" style="5" customWidth="1"/>
    <col min="4" max="4" width="43.5" style="5" bestFit="1" customWidth="1"/>
    <col min="5" max="5" width="12.25" style="5" customWidth="1"/>
    <col min="6" max="6" width="10.875" style="5" customWidth="1"/>
    <col min="7" max="7" width="10" style="5" customWidth="1"/>
    <col min="8" max="8" width="13.5" style="5" customWidth="1"/>
    <col min="9" max="9" width="13" style="5" customWidth="1"/>
    <col min="10" max="10" width="30.625" style="5" bestFit="1" customWidth="1"/>
    <col min="11" max="11" width="14.75" style="5" customWidth="1"/>
    <col min="12" max="12" width="10.375" style="102" hidden="1" customWidth="1"/>
    <col min="13" max="13" width="12.375" style="5" hidden="1" customWidth="1"/>
    <col min="14" max="14" width="11" style="5" hidden="1" customWidth="1"/>
    <col min="15" max="15" width="12.75" style="5" hidden="1" customWidth="1"/>
    <col min="16" max="16" width="13.25" style="5" hidden="1" customWidth="1"/>
    <col min="17" max="17" width="9" style="5" customWidth="1"/>
    <col min="18" max="16384" width="9" style="5"/>
  </cols>
  <sheetData>
    <row r="1" spans="1:16" ht="24" customHeight="1" x14ac:dyDescent="0.3">
      <c r="C1" s="15"/>
      <c r="D1" s="15"/>
      <c r="H1" s="5" t="s">
        <v>348</v>
      </c>
      <c r="I1" s="11">
        <f ca="1">TODAY()</f>
        <v>46008</v>
      </c>
      <c r="J1" s="11"/>
      <c r="L1" s="94" t="s">
        <v>1741</v>
      </c>
      <c r="N1" s="14"/>
    </row>
    <row r="2" spans="1:16" ht="33" x14ac:dyDescent="0.3">
      <c r="A2" s="96"/>
      <c r="B2" s="96" t="s">
        <v>329</v>
      </c>
      <c r="C2" s="103" t="s">
        <v>1614</v>
      </c>
      <c r="D2" s="96" t="s">
        <v>0</v>
      </c>
      <c r="E2" s="96" t="s">
        <v>330</v>
      </c>
      <c r="F2" s="96" t="s">
        <v>331</v>
      </c>
      <c r="G2" s="96" t="s">
        <v>332</v>
      </c>
      <c r="H2" s="97" t="s">
        <v>2361</v>
      </c>
      <c r="I2" s="96" t="s">
        <v>2547</v>
      </c>
      <c r="J2" s="96" t="s">
        <v>350</v>
      </c>
      <c r="K2" s="98" t="s">
        <v>2360</v>
      </c>
      <c r="L2" s="101" t="s">
        <v>2547</v>
      </c>
      <c r="M2" s="5" t="s">
        <v>338</v>
      </c>
      <c r="N2" s="99">
        <v>0.75</v>
      </c>
      <c r="O2" s="17" t="s">
        <v>339</v>
      </c>
      <c r="P2" s="100" t="s">
        <v>347</v>
      </c>
    </row>
    <row r="3" spans="1:16" ht="16.5" customHeight="1" x14ac:dyDescent="0.3">
      <c r="A3" s="10">
        <f t="shared" ref="A3:A9" si="0">ROW()-2</f>
        <v>1</v>
      </c>
      <c r="B3" s="10">
        <v>2531</v>
      </c>
      <c r="C3" s="10" t="str">
        <f>VLOOKUP(B:B,재고차이!A:B,2,0)</f>
        <v>CC2531</v>
      </c>
      <c r="D3" s="10" t="str">
        <f>VLOOKUP(C:C,재고차이!B:C,2,0)</f>
        <v>코카콜라 350CAN 4X6</v>
      </c>
      <c r="E3" s="10">
        <v>1</v>
      </c>
      <c r="F3" s="10"/>
      <c r="G3" s="200"/>
      <c r="H3" s="200"/>
      <c r="I3" s="199">
        <v>46546</v>
      </c>
      <c r="J3" s="199"/>
      <c r="K3" s="20">
        <f t="shared" ref="K3:K4" ca="1" si="1">+P3</f>
        <v>-9.5</v>
      </c>
      <c r="L3" s="95">
        <f>IF(I3="","",SUMIF(제품등록!B:B,'창고2(실사표)'!C:C,제품등록!F:F))</f>
        <v>730</v>
      </c>
      <c r="M3" s="11">
        <f t="shared" ref="M3:M4" si="2">IF(I3=0,"",I3-L3)</f>
        <v>45816</v>
      </c>
      <c r="N3" s="18">
        <f t="shared" ref="N3:N4" si="3">IF(M3="","",L3*상미75)</f>
        <v>182.5</v>
      </c>
      <c r="O3" s="19">
        <f t="shared" ref="O3:O4" si="4">IF(N3="","",M3+N3)</f>
        <v>45998.5</v>
      </c>
      <c r="P3" s="17">
        <f t="shared" ref="P3:P4" ca="1" si="5">IF(O3="","",O3-$I$1)</f>
        <v>-9.5</v>
      </c>
    </row>
    <row r="4" spans="1:16" ht="16.5" customHeight="1" x14ac:dyDescent="0.3">
      <c r="A4" s="10">
        <f t="shared" si="0"/>
        <v>2</v>
      </c>
      <c r="B4" s="10">
        <v>2531</v>
      </c>
      <c r="C4" s="10" t="str">
        <f>VLOOKUP(B:B,재고차이!A:B,2,0)</f>
        <v>CC2531</v>
      </c>
      <c r="D4" s="10" t="str">
        <f>VLOOKUP(C:C,재고차이!B:C,2,0)</f>
        <v>코카콜라 350CAN 4X6</v>
      </c>
      <c r="E4" s="10">
        <v>26</v>
      </c>
      <c r="F4" s="10"/>
      <c r="G4" s="200"/>
      <c r="H4" s="200"/>
      <c r="I4" s="199">
        <v>46549</v>
      </c>
      <c r="J4" s="199"/>
      <c r="K4" s="20">
        <f t="shared" ca="1" si="1"/>
        <v>-6.5</v>
      </c>
      <c r="L4" s="95">
        <f>IF(I4="","",SUMIF(제품등록!B:B,'창고2(실사표)'!C:C,제품등록!F:F))</f>
        <v>730</v>
      </c>
      <c r="M4" s="11">
        <f t="shared" si="2"/>
        <v>45819</v>
      </c>
      <c r="N4" s="18">
        <f t="shared" si="3"/>
        <v>182.5</v>
      </c>
      <c r="O4" s="19">
        <f t="shared" si="4"/>
        <v>46001.5</v>
      </c>
      <c r="P4" s="17">
        <f t="shared" ca="1" si="5"/>
        <v>-6.5</v>
      </c>
    </row>
    <row r="5" spans="1:16" ht="16.5" customHeight="1" x14ac:dyDescent="0.3">
      <c r="A5" s="10">
        <f t="shared" si="0"/>
        <v>3</v>
      </c>
      <c r="B5" s="10">
        <v>2531</v>
      </c>
      <c r="C5" s="10" t="str">
        <f>VLOOKUP(B:B,재고차이!A:B,2,0)</f>
        <v>CC2531</v>
      </c>
      <c r="D5" s="10" t="str">
        <f>VLOOKUP(C:C,재고차이!B:C,2,0)</f>
        <v>코카콜라 350CAN 4X6</v>
      </c>
      <c r="E5" s="10">
        <v>13</v>
      </c>
      <c r="F5" s="10"/>
      <c r="G5" s="200"/>
      <c r="H5" s="200"/>
      <c r="I5" s="199">
        <v>46550</v>
      </c>
      <c r="J5" s="199"/>
      <c r="K5" s="20">
        <f t="shared" ref="K5" ca="1" si="6">+P5</f>
        <v>-5.5</v>
      </c>
      <c r="L5" s="95">
        <f>IF(I5="","",SUMIF(제품등록!B:B,'창고2(실사표)'!C:C,제품등록!F:F))</f>
        <v>730</v>
      </c>
      <c r="M5" s="11">
        <f t="shared" ref="M5" si="7">IF(I5=0,"",I5-L5)</f>
        <v>45820</v>
      </c>
      <c r="N5" s="18">
        <f t="shared" ref="N5" si="8">IF(M5="","",L5*상미75)</f>
        <v>182.5</v>
      </c>
      <c r="O5" s="19">
        <f t="shared" ref="O5" si="9">IF(N5="","",M5+N5)</f>
        <v>46002.5</v>
      </c>
      <c r="P5" s="17">
        <f t="shared" ref="P5" ca="1" si="10">IF(O5="","",O5-$I$1)</f>
        <v>-5.5</v>
      </c>
    </row>
    <row r="6" spans="1:16" ht="16.5" customHeight="1" x14ac:dyDescent="0.3">
      <c r="A6" s="10">
        <f t="shared" si="0"/>
        <v>4</v>
      </c>
      <c r="B6" s="10">
        <v>5191</v>
      </c>
      <c r="C6" s="10" t="str">
        <f>VLOOKUP(B:B,재고차이!A:B,2,0)</f>
        <v>CC5191</v>
      </c>
      <c r="D6" s="10" t="str">
        <f>VLOOKUP(C:C,재고차이!B:C,2,0)</f>
        <v>코카콜라 490CAN 6X4</v>
      </c>
      <c r="E6" s="10">
        <v>1</v>
      </c>
      <c r="F6" s="10"/>
      <c r="G6" s="200"/>
      <c r="H6" s="200"/>
      <c r="I6" s="199">
        <v>46561</v>
      </c>
      <c r="J6" s="199"/>
      <c r="K6" s="20">
        <f t="shared" ref="K6:K25" ca="1" si="11">+P6</f>
        <v>5.5</v>
      </c>
      <c r="L6" s="95">
        <f>IF(I6="","",SUMIF(제품등록!B:B,'창고2(실사표)'!C:C,제품등록!F:F))</f>
        <v>730</v>
      </c>
      <c r="M6" s="11">
        <f t="shared" ref="M6:M7" si="12">IF(I6=0,"",I6-L6)</f>
        <v>45831</v>
      </c>
      <c r="N6" s="18">
        <f t="shared" ref="N6:N7" si="13">IF(M6="","",L6*상미75)</f>
        <v>182.5</v>
      </c>
      <c r="O6" s="19">
        <f t="shared" ref="O6:O7" si="14">IF(N6="","",M6+N6)</f>
        <v>46013.5</v>
      </c>
      <c r="P6" s="17">
        <f t="shared" ref="P6:P7" ca="1" si="15">IF(O6="","",O6-$I$1)</f>
        <v>5.5</v>
      </c>
    </row>
    <row r="7" spans="1:16" ht="16.5" customHeight="1" x14ac:dyDescent="0.3">
      <c r="A7" s="10">
        <f t="shared" si="0"/>
        <v>5</v>
      </c>
      <c r="B7" s="10">
        <v>5777</v>
      </c>
      <c r="C7" s="10" t="str">
        <f>VLOOKUP(B:B,재고차이!A:B,2,0)</f>
        <v>CC5777</v>
      </c>
      <c r="D7" s="10" t="str">
        <f>VLOOKUP(C:C,재고차이!B:C,2,0)</f>
        <v>코크제로 350CAN 4X6</v>
      </c>
      <c r="E7" s="10">
        <f>4+2</f>
        <v>6</v>
      </c>
      <c r="F7" s="10"/>
      <c r="G7" s="200"/>
      <c r="H7" s="200"/>
      <c r="I7" s="199">
        <v>46549</v>
      </c>
      <c r="J7" s="199"/>
      <c r="K7" s="20">
        <f t="shared" ca="1" si="11"/>
        <v>267.25</v>
      </c>
      <c r="L7" s="95">
        <f>IF(I7="","",SUMIF(제품등록!B:B,'창고2(실사표)'!C:C,제품등록!F:F))</f>
        <v>365</v>
      </c>
      <c r="M7" s="11">
        <f t="shared" si="12"/>
        <v>46184</v>
      </c>
      <c r="N7" s="18">
        <f t="shared" si="13"/>
        <v>91.25</v>
      </c>
      <c r="O7" s="19">
        <f t="shared" si="14"/>
        <v>46275.25</v>
      </c>
      <c r="P7" s="17">
        <f t="shared" ca="1" si="15"/>
        <v>267.25</v>
      </c>
    </row>
    <row r="8" spans="1:16" ht="16.5" customHeight="1" x14ac:dyDescent="0.3">
      <c r="A8" s="10">
        <f t="shared" si="0"/>
        <v>6</v>
      </c>
      <c r="B8" s="10">
        <v>5192</v>
      </c>
      <c r="C8" s="10" t="str">
        <f>VLOOKUP(B:B,재고차이!A:B,2,0)</f>
        <v>CC5192</v>
      </c>
      <c r="D8" s="10" t="str">
        <f>VLOOKUP(C:C,재고차이!B:C,2,0)</f>
        <v>코크제로 490ml CAN 6X4</v>
      </c>
      <c r="E8" s="10">
        <v>16</v>
      </c>
      <c r="F8" s="10"/>
      <c r="G8" s="200"/>
      <c r="H8" s="200"/>
      <c r="I8" s="199">
        <v>46526</v>
      </c>
      <c r="J8" s="199"/>
      <c r="K8" s="20">
        <f t="shared" ref="K8:K11" ca="1" si="16">+P8</f>
        <v>-29.5</v>
      </c>
      <c r="L8" s="95">
        <f>IF(I8="","",SUMIF(제품등록!B:B,'창고2(실사표)'!C:C,제품등록!F:F))</f>
        <v>730</v>
      </c>
      <c r="M8" s="11">
        <f t="shared" ref="M8:M11" si="17">IF(I8=0,"",I8-L8)</f>
        <v>45796</v>
      </c>
      <c r="N8" s="18">
        <f t="shared" ref="N8:N11" si="18">IF(M8="","",L8*상미75)</f>
        <v>182.5</v>
      </c>
      <c r="O8" s="19">
        <f t="shared" ref="O8:O11" si="19">IF(N8="","",M8+N8)</f>
        <v>45978.5</v>
      </c>
      <c r="P8" s="17">
        <f t="shared" ref="P8:P11" ca="1" si="20">IF(O8="","",O8-$I$1)</f>
        <v>-29.5</v>
      </c>
    </row>
    <row r="9" spans="1:16" ht="16.5" customHeight="1" x14ac:dyDescent="0.3">
      <c r="A9" s="10">
        <f t="shared" si="0"/>
        <v>7</v>
      </c>
      <c r="B9" s="10">
        <v>4179</v>
      </c>
      <c r="C9" s="10" t="str">
        <f>VLOOKUP(B:B,재고차이!A:B,2,0)</f>
        <v>SP4179</v>
      </c>
      <c r="D9" s="10" t="str">
        <f>VLOOKUP(C:C,재고차이!B:C,2,0)</f>
        <v>스프라이트(신350C 4X6</v>
      </c>
      <c r="E9" s="10"/>
      <c r="F9" s="10"/>
      <c r="G9" s="200"/>
      <c r="H9" s="200"/>
      <c r="I9" s="199">
        <v>46494</v>
      </c>
      <c r="J9" s="199"/>
      <c r="K9" s="20">
        <f t="shared" ca="1" si="16"/>
        <v>-61.5</v>
      </c>
      <c r="L9" s="95">
        <f>IF(I9="","",SUMIF(제품등록!B:B,'창고2(실사표)'!C:C,제품등록!F:F))</f>
        <v>730</v>
      </c>
      <c r="M9" s="11">
        <f t="shared" si="17"/>
        <v>45764</v>
      </c>
      <c r="N9" s="18">
        <f t="shared" si="18"/>
        <v>182.5</v>
      </c>
      <c r="O9" s="19">
        <f t="shared" si="19"/>
        <v>45946.5</v>
      </c>
      <c r="P9" s="17">
        <f t="shared" ca="1" si="20"/>
        <v>-61.5</v>
      </c>
    </row>
    <row r="10" spans="1:16" ht="16.5" customHeight="1" x14ac:dyDescent="0.3">
      <c r="A10" s="10">
        <f t="shared" ref="A10:A53" si="21">ROW()-2</f>
        <v>8</v>
      </c>
      <c r="B10" s="10">
        <v>4184</v>
      </c>
      <c r="C10" s="10" t="str">
        <f>VLOOKUP(B:B,재고차이!A:B,2,0)</f>
        <v>SP4184</v>
      </c>
      <c r="D10" s="10" t="str">
        <f>VLOOKUP(C:C,재고차이!B:C,2,0)</f>
        <v>S)스프제로 칠 아이스블라스트 350CAN 4X6</v>
      </c>
      <c r="E10" s="10">
        <v>2</v>
      </c>
      <c r="F10" s="10"/>
      <c r="G10" s="200"/>
      <c r="H10" s="200"/>
      <c r="I10" s="199">
        <v>46164</v>
      </c>
      <c r="J10" s="199"/>
      <c r="K10" s="20">
        <f t="shared" ref="K10" ca="1" si="22">+P10</f>
        <v>-117.75</v>
      </c>
      <c r="L10" s="95">
        <f>IF(I10="","",SUMIF(제품등록!B:B,'창고2(실사표)'!C:C,제품등록!F:F))</f>
        <v>365</v>
      </c>
      <c r="M10" s="11">
        <f t="shared" ref="M10" si="23">IF(I10=0,"",I10-L10)</f>
        <v>45799</v>
      </c>
      <c r="N10" s="18">
        <f t="shared" ref="N10" si="24">IF(M10="","",L10*상미75)</f>
        <v>91.25</v>
      </c>
      <c r="O10" s="19">
        <f t="shared" ref="O10" si="25">IF(N10="","",M10+N10)</f>
        <v>45890.25</v>
      </c>
      <c r="P10" s="17">
        <f t="shared" ref="P10" ca="1" si="26">IF(O10="","",O10-$I$1)</f>
        <v>-117.75</v>
      </c>
    </row>
    <row r="11" spans="1:16" ht="16.5" customHeight="1" x14ac:dyDescent="0.3">
      <c r="A11" s="10">
        <f t="shared" si="21"/>
        <v>9</v>
      </c>
      <c r="B11" s="10">
        <v>4184</v>
      </c>
      <c r="C11" s="10" t="str">
        <f>VLOOKUP(B:B,재고차이!A:B,2,0)</f>
        <v>SP4184</v>
      </c>
      <c r="D11" s="10" t="str">
        <f>VLOOKUP(C:C,재고차이!B:C,2,0)</f>
        <v>S)스프제로 칠 아이스블라스트 350CAN 4X6</v>
      </c>
      <c r="E11" s="10">
        <f>11+1</f>
        <v>12</v>
      </c>
      <c r="F11" s="10"/>
      <c r="G11" s="200"/>
      <c r="H11" s="200"/>
      <c r="I11" s="199">
        <v>46213</v>
      </c>
      <c r="J11" s="199"/>
      <c r="K11" s="20">
        <f t="shared" ca="1" si="16"/>
        <v>-68.75</v>
      </c>
      <c r="L11" s="95">
        <f>IF(I11="","",SUMIF(제품등록!B:B,'창고2(실사표)'!C:C,제품등록!F:F))</f>
        <v>365</v>
      </c>
      <c r="M11" s="11">
        <f t="shared" si="17"/>
        <v>45848</v>
      </c>
      <c r="N11" s="18">
        <f t="shared" si="18"/>
        <v>91.25</v>
      </c>
      <c r="O11" s="19">
        <f t="shared" si="19"/>
        <v>45939.25</v>
      </c>
      <c r="P11" s="17">
        <f t="shared" ca="1" si="20"/>
        <v>-68.75</v>
      </c>
    </row>
    <row r="12" spans="1:16" ht="16.5" customHeight="1" x14ac:dyDescent="0.3">
      <c r="A12" s="10">
        <f t="shared" si="21"/>
        <v>10</v>
      </c>
      <c r="B12" s="10">
        <v>4177</v>
      </c>
      <c r="C12" s="10" t="str">
        <f>VLOOKUP(B:B,재고차이!A:B,2,0)</f>
        <v>FT4177</v>
      </c>
      <c r="D12" s="10" t="str">
        <f>VLOOKUP(C:C,재고차이!B:C,2,0)</f>
        <v>S)환타 오렌지 350CAN 4X6</v>
      </c>
      <c r="E12" s="10"/>
      <c r="F12" s="10"/>
      <c r="G12" s="200"/>
      <c r="H12" s="200"/>
      <c r="I12" s="199">
        <v>46563</v>
      </c>
      <c r="J12" s="199"/>
      <c r="K12" s="20">
        <f ca="1">+P12</f>
        <v>7.5</v>
      </c>
      <c r="L12" s="95">
        <f>IF(I12="","",SUMIF(제품등록!B:B,'창고2(실사표)'!C:C,제품등록!F:F))</f>
        <v>730</v>
      </c>
      <c r="M12" s="11">
        <f>IF(I12=0,"",I12-L12)</f>
        <v>45833</v>
      </c>
      <c r="N12" s="18">
        <f>IF(M12="","",L12*상미75)</f>
        <v>182.5</v>
      </c>
      <c r="O12" s="19">
        <f>IF(N12="","",M12+N12)</f>
        <v>46015.5</v>
      </c>
      <c r="P12" s="17">
        <f ca="1">IF(O12="","",O12-$I$1)</f>
        <v>7.5</v>
      </c>
    </row>
    <row r="13" spans="1:16" ht="16.5" customHeight="1" x14ac:dyDescent="0.3">
      <c r="A13" s="10">
        <f t="shared" si="21"/>
        <v>11</v>
      </c>
      <c r="B13" s="10">
        <v>7994</v>
      </c>
      <c r="C13" s="10" t="str">
        <f>VLOOKUP(B:B,재고차이!A:B,2,0)</f>
        <v>DP7994</v>
      </c>
      <c r="D13" s="10" t="str">
        <f>VLOOKUP(C:C,재고차이!B:C,2,0)</f>
        <v>닥터페퍼 제로 350CAN 4X6</v>
      </c>
      <c r="E13" s="10">
        <v>17</v>
      </c>
      <c r="F13" s="10"/>
      <c r="G13" s="200"/>
      <c r="H13" s="200"/>
      <c r="I13" s="199">
        <v>46192</v>
      </c>
      <c r="J13" s="199"/>
      <c r="K13" s="20">
        <f t="shared" ref="K13" ca="1" si="27">+P13</f>
        <v>-89.75</v>
      </c>
      <c r="L13" s="95">
        <f>IF(I13="","",SUMIF(제품등록!B:B,'창고2(실사표)'!C:C,제품등록!F:F))</f>
        <v>365</v>
      </c>
      <c r="M13" s="11">
        <f t="shared" ref="M13" si="28">IF(I13=0,"",I13-L13)</f>
        <v>45827</v>
      </c>
      <c r="N13" s="18">
        <f t="shared" ref="N13" si="29">IF(M13="","",L13*상미75)</f>
        <v>91.25</v>
      </c>
      <c r="O13" s="19">
        <f t="shared" ref="O13" si="30">IF(N13="","",M13+N13)</f>
        <v>45918.25</v>
      </c>
      <c r="P13" s="17">
        <f t="shared" ref="P13" ca="1" si="31">IF(O13="","",O13-$I$1)</f>
        <v>-89.75</v>
      </c>
    </row>
    <row r="14" spans="1:16" ht="16.5" customHeight="1" x14ac:dyDescent="0.3">
      <c r="A14" s="10">
        <f t="shared" si="21"/>
        <v>12</v>
      </c>
      <c r="B14" s="10" t="s">
        <v>2692</v>
      </c>
      <c r="C14" s="10" t="str">
        <f>VLOOKUP(B:B,재고차이!A:B,2,0)</f>
        <v>DP0439</v>
      </c>
      <c r="D14" s="10" t="str">
        <f>VLOOKUP(C:C,재고차이!B:C,2,0)</f>
        <v>S)닥터페퍼제로 스트로베리&amp;크림 350CAN4X6</v>
      </c>
      <c r="E14" s="10">
        <f>8+3</f>
        <v>11</v>
      </c>
      <c r="F14" s="10"/>
      <c r="G14" s="200"/>
      <c r="H14" s="200"/>
      <c r="I14" s="199">
        <v>46207</v>
      </c>
      <c r="J14" s="199"/>
      <c r="K14" s="20">
        <f t="shared" ref="K14" ca="1" si="32">+P14</f>
        <v>-74.75</v>
      </c>
      <c r="L14" s="95">
        <f>IF(I14="","",SUMIF(제품등록!B:B,'창고2(실사표)'!C:C,제품등록!F:F))</f>
        <v>365</v>
      </c>
      <c r="M14" s="11">
        <f t="shared" ref="M14" si="33">IF(I14=0,"",I14-L14)</f>
        <v>45842</v>
      </c>
      <c r="N14" s="18">
        <f t="shared" ref="N14" si="34">IF(M14="","",L14*상미75)</f>
        <v>91.25</v>
      </c>
      <c r="O14" s="19">
        <f t="shared" ref="O14" si="35">IF(N14="","",M14+N14)</f>
        <v>45933.25</v>
      </c>
      <c r="P14" s="17">
        <f t="shared" ref="P14" ca="1" si="36">IF(O14="","",O14-$I$1)</f>
        <v>-74.75</v>
      </c>
    </row>
    <row r="15" spans="1:16" ht="15.75" customHeight="1" x14ac:dyDescent="0.3">
      <c r="A15" s="10">
        <f t="shared" si="21"/>
        <v>13</v>
      </c>
      <c r="B15" s="10" t="s">
        <v>2589</v>
      </c>
      <c r="C15" s="10" t="str">
        <f>VLOOKUP(B:B,재고차이!A:B,2,0)</f>
        <v>FT4181</v>
      </c>
      <c r="D15" s="10" t="str">
        <f>VLOOKUP(C:C,재고차이!B:C,2,0)</f>
        <v>환타 제로 파인 350CAN 4X6</v>
      </c>
      <c r="E15" s="10">
        <f>16+1</f>
        <v>17</v>
      </c>
      <c r="F15" s="10"/>
      <c r="G15" s="200"/>
      <c r="H15" s="200"/>
      <c r="I15" s="199">
        <v>46191</v>
      </c>
      <c r="J15" s="164"/>
      <c r="K15" s="20">
        <f t="shared" ca="1" si="11"/>
        <v>-90.75</v>
      </c>
      <c r="L15" s="95">
        <v>365</v>
      </c>
      <c r="M15" s="11">
        <f t="shared" ref="M15:M25" si="37">IF(I15=0,"",I15-L15)</f>
        <v>45826</v>
      </c>
      <c r="N15" s="18">
        <f>IF(L15="","",L15*상미75)</f>
        <v>91.25</v>
      </c>
      <c r="O15" s="19">
        <f>IF(M15="","",M15+N15)</f>
        <v>45917.25</v>
      </c>
      <c r="P15" s="17">
        <f t="shared" ref="P15:P25" ca="1" si="38">IF(O15="","",O15-$I$1)</f>
        <v>-90.75</v>
      </c>
    </row>
    <row r="16" spans="1:16" ht="15.75" customHeight="1" x14ac:dyDescent="0.3">
      <c r="A16" s="10">
        <f t="shared" si="21"/>
        <v>14</v>
      </c>
      <c r="B16" s="10">
        <v>4182</v>
      </c>
      <c r="C16" s="10" t="str">
        <f>VLOOKUP(B:B,재고차이!A:B,2,0)</f>
        <v>FT4182</v>
      </c>
      <c r="D16" s="10" t="str">
        <f>VLOOKUP(C:C,재고차이!B:C,2,0)</f>
        <v>환타 제로 오렌지 350CAN 4X6</v>
      </c>
      <c r="E16" s="10">
        <f>16+2</f>
        <v>18</v>
      </c>
      <c r="F16" s="10"/>
      <c r="G16" s="200"/>
      <c r="H16" s="200"/>
      <c r="I16" s="199">
        <v>46177</v>
      </c>
      <c r="J16" s="164"/>
      <c r="K16" s="20">
        <f t="shared" ref="K16" ca="1" si="39">+P16</f>
        <v>-104.75</v>
      </c>
      <c r="L16" s="95">
        <v>365</v>
      </c>
      <c r="M16" s="11">
        <f t="shared" ref="M16" si="40">IF(I16=0,"",I16-L16)</f>
        <v>45812</v>
      </c>
      <c r="N16" s="18">
        <f>IF(L16="","",L16*상미75)</f>
        <v>91.25</v>
      </c>
      <c r="O16" s="19">
        <f>IF(M16="","",M16+N16)</f>
        <v>45903.25</v>
      </c>
      <c r="P16" s="17">
        <f t="shared" ref="P16" ca="1" si="41">IF(O16="","",O16-$I$1)</f>
        <v>-104.75</v>
      </c>
    </row>
    <row r="17" spans="1:16" ht="15.75" customHeight="1" x14ac:dyDescent="0.3">
      <c r="A17" s="10">
        <f t="shared" si="21"/>
        <v>15</v>
      </c>
      <c r="B17" s="10">
        <v>5194</v>
      </c>
      <c r="C17" s="10" t="str">
        <f>VLOOKUP(B:B,재고차이!A:B,2,0)</f>
        <v>CC5194</v>
      </c>
      <c r="D17" s="10" t="str">
        <f>VLOOKUP(C:C,재고차이!B:C,2,0)</f>
        <v>S)코크제로 레몬 350CAN 4X6</v>
      </c>
      <c r="E17" s="10">
        <v>1</v>
      </c>
      <c r="F17" s="10"/>
      <c r="G17" s="200"/>
      <c r="H17" s="200"/>
      <c r="I17" s="199">
        <v>46355</v>
      </c>
      <c r="J17" s="164"/>
      <c r="K17" s="20">
        <f t="shared" ca="1" si="11"/>
        <v>73.25</v>
      </c>
      <c r="L17" s="95">
        <v>365</v>
      </c>
      <c r="M17" s="11">
        <f t="shared" si="37"/>
        <v>45990</v>
      </c>
      <c r="N17" s="18">
        <f>IF(L17="","",L17*상미75)</f>
        <v>91.25</v>
      </c>
      <c r="O17" s="19">
        <f>IF(M17="","",M17+N17)</f>
        <v>46081.25</v>
      </c>
      <c r="P17" s="17">
        <f t="shared" ca="1" si="38"/>
        <v>73.25</v>
      </c>
    </row>
    <row r="18" spans="1:16" ht="16.5" customHeight="1" x14ac:dyDescent="0.3">
      <c r="A18" s="10">
        <f t="shared" si="21"/>
        <v>16</v>
      </c>
      <c r="B18" s="10">
        <v>5641</v>
      </c>
      <c r="C18" s="10" t="str">
        <f>VLOOKUP(B:B,재고차이!A:B,2,0)</f>
        <v>MO5641</v>
      </c>
      <c r="D18" s="10" t="str">
        <f>VLOOKUP(C:C,재고차이!B:C,2,0)</f>
        <v>몬스터에너지그린355C 4X6</v>
      </c>
      <c r="E18" s="10">
        <f>3+8</f>
        <v>11</v>
      </c>
      <c r="F18" s="200"/>
      <c r="G18" s="200"/>
      <c r="H18" s="200"/>
      <c r="I18" s="164">
        <v>46549</v>
      </c>
      <c r="J18" s="199"/>
      <c r="K18" s="20">
        <f t="shared" ref="K18" ca="1" si="42">+P18</f>
        <v>-6.5</v>
      </c>
      <c r="L18" s="95">
        <f>IF(I18="","",SUMIF(제품등록!B:B,'창고2(실사표)'!C:C,제품등록!F:F))</f>
        <v>730</v>
      </c>
      <c r="M18" s="11">
        <f t="shared" ref="M18" si="43">IF(I18=0,"",I18-L18)</f>
        <v>45819</v>
      </c>
      <c r="N18" s="18">
        <f t="shared" ref="N18" si="44">IF(M18="","",L18*상미75)</f>
        <v>182.5</v>
      </c>
      <c r="O18" s="19">
        <f t="shared" ref="O18" si="45">IF(N18="","",M18+N18)</f>
        <v>46001.5</v>
      </c>
      <c r="P18" s="17">
        <f t="shared" ref="P18" ca="1" si="46">IF(O18="","",O18-$I$1)</f>
        <v>-6.5</v>
      </c>
    </row>
    <row r="19" spans="1:16" ht="16.5" customHeight="1" x14ac:dyDescent="0.3">
      <c r="A19" s="10">
        <f t="shared" si="21"/>
        <v>17</v>
      </c>
      <c r="B19" s="10">
        <v>5643</v>
      </c>
      <c r="C19" s="10" t="str">
        <f>VLOOKUP(B:B,재고차이!A:B,2,0)</f>
        <v>MO5643</v>
      </c>
      <c r="D19" s="10" t="str">
        <f>VLOOKUP(C:C,재고차이!B:C,2,0)</f>
        <v>몬스터 에너지 울트라 355CAN 4X6</v>
      </c>
      <c r="E19" s="200">
        <v>3</v>
      </c>
      <c r="F19" s="200"/>
      <c r="G19" s="200"/>
      <c r="H19" s="200"/>
      <c r="I19" s="164">
        <v>46548</v>
      </c>
      <c r="J19" s="199"/>
      <c r="K19" s="20">
        <f ca="1">+P19</f>
        <v>-7.5</v>
      </c>
      <c r="L19" s="95">
        <f>IF(I19="","",SUMIF(제품등록!B:B,'창고2(실사표)'!C:C,제품등록!F:F))</f>
        <v>730</v>
      </c>
      <c r="M19" s="11">
        <f>IF(I19=0,"",I19-L19)</f>
        <v>45818</v>
      </c>
      <c r="N19" s="18">
        <f>IF(M19="","",L19*상미75)</f>
        <v>182.5</v>
      </c>
      <c r="O19" s="19">
        <f>IF(N19="","",M19+N19)</f>
        <v>46000.5</v>
      </c>
      <c r="P19" s="17">
        <f ca="1">IF(O19="","",O19-$I$1)</f>
        <v>-7.5</v>
      </c>
    </row>
    <row r="20" spans="1:16" ht="16.5" customHeight="1" x14ac:dyDescent="0.3">
      <c r="A20" s="10">
        <f t="shared" si="21"/>
        <v>18</v>
      </c>
      <c r="B20" s="10">
        <v>5643</v>
      </c>
      <c r="C20" s="10" t="str">
        <f>VLOOKUP(B:B,재고차이!A:B,2,0)</f>
        <v>MO5643</v>
      </c>
      <c r="D20" s="10" t="str">
        <f>VLOOKUP(C:C,재고차이!B:C,2,0)</f>
        <v>몬스터 에너지 울트라 355CAN 4X6</v>
      </c>
      <c r="E20" s="200">
        <f>9+5</f>
        <v>14</v>
      </c>
      <c r="F20" s="200"/>
      <c r="G20" s="200"/>
      <c r="H20" s="200"/>
      <c r="I20" s="164">
        <v>46556</v>
      </c>
      <c r="J20" s="199"/>
      <c r="K20" s="20">
        <f ca="1">+P20</f>
        <v>0.5</v>
      </c>
      <c r="L20" s="95">
        <f>IF(I20="","",SUMIF(제품등록!B:B,'창고2(실사표)'!C:C,제품등록!F:F))</f>
        <v>730</v>
      </c>
      <c r="M20" s="11">
        <f>IF(I20=0,"",I20-L20)</f>
        <v>45826</v>
      </c>
      <c r="N20" s="18">
        <f>IF(M20="","",L20*상미75)</f>
        <v>182.5</v>
      </c>
      <c r="O20" s="19">
        <f>IF(N20="","",M20+N20)</f>
        <v>46008.5</v>
      </c>
      <c r="P20" s="17">
        <f ca="1">IF(O20="","",O20-$I$1)</f>
        <v>0.5</v>
      </c>
    </row>
    <row r="21" spans="1:16" ht="15.75" customHeight="1" x14ac:dyDescent="0.3">
      <c r="A21" s="10">
        <f t="shared" si="21"/>
        <v>19</v>
      </c>
      <c r="B21" s="10">
        <v>5639</v>
      </c>
      <c r="C21" s="10" t="str">
        <f>VLOOKUP(B:B,재고차이!A:B,2,0)</f>
        <v>MO5639</v>
      </c>
      <c r="D21" s="10" t="str">
        <f>VLOOKUP(C:C,재고차이!B:C,2,0)</f>
        <v>몬스터 에너지 시트라 355CAN 4X6</v>
      </c>
      <c r="E21" s="200">
        <f>16+1</f>
        <v>17</v>
      </c>
      <c r="F21" s="200"/>
      <c r="G21" s="200"/>
      <c r="H21" s="200"/>
      <c r="I21" s="164">
        <v>46553</v>
      </c>
      <c r="J21" s="199"/>
      <c r="K21" s="20">
        <f t="shared" ref="K21" ca="1" si="47">+P21</f>
        <v>-2.5</v>
      </c>
      <c r="L21" s="95">
        <f>IF(I21="","",SUMIF(제품등록!B:B,'창고2(실사표)'!C:C,제품등록!F:F))</f>
        <v>730</v>
      </c>
      <c r="M21" s="11">
        <f t="shared" ref="M21" si="48">IF(I21=0,"",I21-L21)</f>
        <v>45823</v>
      </c>
      <c r="N21" s="18">
        <f t="shared" ref="N21" si="49">IF(M21="","",L21*상미75)</f>
        <v>182.5</v>
      </c>
      <c r="O21" s="19">
        <f t="shared" ref="O21" si="50">IF(N21="","",M21+N21)</f>
        <v>46005.5</v>
      </c>
      <c r="P21" s="17">
        <f t="shared" ref="P21" ca="1" si="51">IF(O21="","",O21-$I$1)</f>
        <v>-2.5</v>
      </c>
    </row>
    <row r="22" spans="1:16" ht="15.75" customHeight="1" x14ac:dyDescent="0.3">
      <c r="A22" s="10">
        <f t="shared" si="21"/>
        <v>20</v>
      </c>
      <c r="B22" s="10">
        <v>5636</v>
      </c>
      <c r="C22" s="10" t="str">
        <f>VLOOKUP(B:B,재고차이!A:B,2,0)</f>
        <v>MO5636</v>
      </c>
      <c r="D22" s="10" t="str">
        <f>VLOOKUP(C:C,재고차이!B:C,2,0)</f>
        <v>몬스터 에너지 펀치 355CAN 4X6</v>
      </c>
      <c r="E22" s="200">
        <f>12+2</f>
        <v>14</v>
      </c>
      <c r="F22" s="200"/>
      <c r="G22" s="200"/>
      <c r="H22" s="200"/>
      <c r="I22" s="164">
        <v>46535</v>
      </c>
      <c r="J22" s="199"/>
      <c r="K22" s="20">
        <f t="shared" ca="1" si="11"/>
        <v>-20.5</v>
      </c>
      <c r="L22" s="95">
        <f>IF(I22="","",SUMIF(제품등록!B:B,'창고2(실사표)'!C:C,제품등록!F:F))</f>
        <v>730</v>
      </c>
      <c r="M22" s="11">
        <f t="shared" si="37"/>
        <v>45805</v>
      </c>
      <c r="N22" s="18">
        <f t="shared" ref="N22:N25" si="52">IF(M22="","",L22*상미75)</f>
        <v>182.5</v>
      </c>
      <c r="O22" s="19">
        <f t="shared" ref="O22:O25" si="53">IF(N22="","",M22+N22)</f>
        <v>45987.5</v>
      </c>
      <c r="P22" s="17">
        <f t="shared" ca="1" si="38"/>
        <v>-20.5</v>
      </c>
    </row>
    <row r="23" spans="1:16" ht="16.5" customHeight="1" x14ac:dyDescent="0.3">
      <c r="A23" s="10">
        <f t="shared" si="21"/>
        <v>21</v>
      </c>
      <c r="B23" s="10">
        <v>5656</v>
      </c>
      <c r="C23" s="10" t="str">
        <f>VLOOKUP(B:B,재고차이!A:B,2,0)</f>
        <v>MO5656</v>
      </c>
      <c r="D23" s="10" t="str">
        <f>VLOOKUP(C:C,재고차이!B:C,2,0)</f>
        <v>몬스터 에너지 망고로코 355CAN 4X6</v>
      </c>
      <c r="E23" s="200">
        <v>4</v>
      </c>
      <c r="F23" s="200"/>
      <c r="G23" s="200"/>
      <c r="H23" s="200"/>
      <c r="I23" s="164">
        <v>46542</v>
      </c>
      <c r="J23" s="199"/>
      <c r="K23" s="20">
        <f t="shared" ca="1" si="11"/>
        <v>-13.5</v>
      </c>
      <c r="L23" s="95">
        <f>IF(I23="","",SUMIF(제품등록!B:B,'창고2(실사표)'!C:C,제품등록!F:F))</f>
        <v>730</v>
      </c>
      <c r="M23" s="11">
        <f t="shared" si="37"/>
        <v>45812</v>
      </c>
      <c r="N23" s="18">
        <f t="shared" si="52"/>
        <v>182.5</v>
      </c>
      <c r="O23" s="19">
        <f t="shared" si="53"/>
        <v>45994.5</v>
      </c>
      <c r="P23" s="17">
        <f t="shared" ca="1" si="38"/>
        <v>-13.5</v>
      </c>
    </row>
    <row r="24" spans="1:16" ht="16.5" customHeight="1" x14ac:dyDescent="0.3">
      <c r="A24" s="10">
        <f t="shared" si="21"/>
        <v>22</v>
      </c>
      <c r="B24" s="10">
        <v>5656</v>
      </c>
      <c r="C24" s="10" t="str">
        <f>VLOOKUP(B:B,재고차이!A:B,2,0)</f>
        <v>MO5656</v>
      </c>
      <c r="D24" s="10" t="str">
        <f>VLOOKUP(C:C,재고차이!B:C,2,0)</f>
        <v>몬스터 에너지 망고로코 355CAN 4X6</v>
      </c>
      <c r="E24" s="200">
        <v>14</v>
      </c>
      <c r="F24" s="200"/>
      <c r="G24" s="200"/>
      <c r="H24" s="200"/>
      <c r="I24" s="164">
        <v>46543</v>
      </c>
      <c r="J24" s="199"/>
      <c r="K24" s="20">
        <f t="shared" ref="K24" ca="1" si="54">+P24</f>
        <v>-12.5</v>
      </c>
      <c r="L24" s="95">
        <f>IF(I24="","",SUMIF(제품등록!B:B,'창고2(실사표)'!C:C,제품등록!F:F))</f>
        <v>730</v>
      </c>
      <c r="M24" s="11">
        <f t="shared" ref="M24" si="55">IF(I24=0,"",I24-L24)</f>
        <v>45813</v>
      </c>
      <c r="N24" s="18">
        <f t="shared" ref="N24" si="56">IF(M24="","",L24*상미75)</f>
        <v>182.5</v>
      </c>
      <c r="O24" s="19">
        <f t="shared" ref="O24" si="57">IF(N24="","",M24+N24)</f>
        <v>45995.5</v>
      </c>
      <c r="P24" s="17">
        <f t="shared" ref="P24" ca="1" si="58">IF(O24="","",O24-$I$1)</f>
        <v>-12.5</v>
      </c>
    </row>
    <row r="25" spans="1:16" ht="16.5" customHeight="1" x14ac:dyDescent="0.3">
      <c r="A25" s="10">
        <f t="shared" si="21"/>
        <v>23</v>
      </c>
      <c r="B25" s="10">
        <v>5628</v>
      </c>
      <c r="C25" s="10" t="str">
        <f>VLOOKUP(B:B,재고차이!A:B,2,0)</f>
        <v>MO5628</v>
      </c>
      <c r="D25" s="10" t="str">
        <f>VLOOKUP(C:C,재고차이!B:C,2,0)</f>
        <v>몬스터 에너지 제로슈거 355CAN 4X6</v>
      </c>
      <c r="E25" s="200">
        <v>1</v>
      </c>
      <c r="F25" s="200"/>
      <c r="G25" s="200"/>
      <c r="H25" s="200"/>
      <c r="I25" s="164">
        <v>46513</v>
      </c>
      <c r="J25" s="199"/>
      <c r="K25" s="20">
        <f t="shared" ca="1" si="11"/>
        <v>-42.5</v>
      </c>
      <c r="L25" s="95">
        <f>IF(I25="","",SUMIF(제품등록!B:B,'창고2(실사표)'!C:C,제품등록!F:F))</f>
        <v>730</v>
      </c>
      <c r="M25" s="11">
        <f t="shared" si="37"/>
        <v>45783</v>
      </c>
      <c r="N25" s="18">
        <f t="shared" si="52"/>
        <v>182.5</v>
      </c>
      <c r="O25" s="19">
        <f t="shared" si="53"/>
        <v>45965.5</v>
      </c>
      <c r="P25" s="17">
        <f t="shared" ca="1" si="38"/>
        <v>-42.5</v>
      </c>
    </row>
    <row r="26" spans="1:16" ht="16.5" customHeight="1" x14ac:dyDescent="0.3">
      <c r="A26" s="10">
        <f t="shared" si="21"/>
        <v>24</v>
      </c>
      <c r="B26" s="10">
        <v>5662</v>
      </c>
      <c r="C26" s="10" t="str">
        <f>VLOOKUP(B:B,재고차이!A:B,2,0)</f>
        <v>MO5662</v>
      </c>
      <c r="D26" s="10" t="str">
        <f>VLOOKUP(C:C,재고차이!B:C,2,0)</f>
        <v>몬스터 에너지 선라이즈 355CAN 4X6</v>
      </c>
      <c r="E26" s="200">
        <v>8</v>
      </c>
      <c r="F26" s="200"/>
      <c r="G26" s="200"/>
      <c r="H26" s="200"/>
      <c r="I26" s="164">
        <v>46478</v>
      </c>
      <c r="J26" s="199"/>
      <c r="K26" s="20">
        <f t="shared" ref="K26:K36" ca="1" si="59">+P26</f>
        <v>-77.5</v>
      </c>
      <c r="L26" s="95">
        <f>IF(I26="","",SUMIF(제품등록!B:B,'창고2(실사표)'!C:C,제품등록!F:F))</f>
        <v>730</v>
      </c>
      <c r="M26" s="11">
        <f t="shared" ref="M26:M36" si="60">IF(I26=0,"",I26-L26)</f>
        <v>45748</v>
      </c>
      <c r="N26" s="18">
        <f t="shared" ref="N26:N36" si="61">IF(M26="","",L26*상미75)</f>
        <v>182.5</v>
      </c>
      <c r="O26" s="19">
        <f t="shared" ref="O26:O36" si="62">IF(N26="","",M26+N26)</f>
        <v>45930.5</v>
      </c>
      <c r="P26" s="17">
        <f t="shared" ref="P26:P36" ca="1" si="63">IF(O26="","",O26-$I$1)</f>
        <v>-77.5</v>
      </c>
    </row>
    <row r="27" spans="1:16" ht="16.5" customHeight="1" x14ac:dyDescent="0.3">
      <c r="A27" s="10">
        <f t="shared" si="21"/>
        <v>25</v>
      </c>
      <c r="B27" s="10">
        <v>5664</v>
      </c>
      <c r="C27" s="10" t="str">
        <f>VLOOKUP(B:B,재고차이!A:B,2,0)</f>
        <v>MO5664</v>
      </c>
      <c r="D27" s="10" t="str">
        <f>VLOOKUP(C:C,재고차이!B:C,2,0)</f>
        <v>몬스터 에너지 피치킨 355CAN 4X6</v>
      </c>
      <c r="E27" s="200">
        <v>16</v>
      </c>
      <c r="F27" s="200"/>
      <c r="G27" s="200"/>
      <c r="H27" s="200"/>
      <c r="I27" s="164">
        <v>46471</v>
      </c>
      <c r="J27" s="199"/>
      <c r="K27" s="20">
        <f t="shared" ca="1" si="59"/>
        <v>-84.5</v>
      </c>
      <c r="L27" s="95">
        <f>IF(I27="","",SUMIF(제품등록!B:B,'창고2(실사표)'!C:C,제품등록!F:F))</f>
        <v>730</v>
      </c>
      <c r="M27" s="11">
        <f t="shared" si="60"/>
        <v>45741</v>
      </c>
      <c r="N27" s="18">
        <f t="shared" si="61"/>
        <v>182.5</v>
      </c>
      <c r="O27" s="19">
        <f t="shared" si="62"/>
        <v>45923.5</v>
      </c>
      <c r="P27" s="17">
        <f t="shared" ca="1" si="63"/>
        <v>-84.5</v>
      </c>
    </row>
    <row r="28" spans="1:16" ht="16.5" customHeight="1" x14ac:dyDescent="0.3">
      <c r="A28" s="10">
        <f t="shared" si="21"/>
        <v>26</v>
      </c>
      <c r="B28" s="10">
        <v>5668</v>
      </c>
      <c r="C28" s="10" t="str">
        <f>VLOOKUP(B:B,재고차이!A:B,2,0)</f>
        <v>MO5668</v>
      </c>
      <c r="D28" s="10" t="str">
        <f>VLOOKUP(C:C,재고차이!B:C,2,0)</f>
        <v>몬스터 오지 레모네이드 355CAN 4X6</v>
      </c>
      <c r="E28" s="200">
        <v>13</v>
      </c>
      <c r="F28" s="200"/>
      <c r="G28" s="200"/>
      <c r="H28" s="200"/>
      <c r="I28" s="164">
        <v>46516</v>
      </c>
      <c r="J28" s="199"/>
      <c r="K28" s="20">
        <f ca="1">+P28</f>
        <v>-39.5</v>
      </c>
      <c r="L28" s="95">
        <f>IF(I28="","",SUMIF(제품등록!B:B,'창고2(실사표)'!C:C,제품등록!F:F))</f>
        <v>730</v>
      </c>
      <c r="M28" s="11">
        <f>IF(I28=0,"",I28-L28)</f>
        <v>45786</v>
      </c>
      <c r="N28" s="18">
        <f>IF(M28="","",L28*상미75)</f>
        <v>182.5</v>
      </c>
      <c r="O28" s="19">
        <f>IF(N28="","",M28+N28)</f>
        <v>45968.5</v>
      </c>
      <c r="P28" s="17">
        <f ca="1">IF(O28="","",O28-$I$1)</f>
        <v>-39.5</v>
      </c>
    </row>
    <row r="29" spans="1:16" ht="16.5" customHeight="1" x14ac:dyDescent="0.3">
      <c r="A29" s="10">
        <f t="shared" si="21"/>
        <v>27</v>
      </c>
      <c r="B29" s="10">
        <v>5676</v>
      </c>
      <c r="C29" s="10" t="str">
        <f>VLOOKUP(B:B,재고차이!A:B,2,0)</f>
        <v>MO5676</v>
      </c>
      <c r="D29" s="10" t="str">
        <f>VLOOKUP(C:C,재고차이!B:C,2,0)</f>
        <v>S)몬스터 스트로베리 드림즈 355CAN 4X6</v>
      </c>
      <c r="E29" s="200">
        <f>11+10</f>
        <v>21</v>
      </c>
      <c r="F29" s="200"/>
      <c r="G29" s="200"/>
      <c r="H29" s="200"/>
      <c r="I29" s="164">
        <v>46487</v>
      </c>
      <c r="J29" s="199"/>
      <c r="K29" s="20">
        <f t="shared" ref="K29" ca="1" si="64">+P29</f>
        <v>-68.5</v>
      </c>
      <c r="L29" s="95">
        <f>IF(I29="","",SUMIF(제품등록!B:B,'창고2(실사표)'!C:C,제품등록!F:F))</f>
        <v>730</v>
      </c>
      <c r="M29" s="11">
        <f t="shared" ref="M29" si="65">IF(I29=0,"",I29-L29)</f>
        <v>45757</v>
      </c>
      <c r="N29" s="18">
        <f t="shared" ref="N29" si="66">IF(M29="","",L29*상미75)</f>
        <v>182.5</v>
      </c>
      <c r="O29" s="19">
        <f t="shared" ref="O29" si="67">IF(N29="","",M29+N29)</f>
        <v>45939.5</v>
      </c>
      <c r="P29" s="17">
        <f t="shared" ref="P29" ca="1" si="68">IF(O29="","",O29-$I$1)</f>
        <v>-68.5</v>
      </c>
    </row>
    <row r="30" spans="1:16" ht="16.5" customHeight="1" x14ac:dyDescent="0.3">
      <c r="A30" s="10">
        <f t="shared" si="21"/>
        <v>28</v>
      </c>
      <c r="B30" s="10">
        <v>5679</v>
      </c>
      <c r="C30" s="10" t="str">
        <f>VLOOKUP(B:B,재고차이!A:B,2,0)</f>
        <v>MO5679</v>
      </c>
      <c r="D30" s="10" t="str">
        <f>VLOOKUP(C:C,재고차이!B:C,2,0)</f>
        <v>S)몬스터 에너지 파피용 355CAN 4X6</v>
      </c>
      <c r="E30" s="200">
        <f>8+29</f>
        <v>37</v>
      </c>
      <c r="F30" s="200"/>
      <c r="G30" s="200"/>
      <c r="H30" s="200"/>
      <c r="I30" s="164">
        <v>46522</v>
      </c>
      <c r="J30" s="199"/>
      <c r="K30" s="20">
        <f t="shared" ca="1" si="59"/>
        <v>-33.5</v>
      </c>
      <c r="L30" s="95">
        <f>IF(I30="","",SUMIF(제품등록!B:B,'창고2(실사표)'!C:C,제품등록!F:F))</f>
        <v>730</v>
      </c>
      <c r="M30" s="11">
        <f t="shared" si="60"/>
        <v>45792</v>
      </c>
      <c r="N30" s="18">
        <f t="shared" si="61"/>
        <v>182.5</v>
      </c>
      <c r="O30" s="19">
        <f t="shared" si="62"/>
        <v>45974.5</v>
      </c>
      <c r="P30" s="17">
        <f t="shared" ca="1" si="63"/>
        <v>-33.5</v>
      </c>
    </row>
    <row r="31" spans="1:16" ht="16.5" customHeight="1" x14ac:dyDescent="0.3">
      <c r="A31" s="10">
        <v>27</v>
      </c>
      <c r="B31" s="10">
        <v>5672</v>
      </c>
      <c r="C31" s="10" t="str">
        <f>VLOOKUP(B:B,재고차이!A:B,2,0)</f>
        <v>MO5672</v>
      </c>
      <c r="D31" s="10" t="str">
        <f>VLOOKUP(C:C,재고차이!B:C,2,0)</f>
        <v>몬스터 에너지 그린 500CAN 4X6</v>
      </c>
      <c r="E31" s="200">
        <v>7</v>
      </c>
      <c r="F31" s="200"/>
      <c r="G31" s="200"/>
      <c r="H31" s="200"/>
      <c r="I31" s="164">
        <v>46484</v>
      </c>
      <c r="J31" s="199"/>
      <c r="K31" s="20">
        <f t="shared" ca="1" si="59"/>
        <v>-71.5</v>
      </c>
      <c r="L31" s="95">
        <f>IF(I31="","",SUMIF(제품등록!B:B,'창고2(실사표)'!C:C,제품등록!F:F))</f>
        <v>730</v>
      </c>
      <c r="M31" s="11">
        <f t="shared" si="60"/>
        <v>45754</v>
      </c>
      <c r="N31" s="18">
        <f t="shared" si="61"/>
        <v>182.5</v>
      </c>
      <c r="O31" s="19">
        <f t="shared" si="62"/>
        <v>45936.5</v>
      </c>
      <c r="P31" s="17">
        <f t="shared" ca="1" si="63"/>
        <v>-71.5</v>
      </c>
    </row>
    <row r="32" spans="1:16" ht="16.5" customHeight="1" x14ac:dyDescent="0.3">
      <c r="A32" s="10">
        <f t="shared" si="21"/>
        <v>30</v>
      </c>
      <c r="B32" s="10">
        <v>5673</v>
      </c>
      <c r="C32" s="10" t="str">
        <f>VLOOKUP(B:B,재고차이!A:B,2,0)</f>
        <v>MO5673</v>
      </c>
      <c r="D32" s="10" t="str">
        <f>VLOOKUP(C:C,재고차이!B:C,2,0)</f>
        <v>몬스터 에너지 울트라 500CAN 4X6</v>
      </c>
      <c r="E32" s="200">
        <v>3</v>
      </c>
      <c r="F32" s="200"/>
      <c r="G32" s="200"/>
      <c r="H32" s="200"/>
      <c r="I32" s="164">
        <v>46485</v>
      </c>
      <c r="J32" s="199"/>
      <c r="K32" s="20">
        <f t="shared" ref="K32" ca="1" si="69">+P32</f>
        <v>-70.5</v>
      </c>
      <c r="L32" s="95">
        <f>IF(I32="","",SUMIF(제품등록!B:B,'창고2(실사표)'!C:C,제품등록!F:F))</f>
        <v>730</v>
      </c>
      <c r="M32" s="11">
        <f t="shared" ref="M32" si="70">IF(I32=0,"",I32-L32)</f>
        <v>45755</v>
      </c>
      <c r="N32" s="18">
        <f t="shared" ref="N32" si="71">IF(M32="","",L32*상미75)</f>
        <v>182.5</v>
      </c>
      <c r="O32" s="19">
        <f t="shared" ref="O32" si="72">IF(N32="","",M32+N32)</f>
        <v>45937.5</v>
      </c>
      <c r="P32" s="17">
        <f t="shared" ref="P32" ca="1" si="73">IF(O32="","",O32-$I$1)</f>
        <v>-70.5</v>
      </c>
    </row>
    <row r="33" spans="1:16" ht="16.5" customHeight="1" x14ac:dyDescent="0.3">
      <c r="A33" s="10">
        <f t="shared" si="21"/>
        <v>31</v>
      </c>
      <c r="B33" s="10">
        <v>5769</v>
      </c>
      <c r="C33" s="10" t="str">
        <f>VLOOKUP(B:B,재고차이!A:B,2,0)</f>
        <v>CC5769</v>
      </c>
      <c r="D33" s="10" t="str">
        <f>VLOOKUP(C:C,재고차이!B:C,2,0)</f>
        <v>코크제로 제로 350CAN 4X6</v>
      </c>
      <c r="E33" s="200"/>
      <c r="F33" s="200"/>
      <c r="G33" s="200"/>
      <c r="H33" s="200"/>
      <c r="I33" s="164">
        <v>46341</v>
      </c>
      <c r="J33" s="199"/>
      <c r="K33" s="20">
        <f t="shared" ca="1" si="59"/>
        <v>-78</v>
      </c>
      <c r="L33" s="95">
        <f>IF(I33="","",SUMIF(제품등록!B:B,'창고2(실사표)'!C:C,제품등록!F:F))</f>
        <v>548</v>
      </c>
      <c r="M33" s="11">
        <f t="shared" si="60"/>
        <v>45793</v>
      </c>
      <c r="N33" s="18">
        <f t="shared" si="61"/>
        <v>137</v>
      </c>
      <c r="O33" s="19">
        <f t="shared" si="62"/>
        <v>45930</v>
      </c>
      <c r="P33" s="17">
        <f t="shared" ca="1" si="63"/>
        <v>-78</v>
      </c>
    </row>
    <row r="34" spans="1:16" ht="16.5" customHeight="1" x14ac:dyDescent="0.3">
      <c r="A34" s="10">
        <f t="shared" si="21"/>
        <v>32</v>
      </c>
      <c r="B34" s="10">
        <v>6120</v>
      </c>
      <c r="C34" s="10" t="str">
        <f>VLOOKUP(B:B,재고차이!A:B,2,0)</f>
        <v>SP6120</v>
      </c>
      <c r="D34" s="10" t="str">
        <f>VLOOKUP(C:C,재고차이!B:C,2,0)</f>
        <v>S스프라이트(신1.5P 2X6</v>
      </c>
      <c r="E34" s="200">
        <v>23</v>
      </c>
      <c r="F34" s="200"/>
      <c r="G34" s="200"/>
      <c r="H34" s="200"/>
      <c r="I34" s="199">
        <v>46182</v>
      </c>
      <c r="J34" s="199"/>
      <c r="K34" s="20">
        <f t="shared" ca="1" si="59"/>
        <v>-99.75</v>
      </c>
      <c r="L34" s="95">
        <f>IF(I34="","",SUMIF(제품등록!B:B,'창고2(실사표)'!C:C,제품등록!F:F))</f>
        <v>365</v>
      </c>
      <c r="M34" s="11">
        <f t="shared" si="60"/>
        <v>45817</v>
      </c>
      <c r="N34" s="18">
        <f t="shared" si="61"/>
        <v>91.25</v>
      </c>
      <c r="O34" s="19">
        <f t="shared" si="62"/>
        <v>45908.25</v>
      </c>
      <c r="P34" s="17">
        <f t="shared" ca="1" si="63"/>
        <v>-99.75</v>
      </c>
    </row>
    <row r="35" spans="1:16" x14ac:dyDescent="0.3">
      <c r="A35" s="10">
        <f t="shared" si="21"/>
        <v>33</v>
      </c>
      <c r="B35" s="10">
        <v>6349</v>
      </c>
      <c r="C35" s="10" t="str">
        <f>VLOOKUP(B:B,재고차이!A:B,2,0)</f>
        <v>FT6349</v>
      </c>
      <c r="D35" s="10" t="str">
        <f>VLOOKUP(C:C,재고차이!B:C,2,0)</f>
        <v>환타오렌지(S) 1.5P 2X6</v>
      </c>
      <c r="E35" s="200">
        <f>2+15</f>
        <v>17</v>
      </c>
      <c r="F35" s="200"/>
      <c r="G35" s="200"/>
      <c r="H35" s="200"/>
      <c r="I35" s="164">
        <v>46192</v>
      </c>
      <c r="J35" s="199"/>
      <c r="K35" s="20">
        <f t="shared" ca="1" si="59"/>
        <v>-89.75</v>
      </c>
      <c r="L35" s="95">
        <f>IF(I35="","",SUMIF(제품등록!B:B,'창고2(실사표)'!C:C,제품등록!F:F))</f>
        <v>365</v>
      </c>
      <c r="M35" s="11">
        <f t="shared" si="60"/>
        <v>45827</v>
      </c>
      <c r="N35" s="18">
        <f t="shared" si="61"/>
        <v>91.25</v>
      </c>
      <c r="O35" s="19">
        <f t="shared" si="62"/>
        <v>45918.25</v>
      </c>
      <c r="P35" s="17">
        <f t="shared" ca="1" si="63"/>
        <v>-89.75</v>
      </c>
    </row>
    <row r="36" spans="1:16" x14ac:dyDescent="0.3">
      <c r="A36" s="10">
        <f t="shared" si="21"/>
        <v>34</v>
      </c>
      <c r="B36" s="10">
        <v>7923</v>
      </c>
      <c r="C36" s="10" t="str">
        <f>VLOOKUP(B:B,재고차이!A:B,2,0)</f>
        <v>CC7923</v>
      </c>
      <c r="D36" s="10" t="str">
        <f>VLOOKUP(C:C,재고차이!B:C,2,0)</f>
        <v>S)코카-콜라1.5PET 2X6</v>
      </c>
      <c r="E36" s="200">
        <v>20</v>
      </c>
      <c r="F36" s="200"/>
      <c r="G36" s="200"/>
      <c r="H36" s="200"/>
      <c r="I36" s="164">
        <v>46192</v>
      </c>
      <c r="J36" s="199"/>
      <c r="K36" s="20">
        <f t="shared" ca="1" si="59"/>
        <v>-89.75</v>
      </c>
      <c r="L36" s="95">
        <f>IF(I36="","",SUMIF(제품등록!B:B,'창고2(실사표)'!C:C,제품등록!F:F))</f>
        <v>365</v>
      </c>
      <c r="M36" s="11">
        <f t="shared" si="60"/>
        <v>45827</v>
      </c>
      <c r="N36" s="18">
        <f t="shared" si="61"/>
        <v>91.25</v>
      </c>
      <c r="O36" s="19">
        <f t="shared" si="62"/>
        <v>45918.25</v>
      </c>
      <c r="P36" s="17">
        <f t="shared" ca="1" si="63"/>
        <v>-89.75</v>
      </c>
    </row>
    <row r="37" spans="1:16" x14ac:dyDescent="0.3">
      <c r="A37" s="10">
        <f t="shared" si="21"/>
        <v>35</v>
      </c>
      <c r="B37" s="10">
        <v>7923</v>
      </c>
      <c r="C37" s="10" t="str">
        <f>VLOOKUP(B:B,재고차이!A:B,2,0)</f>
        <v>CC7923</v>
      </c>
      <c r="D37" s="10" t="str">
        <f>VLOOKUP(C:C,재고차이!B:C,2,0)</f>
        <v>S)코카-콜라1.5PET 2X6</v>
      </c>
      <c r="E37" s="200">
        <v>10</v>
      </c>
      <c r="F37" s="200"/>
      <c r="G37" s="200"/>
      <c r="H37" s="200"/>
      <c r="I37" s="164">
        <v>46196</v>
      </c>
      <c r="J37" s="199"/>
      <c r="K37" s="20">
        <f t="shared" ref="K37" ca="1" si="74">+P37</f>
        <v>-85.75</v>
      </c>
      <c r="L37" s="95">
        <f>IF(I37="","",SUMIF(제품등록!B:B,'창고2(실사표)'!C:C,제품등록!F:F))</f>
        <v>365</v>
      </c>
      <c r="M37" s="11">
        <f t="shared" ref="M37" si="75">IF(I37=0,"",I37-L37)</f>
        <v>45831</v>
      </c>
      <c r="N37" s="18">
        <f t="shared" ref="N37" si="76">IF(M37="","",L37*상미75)</f>
        <v>91.25</v>
      </c>
      <c r="O37" s="19">
        <f t="shared" ref="O37" si="77">IF(N37="","",M37+N37)</f>
        <v>45922.25</v>
      </c>
      <c r="P37" s="17">
        <f t="shared" ref="P37" ca="1" si="78">IF(O37="","",O37-$I$1)</f>
        <v>-85.75</v>
      </c>
    </row>
    <row r="38" spans="1:16" x14ac:dyDescent="0.3">
      <c r="A38" s="10">
        <f t="shared" si="21"/>
        <v>36</v>
      </c>
      <c r="B38" s="10">
        <v>5200</v>
      </c>
      <c r="C38" s="10" t="str">
        <f>VLOOKUP(B:B,재고차이!A:B,2,0)</f>
        <v>CC5200</v>
      </c>
      <c r="D38" s="10" t="str">
        <f>VLOOKUP(C:C,재고차이!B:C,2,0)</f>
        <v>코카콜라 900PET 2X6</v>
      </c>
      <c r="E38" s="200"/>
      <c r="F38" s="200"/>
      <c r="G38" s="200"/>
      <c r="H38" s="200"/>
      <c r="I38" s="164"/>
      <c r="J38" s="199"/>
      <c r="K38" s="20" t="str">
        <f t="shared" ref="K38:K39" si="79">+P38</f>
        <v/>
      </c>
      <c r="L38" s="95" t="str">
        <f>IF(I38="","",SUMIF(제품등록!B:B,'창고2(실사표)'!C:C,제품등록!F:F))</f>
        <v/>
      </c>
      <c r="M38" s="11" t="str">
        <f t="shared" ref="M38:M39" si="80">IF(I38=0,"",I38-L38)</f>
        <v/>
      </c>
      <c r="N38" s="18" t="str">
        <f t="shared" ref="N38:N39" si="81">IF(M38="","",L38*상미75)</f>
        <v/>
      </c>
      <c r="O38" s="19" t="str">
        <f t="shared" ref="O38:O39" si="82">IF(N38="","",M38+N38)</f>
        <v/>
      </c>
      <c r="P38" s="17" t="str">
        <f t="shared" ref="P38:P39" si="83">IF(O38="","",O38-$I$1)</f>
        <v/>
      </c>
    </row>
    <row r="39" spans="1:16" ht="15.75" customHeight="1" x14ac:dyDescent="0.3">
      <c r="A39" s="10">
        <f t="shared" si="21"/>
        <v>37</v>
      </c>
      <c r="B39" s="10">
        <v>8429</v>
      </c>
      <c r="C39" s="10" t="str">
        <f>VLOOKUP(B:B,재고차이!A:B,2,0)</f>
        <v>CC8429</v>
      </c>
      <c r="D39" s="10" t="str">
        <f>VLOOKUP(C:C,재고차이!B:C,2,0)</f>
        <v>코크제로 1.5PET 2X6</v>
      </c>
      <c r="E39" s="200">
        <f>29+4</f>
        <v>33</v>
      </c>
      <c r="F39" s="200"/>
      <c r="G39" s="200"/>
      <c r="H39" s="200"/>
      <c r="I39" s="199">
        <v>46103</v>
      </c>
      <c r="J39" s="199"/>
      <c r="K39" s="20">
        <f t="shared" ca="1" si="79"/>
        <v>-109.75</v>
      </c>
      <c r="L39" s="95">
        <f>IF(I39="","",SUMIF(제품등록!B:B,'창고2(실사표)'!C:C,제품등록!F:F))</f>
        <v>273</v>
      </c>
      <c r="M39" s="11">
        <f t="shared" si="80"/>
        <v>45830</v>
      </c>
      <c r="N39" s="18">
        <f t="shared" si="81"/>
        <v>68.25</v>
      </c>
      <c r="O39" s="19">
        <f t="shared" si="82"/>
        <v>45898.25</v>
      </c>
      <c r="P39" s="17">
        <f t="shared" ca="1" si="83"/>
        <v>-109.75</v>
      </c>
    </row>
    <row r="40" spans="1:16" x14ac:dyDescent="0.3">
      <c r="A40" s="10">
        <f t="shared" si="21"/>
        <v>38</v>
      </c>
      <c r="B40" s="10">
        <v>6676</v>
      </c>
      <c r="C40" s="10" t="str">
        <f>VLOOKUP(B:B,재고차이!A:B,2,0)</f>
        <v>CC6676</v>
      </c>
      <c r="D40" s="10" t="str">
        <f>VLOOKUP(C:C,재고차이!B:C,2,0)</f>
        <v>S)코카콜라 500PET 4X6</v>
      </c>
      <c r="E40" s="200">
        <f>11+12</f>
        <v>23</v>
      </c>
      <c r="F40" s="200"/>
      <c r="G40" s="200"/>
      <c r="H40" s="200"/>
      <c r="I40" s="164">
        <v>46199</v>
      </c>
      <c r="J40" s="199"/>
      <c r="K40" s="20">
        <f t="shared" ref="K40:K42" ca="1" si="84">+P40</f>
        <v>-82.75</v>
      </c>
      <c r="L40" s="95">
        <f>IF(I40="","",SUMIF(제품등록!B:B,'창고2(실사표)'!C:C,제품등록!F:F))</f>
        <v>365</v>
      </c>
      <c r="M40" s="11">
        <f t="shared" ref="M40:M42" si="85">IF(I40=0,"",I40-L40)</f>
        <v>45834</v>
      </c>
      <c r="N40" s="18">
        <f t="shared" ref="N40:N42" si="86">IF(M40="","",L40*상미75)</f>
        <v>91.25</v>
      </c>
      <c r="O40" s="19">
        <f t="shared" ref="O40:O42" si="87">IF(N40="","",M40+N40)</f>
        <v>45925.25</v>
      </c>
      <c r="P40" s="17">
        <f t="shared" ref="P40:P42" ca="1" si="88">IF(O40="","",O40-$I$1)</f>
        <v>-82.75</v>
      </c>
    </row>
    <row r="41" spans="1:16" ht="16.5" customHeight="1" x14ac:dyDescent="0.3">
      <c r="A41" s="10">
        <f t="shared" si="21"/>
        <v>39</v>
      </c>
      <c r="B41" s="10">
        <v>4432</v>
      </c>
      <c r="C41" s="10" t="str">
        <f>VLOOKUP(B:B,재고차이!A:B,2,0)</f>
        <v>CC4432</v>
      </c>
      <c r="D41" s="10" t="str">
        <f>VLOOKUP(C:C,재고차이!B:C,2,0)</f>
        <v>S)코크제로 500PET 4X6</v>
      </c>
      <c r="E41" s="200">
        <f>16+3</f>
        <v>19</v>
      </c>
      <c r="F41" s="200"/>
      <c r="G41" s="200"/>
      <c r="H41" s="200"/>
      <c r="I41" s="164">
        <v>46106</v>
      </c>
      <c r="J41" s="199"/>
      <c r="K41" s="20">
        <f t="shared" ref="K41" ca="1" si="89">+P41</f>
        <v>-106.75</v>
      </c>
      <c r="L41" s="95">
        <f>IF(I41="","",SUMIF(제품등록!B:B,'창고2(실사표)'!C:C,제품등록!F:F))</f>
        <v>273</v>
      </c>
      <c r="M41" s="11">
        <f t="shared" ref="M41" si="90">IF(I41=0,"",I41-L41)</f>
        <v>45833</v>
      </c>
      <c r="N41" s="18">
        <f t="shared" ref="N41" si="91">IF(M41="","",L41*상미75)</f>
        <v>68.25</v>
      </c>
      <c r="O41" s="19">
        <f t="shared" ref="O41" si="92">IF(N41="","",M41+N41)</f>
        <v>45901.25</v>
      </c>
      <c r="P41" s="17">
        <f t="shared" ref="P41" ca="1" si="93">IF(O41="","",O41-$I$1)</f>
        <v>-106.75</v>
      </c>
    </row>
    <row r="42" spans="1:16" ht="16.5" customHeight="1" x14ac:dyDescent="0.3">
      <c r="A42" s="10">
        <f t="shared" si="21"/>
        <v>40</v>
      </c>
      <c r="B42" s="10">
        <v>5201</v>
      </c>
      <c r="C42" s="10" t="str">
        <f>VLOOKUP(B:B,재고차이!A:B,2,0)</f>
        <v>CC5201</v>
      </c>
      <c r="D42" s="10" t="str">
        <f>VLOOKUP(C:C,재고차이!B:C,2,0)</f>
        <v>S)코크제로 제로 500PET 4X6</v>
      </c>
      <c r="E42" s="200">
        <v>6</v>
      </c>
      <c r="F42" s="200"/>
      <c r="G42" s="200"/>
      <c r="H42" s="200"/>
      <c r="I42" s="164">
        <v>46197</v>
      </c>
      <c r="J42" s="199"/>
      <c r="K42" s="20">
        <f t="shared" ca="1" si="84"/>
        <v>-84.75</v>
      </c>
      <c r="L42" s="95">
        <f>IF(I42="","",SUMIF(제품등록!B:B,'창고2(실사표)'!C:C,제품등록!F:F))</f>
        <v>365</v>
      </c>
      <c r="M42" s="11">
        <f t="shared" si="85"/>
        <v>45832</v>
      </c>
      <c r="N42" s="18">
        <f t="shared" si="86"/>
        <v>91.25</v>
      </c>
      <c r="O42" s="19">
        <f t="shared" si="87"/>
        <v>45923.25</v>
      </c>
      <c r="P42" s="17">
        <f t="shared" ca="1" si="88"/>
        <v>-84.75</v>
      </c>
    </row>
    <row r="43" spans="1:16" ht="16.5" customHeight="1" x14ac:dyDescent="0.3">
      <c r="A43" s="10">
        <f t="shared" si="21"/>
        <v>41</v>
      </c>
      <c r="B43" s="10">
        <v>5201</v>
      </c>
      <c r="C43" s="10" t="str">
        <f>VLOOKUP(B:B,재고차이!A:B,2,0)</f>
        <v>CC5201</v>
      </c>
      <c r="D43" s="10" t="str">
        <f>VLOOKUP(C:C,재고차이!B:C,2,0)</f>
        <v>S)코크제로 제로 500PET 4X6</v>
      </c>
      <c r="E43" s="200">
        <v>8</v>
      </c>
      <c r="F43" s="200"/>
      <c r="G43" s="200"/>
      <c r="H43" s="200"/>
      <c r="I43" s="164">
        <v>46198</v>
      </c>
      <c r="J43" s="199"/>
      <c r="K43" s="20">
        <f t="shared" ref="K43:K44" ca="1" si="94">+P43</f>
        <v>-83.75</v>
      </c>
      <c r="L43" s="95">
        <f>IF(I43="","",SUMIF(제품등록!B:B,'창고2(실사표)'!C:C,제품등록!F:F))</f>
        <v>365</v>
      </c>
      <c r="M43" s="11">
        <f t="shared" ref="M43:M44" si="95">IF(I43=0,"",I43-L43)</f>
        <v>45833</v>
      </c>
      <c r="N43" s="18">
        <f t="shared" ref="N43:N44" si="96">IF(M43="","",L43*상미75)</f>
        <v>91.25</v>
      </c>
      <c r="O43" s="19">
        <f t="shared" ref="O43:O44" si="97">IF(N43="","",M43+N43)</f>
        <v>45924.25</v>
      </c>
      <c r="P43" s="17">
        <f t="shared" ref="P43:P44" ca="1" si="98">IF(O43="","",O43-$I$1)</f>
        <v>-83.75</v>
      </c>
    </row>
    <row r="44" spans="1:16" ht="16.5" customHeight="1" x14ac:dyDescent="0.3">
      <c r="A44" s="10">
        <f t="shared" si="21"/>
        <v>42</v>
      </c>
      <c r="B44" s="10">
        <v>455</v>
      </c>
      <c r="C44" s="10" t="str">
        <f>VLOOKUP(B:B,재고차이!A:B,2,0)</f>
        <v>CC0455</v>
      </c>
      <c r="D44" s="10" t="str">
        <f>VLOOKUP(C:C,재고차이!B:C,2,0)</f>
        <v>코크제로 레몬 500PET 4X6</v>
      </c>
      <c r="E44" s="200">
        <f>16+7</f>
        <v>23</v>
      </c>
      <c r="F44" s="200"/>
      <c r="G44" s="200"/>
      <c r="H44" s="200"/>
      <c r="I44" s="164">
        <v>46171</v>
      </c>
      <c r="J44" s="199"/>
      <c r="K44" s="20">
        <f t="shared" ca="1" si="94"/>
        <v>-110.75</v>
      </c>
      <c r="L44" s="95">
        <f>IF(I44="","",SUMIF(제품등록!B:B,'창고2(실사표)'!C:C,제품등록!F:F))</f>
        <v>365</v>
      </c>
      <c r="M44" s="11">
        <f t="shared" si="95"/>
        <v>45806</v>
      </c>
      <c r="N44" s="18">
        <f t="shared" si="96"/>
        <v>91.25</v>
      </c>
      <c r="O44" s="19">
        <f t="shared" si="97"/>
        <v>45897.25</v>
      </c>
      <c r="P44" s="17">
        <f t="shared" ca="1" si="98"/>
        <v>-110.75</v>
      </c>
    </row>
    <row r="45" spans="1:16" ht="16.5" customHeight="1" x14ac:dyDescent="0.3">
      <c r="A45" s="10">
        <f t="shared" si="21"/>
        <v>43</v>
      </c>
      <c r="B45" s="10">
        <v>6117</v>
      </c>
      <c r="C45" s="10" t="str">
        <f>VLOOKUP(B:B,재고차이!A:B,2,0)</f>
        <v>SP6117</v>
      </c>
      <c r="D45" s="10" t="str">
        <f>VLOOKUP(C:C,재고차이!B:C,2,0)</f>
        <v>스프라이트(신500P 4X6</v>
      </c>
      <c r="E45" s="200">
        <f>17+13</f>
        <v>30</v>
      </c>
      <c r="F45" s="200"/>
      <c r="G45" s="200"/>
      <c r="H45" s="200"/>
      <c r="I45" s="164">
        <v>46196</v>
      </c>
      <c r="J45" s="199"/>
      <c r="K45" s="20">
        <f ca="1">+P45</f>
        <v>-85.75</v>
      </c>
      <c r="L45" s="95">
        <f>IF(I45="","",SUMIF(제품등록!B:B,'창고2(실사표)'!C:C,제품등록!F:F))</f>
        <v>365</v>
      </c>
      <c r="M45" s="11">
        <f>IF(I45=0,"",I45-L45)</f>
        <v>45831</v>
      </c>
      <c r="N45" s="18">
        <f>IF(M45="","",L45*상미75)</f>
        <v>91.25</v>
      </c>
      <c r="O45" s="19">
        <f>IF(N45="","",M45+N45)</f>
        <v>45922.25</v>
      </c>
      <c r="P45" s="17">
        <f ca="1">IF(O45="","",O45-$I$1)</f>
        <v>-85.75</v>
      </c>
    </row>
    <row r="46" spans="1:16" x14ac:dyDescent="0.3">
      <c r="A46" s="10">
        <f t="shared" si="21"/>
        <v>44</v>
      </c>
      <c r="B46" s="10">
        <v>6103</v>
      </c>
      <c r="C46" s="10" t="str">
        <f>VLOOKUP(B:B,재고차이!A:B,2,0)</f>
        <v>SP6103</v>
      </c>
      <c r="D46" s="10" t="str">
        <f>VLOOKUP(C:C,재고차이!B:C,2,0)</f>
        <v>S)스프라이트 제로 500PET 4X6</v>
      </c>
      <c r="E46" s="10">
        <f>18+3</f>
        <v>21</v>
      </c>
      <c r="F46" s="10"/>
      <c r="G46" s="200"/>
      <c r="H46" s="200"/>
      <c r="I46" s="199">
        <v>46099</v>
      </c>
      <c r="J46" s="199"/>
      <c r="K46" s="20">
        <f t="shared" ref="K46" ca="1" si="99">+P46</f>
        <v>-113.75</v>
      </c>
      <c r="L46" s="95">
        <f>IF(I46="","",SUMIF(제품등록!B:B,'창고2(실사표)'!C:C,제품등록!F:F))</f>
        <v>273</v>
      </c>
      <c r="M46" s="11">
        <f t="shared" ref="M46" si="100">IF(I46=0,"",I46-L46)</f>
        <v>45826</v>
      </c>
      <c r="N46" s="18">
        <f t="shared" ref="N46" si="101">IF(M46="","",L46*상미75)</f>
        <v>68.25</v>
      </c>
      <c r="O46" s="19">
        <f t="shared" ref="O46" si="102">IF(N46="","",M46+N46)</f>
        <v>45894.25</v>
      </c>
      <c r="P46" s="17">
        <f t="shared" ref="P46" ca="1" si="103">IF(O46="","",O46-$I$1)</f>
        <v>-113.75</v>
      </c>
    </row>
    <row r="47" spans="1:16" x14ac:dyDescent="0.3">
      <c r="A47" s="10">
        <f t="shared" si="21"/>
        <v>45</v>
      </c>
      <c r="B47" s="10">
        <v>6103</v>
      </c>
      <c r="C47" s="10" t="str">
        <f>VLOOKUP(B:B,재고차이!A:B,2,0)</f>
        <v>SP6103</v>
      </c>
      <c r="D47" s="10" t="str">
        <f>VLOOKUP(C:C,재고차이!B:C,2,0)</f>
        <v>S)스프라이트 제로 500PET 4X6</v>
      </c>
      <c r="E47" s="10">
        <v>16</v>
      </c>
      <c r="F47" s="10"/>
      <c r="G47" s="200"/>
      <c r="H47" s="200"/>
      <c r="I47" s="199">
        <v>46105</v>
      </c>
      <c r="J47" s="199"/>
      <c r="K47" s="20">
        <f t="shared" ref="K47:K48" ca="1" si="104">+P47</f>
        <v>-107.75</v>
      </c>
      <c r="L47" s="95">
        <f>IF(I47="","",SUMIF(제품등록!B:B,'창고2(실사표)'!C:C,제품등록!F:F))</f>
        <v>273</v>
      </c>
      <c r="M47" s="11">
        <f t="shared" ref="M47:M48" si="105">IF(I47=0,"",I47-L47)</f>
        <v>45832</v>
      </c>
      <c r="N47" s="18">
        <f t="shared" ref="N47:N48" si="106">IF(M47="","",L47*상미75)</f>
        <v>68.25</v>
      </c>
      <c r="O47" s="19">
        <f t="shared" ref="O47:O48" si="107">IF(N47="","",M47+N47)</f>
        <v>45900.25</v>
      </c>
      <c r="P47" s="17">
        <f t="shared" ref="P47:P48" ca="1" si="108">IF(O47="","",O47-$I$1)</f>
        <v>-107.75</v>
      </c>
    </row>
    <row r="48" spans="1:16" x14ac:dyDescent="0.3">
      <c r="A48" s="10">
        <f t="shared" si="21"/>
        <v>46</v>
      </c>
      <c r="B48" s="10">
        <v>7988</v>
      </c>
      <c r="C48" s="10" t="str">
        <f>VLOOKUP(B:B,재고차이!A:B,2,0)</f>
        <v>DP7988</v>
      </c>
      <c r="D48" s="10" t="str">
        <f>VLOOKUP(C:C,재고차이!B:C,2,0)</f>
        <v>닥터페퍼 500PET 4X6</v>
      </c>
      <c r="E48" s="10">
        <v>28</v>
      </c>
      <c r="F48" s="10"/>
      <c r="G48" s="200"/>
      <c r="H48" s="200"/>
      <c r="I48" s="199">
        <v>46181</v>
      </c>
      <c r="J48" s="199"/>
      <c r="K48" s="20">
        <f t="shared" ca="1" si="104"/>
        <v>-100.75</v>
      </c>
      <c r="L48" s="95">
        <f>IF(I48="","",SUMIF(제품등록!B:B,'창고2(실사표)'!C:C,제품등록!F:F))</f>
        <v>365</v>
      </c>
      <c r="M48" s="11">
        <f t="shared" si="105"/>
        <v>45816</v>
      </c>
      <c r="N48" s="18">
        <f t="shared" si="106"/>
        <v>91.25</v>
      </c>
      <c r="O48" s="19">
        <f t="shared" si="107"/>
        <v>45907.25</v>
      </c>
      <c r="P48" s="17">
        <f t="shared" ca="1" si="108"/>
        <v>-100.75</v>
      </c>
    </row>
    <row r="49" spans="1:16" ht="16.5" customHeight="1" x14ac:dyDescent="0.3">
      <c r="A49" s="10">
        <f t="shared" si="21"/>
        <v>47</v>
      </c>
      <c r="B49" s="10">
        <v>5782</v>
      </c>
      <c r="C49" s="10" t="str">
        <f>VLOOKUP(B:B,재고차이!A:B,2,0)</f>
        <v>CC5782</v>
      </c>
      <c r="D49" s="10" t="str">
        <f>VLOOKUP(C:C,재고차이!B:C,2,0)</f>
        <v>코크제로 체리 500PET 4X6</v>
      </c>
      <c r="E49" s="200">
        <v>13</v>
      </c>
      <c r="F49" s="200"/>
      <c r="G49" s="200"/>
      <c r="H49" s="200"/>
      <c r="I49" s="164">
        <v>46183</v>
      </c>
      <c r="J49" s="199"/>
      <c r="K49" s="20">
        <f t="shared" ref="K49" ca="1" si="109">+P49</f>
        <v>-98.75</v>
      </c>
      <c r="L49" s="95">
        <f>IF(I49="","",SUMIF(제품등록!B:B,'창고2(실사표)'!C:C,제품등록!F:F))</f>
        <v>365</v>
      </c>
      <c r="M49" s="11">
        <f t="shared" ref="M49" si="110">IF(I49=0,"",I49-L49)</f>
        <v>45818</v>
      </c>
      <c r="N49" s="18">
        <f t="shared" ref="N49" si="111">IF(M49="","",L49*상미75)</f>
        <v>91.25</v>
      </c>
      <c r="O49" s="19">
        <f t="shared" ref="O49" si="112">IF(N49="","",M49+N49)</f>
        <v>45909.25</v>
      </c>
      <c r="P49" s="17">
        <f t="shared" ref="P49" ca="1" si="113">IF(O49="","",O49-$I$1)</f>
        <v>-98.75</v>
      </c>
    </row>
    <row r="50" spans="1:16" ht="16.5" customHeight="1" x14ac:dyDescent="0.3">
      <c r="A50" s="10">
        <f t="shared" si="21"/>
        <v>48</v>
      </c>
      <c r="B50" s="10">
        <v>5748</v>
      </c>
      <c r="C50" s="10" t="str">
        <f>VLOOKUP(B:B,재고차이!A:B,2,0)</f>
        <v>FT5748</v>
      </c>
      <c r="D50" s="10" t="str">
        <f>VLOOKUP(C:C,재고차이!B:C,2,0)</f>
        <v>환타오렌지(S) 600P 4X6</v>
      </c>
      <c r="E50" s="10">
        <f>1+4</f>
        <v>5</v>
      </c>
      <c r="F50" s="200"/>
      <c r="G50" s="200"/>
      <c r="H50" s="200"/>
      <c r="I50" s="164">
        <v>46157</v>
      </c>
      <c r="J50" s="199"/>
      <c r="K50" s="20">
        <f t="shared" ref="K50:K51" ca="1" si="114">+P50</f>
        <v>-124.75</v>
      </c>
      <c r="L50" s="95">
        <f>IF(I50="","",SUMIF(제품등록!B:B,'창고2(실사표)'!C:C,제품등록!F:F))</f>
        <v>365</v>
      </c>
      <c r="M50" s="11">
        <f t="shared" ref="M50:M51" si="115">IF(I50=0,"",I50-L50)</f>
        <v>45792</v>
      </c>
      <c r="N50" s="18">
        <f t="shared" ref="N50:N51" si="116">IF(M50="","",L50*상미75)</f>
        <v>91.25</v>
      </c>
      <c r="O50" s="19">
        <f t="shared" ref="O50:O51" si="117">IF(N50="","",M50+N50)</f>
        <v>45883.25</v>
      </c>
      <c r="P50" s="17">
        <f t="shared" ref="P50:P51" ca="1" si="118">IF(O50="","",O50-$I$1)</f>
        <v>-124.75</v>
      </c>
    </row>
    <row r="51" spans="1:16" ht="16.5" customHeight="1" x14ac:dyDescent="0.3">
      <c r="A51" s="10">
        <f t="shared" si="21"/>
        <v>49</v>
      </c>
      <c r="B51" s="10">
        <v>5749</v>
      </c>
      <c r="C51" s="10" t="str">
        <f>VLOOKUP(B:B,재고차이!A:B,2,0)</f>
        <v>FT5749</v>
      </c>
      <c r="D51" s="10" t="str">
        <f>VLOOKUP(C:C,재고차이!B:C,2,0)</f>
        <v>S)환타 파인 600PET 4X6</v>
      </c>
      <c r="E51" s="200">
        <v>6</v>
      </c>
      <c r="F51" s="200"/>
      <c r="G51" s="200"/>
      <c r="H51" s="200"/>
      <c r="I51" s="164">
        <v>46133</v>
      </c>
      <c r="J51" s="199"/>
      <c r="K51" s="20">
        <f t="shared" ca="1" si="114"/>
        <v>-148.75</v>
      </c>
      <c r="L51" s="95">
        <f>IF(I51="","",SUMIF(제품등록!B:B,'창고2(실사표)'!C:C,제품등록!F:F))</f>
        <v>365</v>
      </c>
      <c r="M51" s="11">
        <f t="shared" si="115"/>
        <v>45768</v>
      </c>
      <c r="N51" s="18">
        <f t="shared" si="116"/>
        <v>91.25</v>
      </c>
      <c r="O51" s="19">
        <f t="shared" si="117"/>
        <v>45859.25</v>
      </c>
      <c r="P51" s="17">
        <f t="shared" ca="1" si="118"/>
        <v>-148.75</v>
      </c>
    </row>
    <row r="52" spans="1:16" ht="16.5" customHeight="1" x14ac:dyDescent="0.3">
      <c r="A52" s="10">
        <f t="shared" si="21"/>
        <v>50</v>
      </c>
      <c r="B52" s="10">
        <v>5749</v>
      </c>
      <c r="C52" s="10" t="str">
        <f>VLOOKUP(B:B,재고차이!A:B,2,0)</f>
        <v>FT5749</v>
      </c>
      <c r="D52" s="10" t="str">
        <f>VLOOKUP(C:C,재고차이!B:C,2,0)</f>
        <v>S)환타 파인 600PET 4X6</v>
      </c>
      <c r="E52" s="200">
        <v>16</v>
      </c>
      <c r="F52" s="200"/>
      <c r="G52" s="200"/>
      <c r="H52" s="200"/>
      <c r="I52" s="164">
        <v>46157</v>
      </c>
      <c r="J52" s="199"/>
      <c r="K52" s="20">
        <f t="shared" ref="K52" ca="1" si="119">+P52</f>
        <v>-124.75</v>
      </c>
      <c r="L52" s="95">
        <f>IF(I52="","",SUMIF(제품등록!B:B,'창고2(실사표)'!C:C,제품등록!F:F))</f>
        <v>365</v>
      </c>
      <c r="M52" s="11">
        <f t="shared" ref="M52" si="120">IF(I52=0,"",I52-L52)</f>
        <v>45792</v>
      </c>
      <c r="N52" s="18">
        <f t="shared" ref="N52" si="121">IF(M52="","",L52*상미75)</f>
        <v>91.25</v>
      </c>
      <c r="O52" s="19">
        <f t="shared" ref="O52" si="122">IF(N52="","",M52+N52)</f>
        <v>45883.25</v>
      </c>
      <c r="P52" s="17">
        <f t="shared" ref="P52" ca="1" si="123">IF(O52="","",O52-$I$1)</f>
        <v>-124.75</v>
      </c>
    </row>
    <row r="53" spans="1:16" ht="16.5" customHeight="1" x14ac:dyDescent="0.3">
      <c r="A53" s="10">
        <f t="shared" si="21"/>
        <v>51</v>
      </c>
      <c r="B53" s="10">
        <v>4183</v>
      </c>
      <c r="C53" s="10" t="str">
        <f>VLOOKUP(B:B,재고차이!A:B,2,0)</f>
        <v>FT4183</v>
      </c>
      <c r="D53" s="10" t="str">
        <f>VLOOKUP(C:C,재고차이!B:C,2,0)</f>
        <v>S)환타 멜론 600PET 4X6</v>
      </c>
      <c r="E53" s="200">
        <f>10+28</f>
        <v>38</v>
      </c>
      <c r="F53" s="200"/>
      <c r="G53" s="200"/>
      <c r="H53" s="200"/>
      <c r="I53" s="164">
        <v>46197</v>
      </c>
      <c r="J53" s="199"/>
      <c r="K53" s="20">
        <f t="shared" ref="K53" ca="1" si="124">+P53</f>
        <v>-84.75</v>
      </c>
      <c r="L53" s="95">
        <f>IF(I53="","",SUMIF(제품등록!B:B,'창고2(실사표)'!C:C,제품등록!F:F))</f>
        <v>365</v>
      </c>
      <c r="M53" s="11">
        <f t="shared" ref="M53" si="125">IF(I53=0,"",I53-L53)</f>
        <v>45832</v>
      </c>
      <c r="N53" s="18">
        <f t="shared" ref="N53" si="126">IF(M53="","",L53*상미75)</f>
        <v>91.25</v>
      </c>
      <c r="O53" s="19">
        <f t="shared" ref="O53" si="127">IF(N53="","",M53+N53)</f>
        <v>45923.25</v>
      </c>
      <c r="P53" s="17">
        <f t="shared" ref="P53" ca="1" si="128">IF(O53="","",O53-$I$1)</f>
        <v>-84.75</v>
      </c>
    </row>
  </sheetData>
  <autoFilter ref="A2:Q2" xr:uid="{00000000-0009-0000-0000-000004000000}">
    <sortState xmlns:xlrd2="http://schemas.microsoft.com/office/spreadsheetml/2017/richdata2" ref="A3:Q34">
      <sortCondition ref="B2"/>
    </sortState>
  </autoFilter>
  <phoneticPr fontId="101" type="noConversion"/>
  <conditionalFormatting sqref="K1:K1048576">
    <cfRule type="cellIs" dxfId="7" priority="1" operator="lessThan">
      <formula>0</formula>
    </cfRule>
  </conditionalFormatting>
  <conditionalFormatting sqref="P3:P53">
    <cfRule type="cellIs" dxfId="6" priority="3" operator="lessThan">
      <formula>0</formula>
    </cfRule>
  </conditionalFormatting>
  <printOptions horizontalCentered="1" verticalCentered="1"/>
  <pageMargins left="0.31496062992125984" right="0.31496062992125984" top="0.74803149606299213" bottom="0.74803149606299213" header="0.31496062992125984" footer="0.31496062992125984"/>
  <pageSetup paperSize="9" scale="70" orientation="portrait" r:id="rId1"/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0000"/>
  </sheetPr>
  <dimension ref="A1:P88"/>
  <sheetViews>
    <sheetView zoomScaleNormal="100" workbookViewId="0">
      <pane ySplit="2" topLeftCell="A3" activePane="bottomLeft" state="frozen"/>
      <selection activeCell="D1" sqref="D1:I1048576"/>
      <selection pane="bottomLeft" activeCell="A3" sqref="A3:J88"/>
    </sheetView>
  </sheetViews>
  <sheetFormatPr defaultColWidth="9" defaultRowHeight="16.5" x14ac:dyDescent="0.3"/>
  <cols>
    <col min="1" max="1" width="5.75" style="5" customWidth="1"/>
    <col min="2" max="2" width="9.125" style="5" bestFit="1" customWidth="1"/>
    <col min="3" max="3" width="12.625" style="5" bestFit="1" customWidth="1"/>
    <col min="4" max="4" width="40.625" style="5" customWidth="1"/>
    <col min="5" max="5" width="10" style="5" customWidth="1"/>
    <col min="6" max="6" width="10.625" style="5" customWidth="1"/>
    <col min="7" max="7" width="12.25" style="5" customWidth="1"/>
    <col min="8" max="8" width="13.5" style="5" customWidth="1"/>
    <col min="9" max="9" width="13" style="5" customWidth="1"/>
    <col min="10" max="10" width="32.75" style="5" customWidth="1"/>
    <col min="11" max="11" width="14.75" style="5" customWidth="1"/>
    <col min="12" max="12" width="9.375" style="102" hidden="1" customWidth="1"/>
    <col min="13" max="13" width="12.375" style="5" hidden="1" customWidth="1"/>
    <col min="14" max="14" width="11" style="5" hidden="1" customWidth="1"/>
    <col min="15" max="15" width="12.75" style="5" hidden="1" customWidth="1"/>
    <col min="16" max="16" width="13.25" style="5" hidden="1" customWidth="1"/>
    <col min="17" max="17" width="9" style="5" customWidth="1"/>
    <col min="18" max="16384" width="9" style="5"/>
  </cols>
  <sheetData>
    <row r="1" spans="1:16" ht="24" customHeight="1" x14ac:dyDescent="0.3">
      <c r="C1" s="15"/>
      <c r="D1" s="15"/>
      <c r="I1" s="11">
        <f ca="1">TODAY()</f>
        <v>46008</v>
      </c>
      <c r="J1" s="11"/>
      <c r="L1" s="94" t="s">
        <v>1741</v>
      </c>
      <c r="N1" s="14"/>
    </row>
    <row r="2" spans="1:16" ht="33" x14ac:dyDescent="0.3">
      <c r="A2" s="96"/>
      <c r="B2" s="96" t="s">
        <v>329</v>
      </c>
      <c r="C2" s="96" t="s">
        <v>1614</v>
      </c>
      <c r="D2" s="96" t="s">
        <v>2290</v>
      </c>
      <c r="E2" s="96" t="s">
        <v>330</v>
      </c>
      <c r="F2" s="96" t="s">
        <v>331</v>
      </c>
      <c r="G2" s="96" t="s">
        <v>332</v>
      </c>
      <c r="H2" s="97" t="s">
        <v>2361</v>
      </c>
      <c r="I2" s="96" t="s">
        <v>2547</v>
      </c>
      <c r="J2" s="96" t="s">
        <v>350</v>
      </c>
      <c r="K2" s="98" t="s">
        <v>2360</v>
      </c>
      <c r="L2" s="101" t="s">
        <v>2547</v>
      </c>
      <c r="M2" s="5" t="s">
        <v>338</v>
      </c>
      <c r="N2" s="99">
        <v>0.75</v>
      </c>
      <c r="O2" s="17" t="s">
        <v>339</v>
      </c>
      <c r="P2" s="100" t="s">
        <v>347</v>
      </c>
    </row>
    <row r="3" spans="1:16" x14ac:dyDescent="0.3">
      <c r="A3" s="10">
        <f t="shared" ref="A3:A31" si="0">ROW()-2</f>
        <v>1</v>
      </c>
      <c r="B3" s="10">
        <v>7949</v>
      </c>
      <c r="C3" s="10" t="str">
        <f>VLOOKUP(B:B,재고차이!A:B,2,0)</f>
        <v>MM7949</v>
      </c>
      <c r="D3" s="10" t="str">
        <f>VLOOKUP(C:C,재고차이!B:C,2,0)</f>
        <v>미닛 오+포+알 180NRB 3X12</v>
      </c>
      <c r="E3" s="10"/>
      <c r="F3" s="10"/>
      <c r="G3" s="200">
        <v>29</v>
      </c>
      <c r="H3" s="10"/>
      <c r="I3" s="199">
        <v>46089</v>
      </c>
      <c r="J3" s="164"/>
      <c r="K3" s="20">
        <f t="shared" ref="K3" ca="1" si="1">+P3</f>
        <v>-123.75</v>
      </c>
      <c r="L3" s="95">
        <f>IF(I3="","",SUMIF(제품등록!B:B,'믹스(잔량실사표)'!C:C,제품등록!F:F))</f>
        <v>273</v>
      </c>
      <c r="M3" s="11">
        <f t="shared" ref="M3" si="2">IF(I3=0,"",I3-L3)</f>
        <v>45816</v>
      </c>
      <c r="N3" s="18">
        <f t="shared" ref="N3" si="3">IF(M3="","",L3*상미75)</f>
        <v>68.25</v>
      </c>
      <c r="O3" s="19">
        <f t="shared" ref="O3" si="4">IF(N3="","",M3+N3)</f>
        <v>45884.25</v>
      </c>
      <c r="P3" s="17">
        <f t="shared" ref="P3" ca="1" si="5">IF(O3="","",O3-$I$1)</f>
        <v>-123.75</v>
      </c>
    </row>
    <row r="4" spans="1:16" x14ac:dyDescent="0.3">
      <c r="A4" s="10">
        <f t="shared" si="0"/>
        <v>2</v>
      </c>
      <c r="B4" s="10">
        <v>6509</v>
      </c>
      <c r="C4" s="10" t="str">
        <f>VLOOKUP(B:B,재고차이!A:B,2,0)</f>
        <v>MM6509</v>
      </c>
      <c r="D4" s="10" t="str">
        <f>VLOOKUP(C:C,재고차이!B:C,2,0)</f>
        <v>S)MM오리지널0R100 1.5P 2X6</v>
      </c>
      <c r="E4" s="10"/>
      <c r="F4" s="10"/>
      <c r="G4" s="200">
        <v>21</v>
      </c>
      <c r="H4" s="10"/>
      <c r="I4" s="199">
        <v>46110</v>
      </c>
      <c r="J4" s="199"/>
      <c r="K4" s="20">
        <f t="shared" ref="K4:K31" ca="1" si="6">+P4</f>
        <v>-102.75</v>
      </c>
      <c r="L4" s="95">
        <f>IF(I4="","",SUMIF(제품등록!B:B,'믹스(잔량실사표)'!C:C,제품등록!F:F))</f>
        <v>273</v>
      </c>
      <c r="M4" s="11">
        <f t="shared" ref="M4:M31" si="7">IF(I4=0,"",I4-L4)</f>
        <v>45837</v>
      </c>
      <c r="N4" s="18">
        <f t="shared" ref="N4:N21" si="8">IF(M4="","",L4*상미75)</f>
        <v>68.25</v>
      </c>
      <c r="O4" s="19">
        <f t="shared" ref="O4:O21" si="9">IF(N4="","",M4+N4)</f>
        <v>45905.25</v>
      </c>
      <c r="P4" s="17">
        <f t="shared" ref="P4:P31" ca="1" si="10">IF(O4="","",O4-$I$1)</f>
        <v>-102.75</v>
      </c>
    </row>
    <row r="5" spans="1:16" x14ac:dyDescent="0.3">
      <c r="A5" s="10">
        <f t="shared" si="0"/>
        <v>3</v>
      </c>
      <c r="B5" s="10">
        <v>6705</v>
      </c>
      <c r="C5" s="10" t="str">
        <f>VLOOKUP(B:B,재고차이!A:B,2,0)</f>
        <v>MM6705</v>
      </c>
      <c r="D5" s="10" t="str">
        <f>VLOOKUP(C:C,재고차이!B:C,2,0)</f>
        <v>S)MM오리지널OR100 350P 4X6</v>
      </c>
      <c r="E5" s="10"/>
      <c r="F5" s="10"/>
      <c r="G5" s="200">
        <v>36</v>
      </c>
      <c r="H5" s="10"/>
      <c r="I5" s="199">
        <v>46075</v>
      </c>
      <c r="J5" s="199"/>
      <c r="K5" s="20">
        <f t="shared" ca="1" si="6"/>
        <v>-137.75</v>
      </c>
      <c r="L5" s="95">
        <f>IF(I5="","",SUMIF(제품등록!B:B,'믹스(잔량실사표)'!C:C,제품등록!F:F))</f>
        <v>273</v>
      </c>
      <c r="M5" s="11">
        <f t="shared" si="7"/>
        <v>45802</v>
      </c>
      <c r="N5" s="18">
        <f t="shared" si="8"/>
        <v>68.25</v>
      </c>
      <c r="O5" s="19">
        <f t="shared" si="9"/>
        <v>45870.25</v>
      </c>
      <c r="P5" s="17">
        <f t="shared" ca="1" si="10"/>
        <v>-137.75</v>
      </c>
    </row>
    <row r="6" spans="1:16" x14ac:dyDescent="0.3">
      <c r="A6" s="10">
        <f t="shared" si="0"/>
        <v>4</v>
      </c>
      <c r="B6" s="10">
        <v>8541</v>
      </c>
      <c r="C6" s="10" t="str">
        <f>VLOOKUP(B:B,재고차이!A:B,2,0)</f>
        <v>PA8541</v>
      </c>
      <c r="D6" s="10" t="str">
        <f>VLOOKUP(C:C,재고차이!B:C,2,0)</f>
        <v>파워마운틴소분1.5P 2X6</v>
      </c>
      <c r="E6" s="10"/>
      <c r="F6" s="10"/>
      <c r="G6" s="200">
        <v>6</v>
      </c>
      <c r="H6" s="10"/>
      <c r="I6" s="199">
        <v>46191</v>
      </c>
      <c r="J6" s="199"/>
      <c r="K6" s="20">
        <f t="shared" ca="1" si="6"/>
        <v>-90.75</v>
      </c>
      <c r="L6" s="95">
        <f>IF(I6="","",SUMIF(제품등록!B:B,'믹스(잔량실사표)'!C:C,제품등록!F:F))</f>
        <v>365</v>
      </c>
      <c r="M6" s="11">
        <f t="shared" si="7"/>
        <v>45826</v>
      </c>
      <c r="N6" s="18">
        <f t="shared" si="8"/>
        <v>91.25</v>
      </c>
      <c r="O6" s="19">
        <f t="shared" si="9"/>
        <v>45917.25</v>
      </c>
      <c r="P6" s="17">
        <f t="shared" ca="1" si="10"/>
        <v>-90.75</v>
      </c>
    </row>
    <row r="7" spans="1:16" x14ac:dyDescent="0.3">
      <c r="A7" s="10">
        <f t="shared" si="0"/>
        <v>5</v>
      </c>
      <c r="B7" s="10">
        <v>6871</v>
      </c>
      <c r="C7" s="10" t="str">
        <f>VLOOKUP(B:B,재고차이!A:B,2,0)</f>
        <v>PA6871</v>
      </c>
      <c r="D7" s="10" t="str">
        <f>VLOOKUP(C:C,재고차이!B:C,2,0)</f>
        <v>S)파워 마운틴블라 600PET 4X6</v>
      </c>
      <c r="E7" s="10"/>
      <c r="F7" s="10"/>
      <c r="G7" s="200">
        <v>39</v>
      </c>
      <c r="H7" s="10"/>
      <c r="I7" s="199">
        <v>46197</v>
      </c>
      <c r="J7" s="199"/>
      <c r="K7" s="20">
        <f t="shared" ca="1" si="6"/>
        <v>-84.75</v>
      </c>
      <c r="L7" s="95">
        <f>IF(I7="","",SUMIF(제품등록!B:B,'믹스(잔량실사표)'!C:C,제품등록!F:F))</f>
        <v>365</v>
      </c>
      <c r="M7" s="11">
        <f t="shared" si="7"/>
        <v>45832</v>
      </c>
      <c r="N7" s="18">
        <f t="shared" si="8"/>
        <v>91.25</v>
      </c>
      <c r="O7" s="19">
        <f t="shared" si="9"/>
        <v>45923.25</v>
      </c>
      <c r="P7" s="17">
        <f t="shared" ca="1" si="10"/>
        <v>-84.75</v>
      </c>
    </row>
    <row r="8" spans="1:16" x14ac:dyDescent="0.3">
      <c r="A8" s="10">
        <f t="shared" si="0"/>
        <v>6</v>
      </c>
      <c r="B8" s="10">
        <v>6277</v>
      </c>
      <c r="C8" s="10" t="str">
        <f>VLOOKUP(B:B,재고차이!A:B,2,0)</f>
        <v>PA6277</v>
      </c>
      <c r="D8" s="10" t="str">
        <f>VLOOKUP(C:C,재고차이!B:C,2,0)</f>
        <v>파워 퍼플스톰 600PET 4X6</v>
      </c>
      <c r="E8" s="10"/>
      <c r="F8" s="10"/>
      <c r="G8" s="200">
        <v>2</v>
      </c>
      <c r="H8" s="10"/>
      <c r="I8" s="199">
        <v>46192</v>
      </c>
      <c r="J8" s="199"/>
      <c r="K8" s="20">
        <f t="shared" ca="1" si="6"/>
        <v>-89.75</v>
      </c>
      <c r="L8" s="95">
        <f>IF(I8="","",SUMIF(제품등록!B:B,'믹스(잔량실사표)'!C:C,제품등록!F:F))</f>
        <v>365</v>
      </c>
      <c r="M8" s="11">
        <f t="shared" si="7"/>
        <v>45827</v>
      </c>
      <c r="N8" s="18">
        <f t="shared" si="8"/>
        <v>91.25</v>
      </c>
      <c r="O8" s="19">
        <f t="shared" si="9"/>
        <v>45918.25</v>
      </c>
      <c r="P8" s="17">
        <f t="shared" ca="1" si="10"/>
        <v>-89.75</v>
      </c>
    </row>
    <row r="9" spans="1:16" ht="18" customHeight="1" x14ac:dyDescent="0.3">
      <c r="A9" s="10">
        <f t="shared" si="0"/>
        <v>7</v>
      </c>
      <c r="B9" s="198" t="s">
        <v>2490</v>
      </c>
      <c r="C9" s="10" t="str">
        <f>VLOOKUP(B:B,재고차이!A:B,2,0)</f>
        <v>PA0002</v>
      </c>
      <c r="D9" s="10" t="str">
        <f>VLOOKUP(C:C,재고차이!B:C,2,0)</f>
        <v>파워 제로 마운틴블라 600PET 4X6</v>
      </c>
      <c r="E9" s="10"/>
      <c r="F9" s="10"/>
      <c r="G9" s="200">
        <v>44</v>
      </c>
      <c r="H9" s="10"/>
      <c r="I9" s="199">
        <v>46179</v>
      </c>
      <c r="J9" s="199"/>
      <c r="K9" s="20">
        <f t="shared" ca="1" si="6"/>
        <v>-102.75</v>
      </c>
      <c r="L9" s="95">
        <f>IF(I9="","",SUMIF(제품등록!B:B,'믹스(잔량실사표)'!C:C,제품등록!F:F))</f>
        <v>365</v>
      </c>
      <c r="M9" s="11">
        <f t="shared" si="7"/>
        <v>45814</v>
      </c>
      <c r="N9" s="18">
        <f t="shared" si="8"/>
        <v>91.25</v>
      </c>
      <c r="O9" s="19">
        <f t="shared" si="9"/>
        <v>45905.25</v>
      </c>
      <c r="P9" s="17">
        <f t="shared" ca="1" si="10"/>
        <v>-102.75</v>
      </c>
    </row>
    <row r="10" spans="1:16" x14ac:dyDescent="0.3">
      <c r="A10" s="10">
        <f t="shared" si="0"/>
        <v>8</v>
      </c>
      <c r="B10" s="10">
        <v>6285</v>
      </c>
      <c r="C10" s="10" t="str">
        <f>VLOOKUP(B:B,재고차이!A:B,2,0)</f>
        <v>PA6285</v>
      </c>
      <c r="D10" s="10" t="str">
        <f>VLOOKUP(C:C,재고차이!B:C,2,0)</f>
        <v>S)파워 스칼렛스톰 600PET 4X6</v>
      </c>
      <c r="E10" s="10"/>
      <c r="F10" s="10"/>
      <c r="G10" s="200">
        <v>36</v>
      </c>
      <c r="H10" s="10"/>
      <c r="I10" s="199">
        <v>46191</v>
      </c>
      <c r="J10" s="199"/>
      <c r="K10" s="20">
        <f t="shared" ref="K10" ca="1" si="11">+P10</f>
        <v>-90.75</v>
      </c>
      <c r="L10" s="95">
        <f>IF(I10="","",SUMIF(제품등록!B:B,'믹스(잔량실사표)'!C:C,제품등록!F:F))</f>
        <v>365</v>
      </c>
      <c r="M10" s="11">
        <f t="shared" ref="M10" si="12">IF(I10=0,"",I10-L10)</f>
        <v>45826</v>
      </c>
      <c r="N10" s="18">
        <f t="shared" ref="N10" si="13">IF(M10="","",L10*상미75)</f>
        <v>91.25</v>
      </c>
      <c r="O10" s="19">
        <f t="shared" ref="O10" si="14">IF(N10="","",M10+N10)</f>
        <v>45917.25</v>
      </c>
      <c r="P10" s="17">
        <f t="shared" ref="P10" ca="1" si="15">IF(O10="","",O10-$I$1)</f>
        <v>-90.75</v>
      </c>
    </row>
    <row r="11" spans="1:16" x14ac:dyDescent="0.3">
      <c r="A11" s="10">
        <f t="shared" si="0"/>
        <v>9</v>
      </c>
      <c r="B11" s="10">
        <v>1007</v>
      </c>
      <c r="C11" s="10" t="str">
        <f>VLOOKUP(B:B,재고차이!A:B,2,0)</f>
        <v>PA1007</v>
      </c>
      <c r="D11" s="10" t="str">
        <f>VLOOKUP(C:C,재고차이!B:C,2,0)</f>
        <v>S)파워 제로 라임향 600PET 4X6</v>
      </c>
      <c r="E11" s="10"/>
      <c r="F11" s="10"/>
      <c r="G11" s="200">
        <v>9</v>
      </c>
      <c r="H11" s="10"/>
      <c r="I11" s="199">
        <v>46195</v>
      </c>
      <c r="J11" s="199"/>
      <c r="K11" s="20">
        <f t="shared" ref="K11" ca="1" si="16">+P11</f>
        <v>-86.75</v>
      </c>
      <c r="L11" s="95">
        <f>IF(I11="","",SUMIF(제품등록!B:B,'믹스(잔량실사표)'!C:C,제품등록!F:F))</f>
        <v>365</v>
      </c>
      <c r="M11" s="11">
        <f t="shared" ref="M11" si="17">IF(I11=0,"",I11-L11)</f>
        <v>45830</v>
      </c>
      <c r="N11" s="18">
        <f t="shared" ref="N11" si="18">IF(M11="","",L11*상미75)</f>
        <v>91.25</v>
      </c>
      <c r="O11" s="19">
        <f t="shared" ref="O11" si="19">IF(N11="","",M11+N11)</f>
        <v>45921.25</v>
      </c>
      <c r="P11" s="17">
        <f t="shared" ref="P11" ca="1" si="20">IF(O11="","",O11-$I$1)</f>
        <v>-86.75</v>
      </c>
    </row>
    <row r="12" spans="1:16" ht="17.25" customHeight="1" x14ac:dyDescent="0.3">
      <c r="A12" s="10">
        <f t="shared" si="0"/>
        <v>10</v>
      </c>
      <c r="B12" s="10">
        <v>8561</v>
      </c>
      <c r="C12" s="10" t="str">
        <f>VLOOKUP(B:B,재고차이!A:B,2,0)</f>
        <v>TR8561</v>
      </c>
      <c r="D12" s="10" t="str">
        <f>VLOOKUP(C:C,재고차이!B:C,2,0)</f>
        <v>토레타 500ml (소분)</v>
      </c>
      <c r="E12" s="10"/>
      <c r="F12" s="10"/>
      <c r="G12" s="200">
        <v>51</v>
      </c>
      <c r="H12" s="10"/>
      <c r="I12" s="199">
        <v>46163</v>
      </c>
      <c r="J12" s="199"/>
      <c r="K12" s="20">
        <f t="shared" ca="1" si="6"/>
        <v>-118.75</v>
      </c>
      <c r="L12" s="95">
        <f>IF(I12="","",SUMIF(제품등록!B:B,'믹스(잔량실사표)'!C:C,제품등록!F:F))</f>
        <v>365</v>
      </c>
      <c r="M12" s="11">
        <f t="shared" si="7"/>
        <v>45798</v>
      </c>
      <c r="N12" s="18">
        <f t="shared" si="8"/>
        <v>91.25</v>
      </c>
      <c r="O12" s="19">
        <f t="shared" si="9"/>
        <v>45889.25</v>
      </c>
      <c r="P12" s="17">
        <f t="shared" ca="1" si="10"/>
        <v>-118.75</v>
      </c>
    </row>
    <row r="13" spans="1:16" ht="17.25" customHeight="1" x14ac:dyDescent="0.3">
      <c r="A13" s="10">
        <f t="shared" si="0"/>
        <v>11</v>
      </c>
      <c r="B13" s="10">
        <v>8590</v>
      </c>
      <c r="C13" s="10" t="str">
        <f>VLOOKUP(B:B,재고차이!A:B,2,0)</f>
        <v>TR8590</v>
      </c>
      <c r="D13" s="10" t="str">
        <f>VLOOKUP(C:C,재고차이!B:C,2,0)</f>
        <v>토레타 제로500PET 4x6</v>
      </c>
      <c r="E13" s="10"/>
      <c r="F13" s="10"/>
      <c r="G13" s="10">
        <v>30</v>
      </c>
      <c r="H13" s="10"/>
      <c r="I13" s="199">
        <v>46211</v>
      </c>
      <c r="J13" s="199"/>
      <c r="K13" s="20">
        <f t="shared" ca="1" si="6"/>
        <v>-70.75</v>
      </c>
      <c r="L13" s="95">
        <f>IF(I13="","",SUMIF(제품등록!B:B,'믹스(잔량실사표)'!C:C,제품등록!F:F))</f>
        <v>365</v>
      </c>
      <c r="M13" s="11">
        <f t="shared" si="7"/>
        <v>45846</v>
      </c>
      <c r="N13" s="18">
        <f t="shared" si="8"/>
        <v>91.25</v>
      </c>
      <c r="O13" s="19">
        <f t="shared" si="9"/>
        <v>45937.25</v>
      </c>
      <c r="P13" s="17">
        <f t="shared" ca="1" si="10"/>
        <v>-70.75</v>
      </c>
    </row>
    <row r="14" spans="1:16" ht="17.25" customHeight="1" x14ac:dyDescent="0.3">
      <c r="A14" s="10">
        <f t="shared" si="0"/>
        <v>12</v>
      </c>
      <c r="B14" s="10" t="s">
        <v>2687</v>
      </c>
      <c r="C14" s="10" t="str">
        <f>VLOOKUP(B:B,재고차이!A:B,2,0)</f>
        <v>IH0001</v>
      </c>
      <c r="D14" s="10" t="str">
        <f>VLOOKUP(C:C,재고차이!B:C,2,0)</f>
        <v>S)일로하스 피치 540PET 4X6</v>
      </c>
      <c r="E14" s="10"/>
      <c r="F14" s="10"/>
      <c r="G14" s="10">
        <v>26</v>
      </c>
      <c r="H14" s="10"/>
      <c r="I14" s="199">
        <v>46156</v>
      </c>
      <c r="J14" s="199"/>
      <c r="K14" s="20">
        <f t="shared" ca="1" si="6"/>
        <v>-125.75</v>
      </c>
      <c r="L14" s="95">
        <f>IF(I14="","",SUMIF(제품등록!B:B,'믹스(잔량실사표)'!C:C,제품등록!F:F))</f>
        <v>365</v>
      </c>
      <c r="M14" s="11">
        <f t="shared" si="7"/>
        <v>45791</v>
      </c>
      <c r="N14" s="18">
        <f t="shared" si="8"/>
        <v>91.25</v>
      </c>
      <c r="O14" s="19">
        <f t="shared" si="9"/>
        <v>45882.25</v>
      </c>
      <c r="P14" s="17">
        <f t="shared" ca="1" si="10"/>
        <v>-125.75</v>
      </c>
    </row>
    <row r="15" spans="1:16" ht="17.25" customHeight="1" x14ac:dyDescent="0.3">
      <c r="A15" s="10">
        <f t="shared" si="0"/>
        <v>13</v>
      </c>
      <c r="B15" s="10">
        <v>1000</v>
      </c>
      <c r="C15" s="10" t="str">
        <f>VLOOKUP(B:B,재고차이!A:B,2,0)</f>
        <v>MM1000</v>
      </c>
      <c r="D15" s="10" t="str">
        <f>VLOOKUP(C:C,재고차이!B:C,2,0)</f>
        <v>미닛 허니&amp;유자 280PET 4X6</v>
      </c>
      <c r="E15" s="10"/>
      <c r="F15" s="10"/>
      <c r="G15" s="10">
        <v>24</v>
      </c>
      <c r="H15" s="10"/>
      <c r="I15" s="164">
        <v>46150</v>
      </c>
      <c r="J15" s="164"/>
      <c r="K15" s="20">
        <f t="shared" ca="1" si="6"/>
        <v>-131.75</v>
      </c>
      <c r="L15" s="95">
        <f>IF(I15="","",SUMIF(제품등록!B:B,'믹스(잔량실사표)'!C:C,제품등록!F:F))</f>
        <v>365</v>
      </c>
      <c r="M15" s="11">
        <f t="shared" si="7"/>
        <v>45785</v>
      </c>
      <c r="N15" s="18">
        <f t="shared" si="8"/>
        <v>91.25</v>
      </c>
      <c r="O15" s="19">
        <f t="shared" si="9"/>
        <v>45876.25</v>
      </c>
      <c r="P15" s="17">
        <f t="shared" ca="1" si="10"/>
        <v>-131.75</v>
      </c>
    </row>
    <row r="16" spans="1:16" ht="17.25" customHeight="1" x14ac:dyDescent="0.3">
      <c r="A16" s="10">
        <f t="shared" si="0"/>
        <v>14</v>
      </c>
      <c r="B16" s="10">
        <v>1001</v>
      </c>
      <c r="C16" s="10" t="str">
        <f>VLOOKUP(B:B,재고차이!A:B,2,0)</f>
        <v>MM1001</v>
      </c>
      <c r="D16" s="10" t="str">
        <f>VLOOKUP(C:C,재고차이!B:C,2,0)</f>
        <v>미닛 모과&amp;생강 280PET 4X6</v>
      </c>
      <c r="E16" s="10"/>
      <c r="F16" s="10"/>
      <c r="G16" s="10">
        <v>88</v>
      </c>
      <c r="H16" s="10"/>
      <c r="I16" s="199">
        <v>46242</v>
      </c>
      <c r="J16" s="164"/>
      <c r="K16" s="20">
        <f t="shared" ca="1" si="6"/>
        <v>-108.75</v>
      </c>
      <c r="L16" s="95">
        <f>IF(I16="","",SUMIF(제품등록!B:B,'믹스(잔량실사표)'!C:C,제품등록!F:F))</f>
        <v>457</v>
      </c>
      <c r="M16" s="11">
        <f t="shared" si="7"/>
        <v>45785</v>
      </c>
      <c r="N16" s="18">
        <f t="shared" si="8"/>
        <v>114.25</v>
      </c>
      <c r="O16" s="19">
        <f t="shared" si="9"/>
        <v>45899.25</v>
      </c>
      <c r="P16" s="17">
        <f t="shared" ca="1" si="10"/>
        <v>-108.75</v>
      </c>
    </row>
    <row r="17" spans="1:16" ht="17.25" customHeight="1" x14ac:dyDescent="0.3">
      <c r="A17" s="10">
        <f t="shared" si="0"/>
        <v>15</v>
      </c>
      <c r="B17" s="10">
        <v>1002</v>
      </c>
      <c r="C17" s="10" t="str">
        <f>VLOOKUP(B:B,재고차이!A:B,2,0)</f>
        <v>MM1002</v>
      </c>
      <c r="D17" s="10" t="str">
        <f>VLOOKUP(C:C,재고차이!B:C,2,0)</f>
        <v>미닛 레몬에이드 350PET 4X6</v>
      </c>
      <c r="E17" s="10"/>
      <c r="F17" s="10"/>
      <c r="G17" s="10">
        <v>89</v>
      </c>
      <c r="H17" s="10"/>
      <c r="I17" s="199">
        <v>46089</v>
      </c>
      <c r="J17" s="164"/>
      <c r="K17" s="20">
        <f t="shared" ca="1" si="6"/>
        <v>-121.5</v>
      </c>
      <c r="L17" s="95">
        <f>IF(I17="","",SUMIF(제품등록!B:B,'믹스(잔량실사표)'!C:C,제품등록!F:F))</f>
        <v>270</v>
      </c>
      <c r="M17" s="11">
        <f t="shared" si="7"/>
        <v>45819</v>
      </c>
      <c r="N17" s="18">
        <f t="shared" si="8"/>
        <v>67.5</v>
      </c>
      <c r="O17" s="19">
        <f t="shared" si="9"/>
        <v>45886.5</v>
      </c>
      <c r="P17" s="17">
        <f t="shared" ca="1" si="10"/>
        <v>-121.5</v>
      </c>
    </row>
    <row r="18" spans="1:16" ht="17.25" customHeight="1" x14ac:dyDescent="0.3">
      <c r="A18" s="10">
        <f t="shared" si="0"/>
        <v>16</v>
      </c>
      <c r="B18" s="24">
        <v>8065</v>
      </c>
      <c r="C18" s="10" t="str">
        <f>VLOOKUP(B:B,재고차이!A:B,2,0)</f>
        <v>GG8065</v>
      </c>
      <c r="D18" s="10" t="str">
        <f>VLOOKUP(C:C,재고차이!B:C,2,0)</f>
        <v>조지아 크래프트 블랙 470PET 4X6</v>
      </c>
      <c r="E18" s="10"/>
      <c r="F18" s="10"/>
      <c r="G18" s="10">
        <v>51</v>
      </c>
      <c r="H18" s="10"/>
      <c r="I18" s="199">
        <v>46192</v>
      </c>
      <c r="J18" s="199"/>
      <c r="K18" s="20">
        <f t="shared" ref="K18" ca="1" si="21">+P18</f>
        <v>-89.75</v>
      </c>
      <c r="L18" s="95">
        <f>IF(I18="","",SUMIF(제품등록!B:B,'믹스(잔량실사표)'!C:C,제품등록!F:F))</f>
        <v>365</v>
      </c>
      <c r="M18" s="11">
        <f t="shared" ref="M18" si="22">IF(I18=0,"",I18-L18)</f>
        <v>45827</v>
      </c>
      <c r="N18" s="18">
        <f t="shared" ref="N18" si="23">IF(M18="","",L18*상미75)</f>
        <v>91.25</v>
      </c>
      <c r="O18" s="19">
        <f t="shared" ref="O18" si="24">IF(N18="","",M18+N18)</f>
        <v>45918.25</v>
      </c>
      <c r="P18" s="17">
        <f t="shared" ref="P18" ca="1" si="25">IF(O18="","",O18-$I$1)</f>
        <v>-89.75</v>
      </c>
    </row>
    <row r="19" spans="1:16" x14ac:dyDescent="0.3">
      <c r="A19" s="10">
        <f t="shared" si="0"/>
        <v>17</v>
      </c>
      <c r="B19" s="24">
        <v>8066</v>
      </c>
      <c r="C19" s="10" t="str">
        <f>VLOOKUP(B:B,재고차이!A:B,2,0)</f>
        <v>GG8066</v>
      </c>
      <c r="D19" s="10" t="str">
        <f>VLOOKUP(C:C,재고차이!B:C,2,0)</f>
        <v>조지아 크래프트 라떼 470PET 4X6</v>
      </c>
      <c r="E19" s="10"/>
      <c r="F19" s="10"/>
      <c r="G19" s="10">
        <v>55</v>
      </c>
      <c r="H19" s="10"/>
      <c r="I19" s="199">
        <v>46144</v>
      </c>
      <c r="J19" s="199"/>
      <c r="K19" s="20">
        <f t="shared" ca="1" si="6"/>
        <v>-92</v>
      </c>
      <c r="L19" s="95">
        <f>IF(I19="","",SUMIF(제품등록!B:B,'믹스(잔량실사표)'!C:C,제품등록!F:F))</f>
        <v>304</v>
      </c>
      <c r="M19" s="11">
        <f t="shared" si="7"/>
        <v>45840</v>
      </c>
      <c r="N19" s="18">
        <f t="shared" si="8"/>
        <v>76</v>
      </c>
      <c r="O19" s="19">
        <f t="shared" si="9"/>
        <v>45916</v>
      </c>
      <c r="P19" s="17">
        <f t="shared" ca="1" si="10"/>
        <v>-92</v>
      </c>
    </row>
    <row r="20" spans="1:16" ht="17.25" customHeight="1" x14ac:dyDescent="0.3">
      <c r="A20" s="10">
        <f t="shared" si="0"/>
        <v>18</v>
      </c>
      <c r="B20" s="24">
        <v>8058</v>
      </c>
      <c r="C20" s="10" t="str">
        <f>VLOOKUP(B:B,재고차이!A:B,2,0)</f>
        <v>GG8058</v>
      </c>
      <c r="D20" s="10" t="str">
        <f>VLOOKUP(C:C,재고차이!B:C,2,0)</f>
        <v>조지아 크래프트 스윗블랙 470PET 4X6</v>
      </c>
      <c r="E20" s="10"/>
      <c r="F20" s="10"/>
      <c r="G20" s="10">
        <v>1</v>
      </c>
      <c r="H20" s="10"/>
      <c r="I20" s="199">
        <v>46190</v>
      </c>
      <c r="J20" s="199"/>
      <c r="K20" s="20">
        <f t="shared" ca="1" si="6"/>
        <v>-91.75</v>
      </c>
      <c r="L20" s="95">
        <f>IF(I20="","",SUMIF(제품등록!B:B,'믹스(잔량실사표)'!C:C,제품등록!F:F))</f>
        <v>365</v>
      </c>
      <c r="M20" s="11">
        <f t="shared" si="7"/>
        <v>45825</v>
      </c>
      <c r="N20" s="18">
        <f t="shared" si="8"/>
        <v>91.25</v>
      </c>
      <c r="O20" s="19">
        <f t="shared" si="9"/>
        <v>45916.25</v>
      </c>
      <c r="P20" s="17">
        <f t="shared" ca="1" si="10"/>
        <v>-91.75</v>
      </c>
    </row>
    <row r="21" spans="1:16" ht="17.25" customHeight="1" x14ac:dyDescent="0.3">
      <c r="A21" s="10">
        <f t="shared" si="0"/>
        <v>19</v>
      </c>
      <c r="B21" s="10">
        <v>8278</v>
      </c>
      <c r="C21" s="10" t="str">
        <f>VLOOKUP(B:B,재고차이!A:B,2,0)</f>
        <v>GG8278</v>
      </c>
      <c r="D21" s="10" t="str">
        <f>VLOOKUP(C:C,재고차이!B:C,2,0)</f>
        <v>조지아 크래프트 저칼로리라떼 470PET 4X6</v>
      </c>
      <c r="E21" s="10"/>
      <c r="F21" s="10"/>
      <c r="G21" s="10">
        <v>40</v>
      </c>
      <c r="H21" s="10"/>
      <c r="I21" s="199">
        <v>46110</v>
      </c>
      <c r="J21" s="199"/>
      <c r="K21" s="20">
        <f t="shared" ca="1" si="6"/>
        <v>-126</v>
      </c>
      <c r="L21" s="95">
        <f>IF(I21="","",SUMIF(제품등록!B:B,'믹스(잔량실사표)'!C:C,제품등록!F:F))</f>
        <v>304</v>
      </c>
      <c r="M21" s="11">
        <f t="shared" si="7"/>
        <v>45806</v>
      </c>
      <c r="N21" s="18">
        <f t="shared" si="8"/>
        <v>76</v>
      </c>
      <c r="O21" s="19">
        <f t="shared" si="9"/>
        <v>45882</v>
      </c>
      <c r="P21" s="17">
        <f t="shared" ca="1" si="10"/>
        <v>-126</v>
      </c>
    </row>
    <row r="22" spans="1:16" ht="15.75" customHeight="1" x14ac:dyDescent="0.3">
      <c r="A22" s="10">
        <f t="shared" si="0"/>
        <v>20</v>
      </c>
      <c r="B22" s="10">
        <v>5651</v>
      </c>
      <c r="C22" s="10" t="str">
        <f>VLOOKUP(B:B,재고차이!A:B,2,0)</f>
        <v>PC5651</v>
      </c>
      <c r="D22" s="10" t="str">
        <f>VLOOKUP(C:C,재고차이!B:C,2,0)</f>
        <v>강원평창수(올림픽) 500PET X20</v>
      </c>
      <c r="E22" s="200"/>
      <c r="F22" s="200"/>
      <c r="G22" s="200">
        <v>80</v>
      </c>
      <c r="H22" s="200"/>
      <c r="I22" s="164">
        <v>46164</v>
      </c>
      <c r="J22" s="164"/>
      <c r="K22" s="20">
        <f t="shared" ca="1" si="6"/>
        <v>-117.75</v>
      </c>
      <c r="L22" s="95">
        <f>IF(I22="","",SUMIF(제품등록!B:B,'믹스(잔량실사표)'!C:C,제품등록!F:F))</f>
        <v>365</v>
      </c>
      <c r="M22" s="11">
        <f t="shared" si="7"/>
        <v>45799</v>
      </c>
      <c r="N22" s="18">
        <f t="shared" ref="N22:N35" si="26">IF(L22="","",L22*상미75)</f>
        <v>91.25</v>
      </c>
      <c r="O22" s="19">
        <f t="shared" ref="O22:O35" si="27">IF(M22="","",M22+N22)</f>
        <v>45890.25</v>
      </c>
      <c r="P22" s="17">
        <f t="shared" ca="1" si="10"/>
        <v>-117.75</v>
      </c>
    </row>
    <row r="23" spans="1:16" ht="15.75" customHeight="1" x14ac:dyDescent="0.3">
      <c r="A23" s="10">
        <f t="shared" si="0"/>
        <v>21</v>
      </c>
      <c r="B23" s="10">
        <v>5640</v>
      </c>
      <c r="C23" s="10" t="str">
        <f>VLOOKUP(B:B,재고차이!A:B,2,0)</f>
        <v>PC5640</v>
      </c>
      <c r="D23" s="10" t="str">
        <f>VLOOKUP(C:C,재고차이!B:C,2,0)</f>
        <v>강원평창수 2.0PET X6</v>
      </c>
      <c r="E23" s="200"/>
      <c r="F23" s="200"/>
      <c r="G23" s="231"/>
      <c r="H23" s="200"/>
      <c r="I23" s="164"/>
      <c r="J23" s="164"/>
      <c r="K23" s="20" t="str">
        <f t="shared" si="6"/>
        <v/>
      </c>
      <c r="L23" s="95" t="str">
        <f>IF(I23="","",SUMIF(제품등록!B:B,'믹스(잔량실사표)'!C:C,제품등록!F:F))</f>
        <v/>
      </c>
      <c r="M23" s="11" t="str">
        <f t="shared" si="7"/>
        <v/>
      </c>
      <c r="N23" s="18" t="str">
        <f t="shared" si="26"/>
        <v/>
      </c>
      <c r="O23" s="19" t="str">
        <f t="shared" si="27"/>
        <v/>
      </c>
      <c r="P23" s="17" t="str">
        <f t="shared" si="10"/>
        <v/>
      </c>
    </row>
    <row r="24" spans="1:16" ht="15.75" customHeight="1" x14ac:dyDescent="0.3">
      <c r="A24" s="10">
        <f t="shared" si="0"/>
        <v>22</v>
      </c>
      <c r="B24" s="10">
        <v>4969</v>
      </c>
      <c r="C24" s="10" t="str">
        <f>VLOOKUP(B:B,재고차이!A:B,2,0)</f>
        <v>KC4969</v>
      </c>
      <c r="D24" s="10" t="str">
        <f>VLOOKUP(C:C,재고차이!B:C,2,0)</f>
        <v>S)과일촌 아침에사과 500PET 4X6</v>
      </c>
      <c r="E24" s="200"/>
      <c r="F24" s="200"/>
      <c r="G24" s="200">
        <v>64</v>
      </c>
      <c r="H24" s="200"/>
      <c r="I24" s="164">
        <v>46182</v>
      </c>
      <c r="J24" s="164"/>
      <c r="K24" s="20">
        <f t="shared" ca="1" si="6"/>
        <v>-99.75</v>
      </c>
      <c r="L24" s="95">
        <f>IF(I24="","",SUMIF(제품등록!B:B,'믹스(잔량실사표)'!C:C,제품등록!F:F))</f>
        <v>365</v>
      </c>
      <c r="M24" s="11">
        <f t="shared" si="7"/>
        <v>45817</v>
      </c>
      <c r="N24" s="18">
        <f t="shared" si="26"/>
        <v>91.25</v>
      </c>
      <c r="O24" s="19">
        <f t="shared" si="27"/>
        <v>45908.25</v>
      </c>
      <c r="P24" s="17">
        <f t="shared" ca="1" si="10"/>
        <v>-99.75</v>
      </c>
    </row>
    <row r="25" spans="1:16" ht="15.75" customHeight="1" x14ac:dyDescent="0.3">
      <c r="A25" s="10">
        <f t="shared" si="0"/>
        <v>23</v>
      </c>
      <c r="B25" s="10">
        <v>2825</v>
      </c>
      <c r="C25" s="10" t="str">
        <f>VLOOKUP(B:B,재고차이!A:B,2,0)</f>
        <v>KM2825</v>
      </c>
      <c r="D25" s="10" t="str">
        <f>VLOOKUP(C:C,재고차이!B:C,2,0)</f>
        <v>S)갈아만든 배 500PET 4X6</v>
      </c>
      <c r="E25" s="200"/>
      <c r="F25" s="200"/>
      <c r="G25" s="200">
        <v>60</v>
      </c>
      <c r="H25" s="200"/>
      <c r="I25" s="164">
        <v>46123</v>
      </c>
      <c r="J25" s="164"/>
      <c r="K25" s="20">
        <f t="shared" ca="1" si="6"/>
        <v>-113</v>
      </c>
      <c r="L25" s="95">
        <f>IF(I25="","",SUMIF(제품등록!B:B,'믹스(잔량실사표)'!C:C,제품등록!F:F))</f>
        <v>304</v>
      </c>
      <c r="M25" s="11">
        <f t="shared" si="7"/>
        <v>45819</v>
      </c>
      <c r="N25" s="18">
        <f t="shared" si="26"/>
        <v>76</v>
      </c>
      <c r="O25" s="19">
        <f t="shared" si="27"/>
        <v>45895</v>
      </c>
      <c r="P25" s="17">
        <f t="shared" ca="1" si="10"/>
        <v>-113</v>
      </c>
    </row>
    <row r="26" spans="1:16" ht="15.75" customHeight="1" x14ac:dyDescent="0.3">
      <c r="A26" s="10">
        <f t="shared" si="0"/>
        <v>24</v>
      </c>
      <c r="B26" s="10" t="s">
        <v>2661</v>
      </c>
      <c r="C26" s="10" t="str">
        <f>VLOOKUP(B:B,재고차이!A:B,2,0)</f>
        <v>GS0012</v>
      </c>
      <c r="D26" s="10" t="str">
        <f>VLOOKUP(C:C,재고차이!B:C,2,0)</f>
        <v>영진 구론산 오리지날액 150NRB 3X10</v>
      </c>
      <c r="E26" s="200"/>
      <c r="F26" s="200"/>
      <c r="G26" s="200">
        <f>12+28</f>
        <v>40</v>
      </c>
      <c r="H26" s="200"/>
      <c r="I26" s="164">
        <v>46163</v>
      </c>
      <c r="J26" s="164"/>
      <c r="K26" s="20">
        <f t="shared" ca="1" si="6"/>
        <v>-118.75</v>
      </c>
      <c r="L26" s="95">
        <f>IF(I26="","",SUMIF(제품등록!B:B,'믹스(잔량실사표)'!C:C,제품등록!F:F))</f>
        <v>365</v>
      </c>
      <c r="M26" s="11">
        <f t="shared" si="7"/>
        <v>45798</v>
      </c>
      <c r="N26" s="18">
        <f t="shared" si="26"/>
        <v>91.25</v>
      </c>
      <c r="O26" s="19">
        <f t="shared" si="27"/>
        <v>45889.25</v>
      </c>
      <c r="P26" s="17">
        <f t="shared" ca="1" si="10"/>
        <v>-118.75</v>
      </c>
    </row>
    <row r="27" spans="1:16" ht="15.75" customHeight="1" x14ac:dyDescent="0.3">
      <c r="A27" s="10">
        <f t="shared" si="0"/>
        <v>25</v>
      </c>
      <c r="B27" s="10">
        <v>5375</v>
      </c>
      <c r="C27" s="10" t="str">
        <f>VLOOKUP(B:B,재고차이!A:B,2,0)</f>
        <v>GS5375</v>
      </c>
      <c r="D27" s="10" t="str">
        <f>VLOOKUP(C:C,재고차이!B:C,2,0)</f>
        <v>영진 구론산 탄산 오리지날 150NRB 3X10</v>
      </c>
      <c r="E27" s="200"/>
      <c r="F27" s="200"/>
      <c r="G27" s="200">
        <v>65</v>
      </c>
      <c r="H27" s="200"/>
      <c r="I27" s="199">
        <v>46164</v>
      </c>
      <c r="J27" s="164"/>
      <c r="K27" s="20">
        <f t="shared" ref="K27" ca="1" si="28">+P27</f>
        <v>-117.75</v>
      </c>
      <c r="L27" s="95">
        <f>IF(I27="","",SUMIF(제품등록!B:B,'믹스(잔량실사표)'!C:C,제품등록!F:F))</f>
        <v>365</v>
      </c>
      <c r="M27" s="11">
        <f t="shared" ref="M27" si="29">IF(I27=0,"",I27-L27)</f>
        <v>45799</v>
      </c>
      <c r="N27" s="18">
        <f t="shared" ref="N27" si="30">IF(L27="","",L27*상미75)</f>
        <v>91.25</v>
      </c>
      <c r="O27" s="19">
        <f t="shared" ref="O27" si="31">IF(M27="","",M27+N27)</f>
        <v>45890.25</v>
      </c>
      <c r="P27" s="17">
        <f t="shared" ref="P27" ca="1" si="32">IF(O27="","",O27-$I$1)</f>
        <v>-117.75</v>
      </c>
    </row>
    <row r="28" spans="1:16" ht="15.75" customHeight="1" x14ac:dyDescent="0.3">
      <c r="A28" s="10">
        <f t="shared" si="0"/>
        <v>26</v>
      </c>
      <c r="B28" s="10">
        <v>2826</v>
      </c>
      <c r="C28" s="10" t="str">
        <f>VLOOKUP(B:B,재고차이!A:B,2,0)</f>
        <v>KM2826</v>
      </c>
      <c r="D28" s="10" t="str">
        <f>VLOOKUP(C:C,재고차이!B:C,2,0)</f>
        <v>갈아만든 배 1.5PET X6</v>
      </c>
      <c r="E28" s="200"/>
      <c r="F28" s="200"/>
      <c r="G28" s="200">
        <v>1</v>
      </c>
      <c r="H28" s="200"/>
      <c r="I28" s="164">
        <v>46103</v>
      </c>
      <c r="J28" s="164"/>
      <c r="K28" s="20">
        <f t="shared" ca="1" si="6"/>
        <v>-133</v>
      </c>
      <c r="L28" s="95">
        <f>IF(I28="","",SUMIF(제품등록!B:B,'믹스(잔량실사표)'!C:C,제품등록!F:F))</f>
        <v>304</v>
      </c>
      <c r="M28" s="11">
        <f t="shared" si="7"/>
        <v>45799</v>
      </c>
      <c r="N28" s="18">
        <f t="shared" si="26"/>
        <v>76</v>
      </c>
      <c r="O28" s="19">
        <f t="shared" si="27"/>
        <v>45875</v>
      </c>
      <c r="P28" s="17">
        <f t="shared" ca="1" si="10"/>
        <v>-133</v>
      </c>
    </row>
    <row r="29" spans="1:16" ht="15.75" customHeight="1" x14ac:dyDescent="0.3">
      <c r="A29" s="10">
        <f t="shared" si="0"/>
        <v>27</v>
      </c>
      <c r="B29" s="10">
        <v>4929</v>
      </c>
      <c r="C29" s="10" t="str">
        <f>VLOOKUP(B:B,재고차이!A:B,2,0)</f>
        <v>KM4929</v>
      </c>
      <c r="D29" s="10" t="str">
        <f>VLOOKUP(C:C,재고차이!B:C,2,0)</f>
        <v>S)갈아만든 배 340CAN 4X6</v>
      </c>
      <c r="E29" s="200"/>
      <c r="F29" s="200"/>
      <c r="G29" s="200">
        <v>2</v>
      </c>
      <c r="H29" s="200"/>
      <c r="I29" s="164">
        <v>46527</v>
      </c>
      <c r="J29" s="164"/>
      <c r="K29" s="20">
        <f t="shared" ca="1" si="6"/>
        <v>-28.5</v>
      </c>
      <c r="L29" s="95">
        <f>IF(I29="","",SUMIF(제품등록!B:B,'믹스(잔량실사표)'!C:C,제품등록!F:F))</f>
        <v>730</v>
      </c>
      <c r="M29" s="11">
        <f t="shared" si="7"/>
        <v>45797</v>
      </c>
      <c r="N29" s="18">
        <f t="shared" si="26"/>
        <v>182.5</v>
      </c>
      <c r="O29" s="19">
        <f t="shared" si="27"/>
        <v>45979.5</v>
      </c>
      <c r="P29" s="17">
        <f t="shared" ca="1" si="10"/>
        <v>-28.5</v>
      </c>
    </row>
    <row r="30" spans="1:16" ht="15.75" customHeight="1" x14ac:dyDescent="0.3">
      <c r="A30" s="10">
        <f t="shared" si="0"/>
        <v>28</v>
      </c>
      <c r="B30" s="10">
        <v>4290</v>
      </c>
      <c r="C30" s="10" t="str">
        <f>VLOOKUP(B:B,재고차이!A:B,2,0)</f>
        <v>KM4290</v>
      </c>
      <c r="D30" s="10" t="str">
        <f>VLOOKUP(C:C,재고차이!B:C,2,0)</f>
        <v>S)갈배 사이다 500PET 4X6</v>
      </c>
      <c r="E30" s="200"/>
      <c r="F30" s="200"/>
      <c r="G30" s="200">
        <v>4</v>
      </c>
      <c r="H30" s="200"/>
      <c r="I30" s="199">
        <v>46161</v>
      </c>
      <c r="J30" s="164"/>
      <c r="K30" s="20">
        <f t="shared" ca="1" si="6"/>
        <v>-120.75</v>
      </c>
      <c r="L30" s="95">
        <f>IF(I30="","",SUMIF(제품등록!B:B,'믹스(잔량실사표)'!C:C,제품등록!F:F))</f>
        <v>365</v>
      </c>
      <c r="M30" s="11">
        <f t="shared" si="7"/>
        <v>45796</v>
      </c>
      <c r="N30" s="18">
        <f t="shared" si="26"/>
        <v>91.25</v>
      </c>
      <c r="O30" s="19">
        <f t="shared" si="27"/>
        <v>45887.25</v>
      </c>
      <c r="P30" s="17">
        <f t="shared" ca="1" si="10"/>
        <v>-120.75</v>
      </c>
    </row>
    <row r="31" spans="1:16" ht="15.75" customHeight="1" x14ac:dyDescent="0.3">
      <c r="A31" s="10">
        <f t="shared" si="0"/>
        <v>29</v>
      </c>
      <c r="B31" s="10">
        <v>4125</v>
      </c>
      <c r="C31" s="10" t="str">
        <f>VLOOKUP(B:B,재고차이!A:B,2,0)</f>
        <v>CP4125</v>
      </c>
      <c r="D31" s="10" t="str">
        <f>VLOOKUP(C:C,재고차이!B:C,2,0)</f>
        <v>S)코코팜 포도 340CAN 4X6</v>
      </c>
      <c r="E31" s="200"/>
      <c r="F31" s="200"/>
      <c r="G31" s="200">
        <v>21</v>
      </c>
      <c r="H31" s="200"/>
      <c r="I31" s="164">
        <v>46485</v>
      </c>
      <c r="J31" s="164"/>
      <c r="K31" s="20">
        <f t="shared" ca="1" si="6"/>
        <v>-70.5</v>
      </c>
      <c r="L31" s="95">
        <f>IF(I31="","",SUMIF(제품등록!B:B,'믹스(잔량실사표)'!C:C,제품등록!F:F))</f>
        <v>730</v>
      </c>
      <c r="M31" s="11">
        <f t="shared" si="7"/>
        <v>45755</v>
      </c>
      <c r="N31" s="18">
        <f t="shared" si="26"/>
        <v>182.5</v>
      </c>
      <c r="O31" s="19">
        <f t="shared" si="27"/>
        <v>45937.5</v>
      </c>
      <c r="P31" s="17">
        <f t="shared" ca="1" si="10"/>
        <v>-70.5</v>
      </c>
    </row>
    <row r="32" spans="1:16" ht="15.75" customHeight="1" x14ac:dyDescent="0.3">
      <c r="A32" s="10">
        <f t="shared" ref="A32:A62" si="33">ROW()-2</f>
        <v>30</v>
      </c>
      <c r="B32" s="10">
        <v>4259</v>
      </c>
      <c r="C32" s="10" t="str">
        <f>VLOOKUP(B:B,재고차이!A:B,2,0)</f>
        <v>BB4259</v>
      </c>
      <c r="D32" s="10" t="str">
        <f>VLOOKUP(C:C,재고차이!B:C,2,0)</f>
        <v>S)봉봉 포도 340CAN 4X6</v>
      </c>
      <c r="E32" s="200"/>
      <c r="F32" s="200"/>
      <c r="G32" s="200">
        <v>67</v>
      </c>
      <c r="H32" s="200"/>
      <c r="I32" s="199">
        <v>46555</v>
      </c>
      <c r="J32" s="164"/>
      <c r="K32" s="20">
        <f t="shared" ref="K32:K62" ca="1" si="34">+P32</f>
        <v>-0.5</v>
      </c>
      <c r="L32" s="95">
        <f>IF(I32="","",SUMIF(제품등록!B:B,'믹스(잔량실사표)'!C:C,제품등록!F:F))</f>
        <v>730</v>
      </c>
      <c r="M32" s="11">
        <f t="shared" ref="M32:M62" si="35">IF(I32=0,"",I32-L32)</f>
        <v>45825</v>
      </c>
      <c r="N32" s="18">
        <f t="shared" si="26"/>
        <v>182.5</v>
      </c>
      <c r="O32" s="19">
        <f t="shared" si="27"/>
        <v>46007.5</v>
      </c>
      <c r="P32" s="17">
        <f t="shared" ref="P32:P62" ca="1" si="36">IF(O32="","",O32-$I$1)</f>
        <v>-0.5</v>
      </c>
    </row>
    <row r="33" spans="1:16" ht="15.75" customHeight="1" x14ac:dyDescent="0.3">
      <c r="A33" s="10">
        <f t="shared" si="33"/>
        <v>31</v>
      </c>
      <c r="B33" s="10">
        <v>4112</v>
      </c>
      <c r="C33" s="10" t="str">
        <f>VLOOKUP(B:B,재고차이!A:B,2,0)</f>
        <v>CP4112</v>
      </c>
      <c r="D33" s="10" t="str">
        <f>VLOOKUP(C:C,재고차이!B:C,2,0)</f>
        <v>S)코코팜 피치핑크 240CAN 5X6</v>
      </c>
      <c r="E33" s="200"/>
      <c r="F33" s="200"/>
      <c r="G33" s="200">
        <v>87</v>
      </c>
      <c r="H33" s="200"/>
      <c r="I33" s="164">
        <v>46141</v>
      </c>
      <c r="J33" s="164"/>
      <c r="K33" s="20">
        <f t="shared" ca="1" si="34"/>
        <v>-140.75</v>
      </c>
      <c r="L33" s="95">
        <f>IF(I33="","",SUMIF(제품등록!B:B,'믹스(잔량실사표)'!C:C,제품등록!F:F))</f>
        <v>365</v>
      </c>
      <c r="M33" s="11">
        <f t="shared" si="35"/>
        <v>45776</v>
      </c>
      <c r="N33" s="18">
        <f t="shared" si="26"/>
        <v>91.25</v>
      </c>
      <c r="O33" s="19">
        <f t="shared" si="27"/>
        <v>45867.25</v>
      </c>
      <c r="P33" s="17">
        <f t="shared" ca="1" si="36"/>
        <v>-140.75</v>
      </c>
    </row>
    <row r="34" spans="1:16" ht="15.75" customHeight="1" x14ac:dyDescent="0.3">
      <c r="A34" s="10">
        <f t="shared" si="33"/>
        <v>32</v>
      </c>
      <c r="B34" s="10">
        <v>4281</v>
      </c>
      <c r="C34" s="10" t="str">
        <f>VLOOKUP(B:B,재고차이!A:B,2,0)</f>
        <v>CP4281</v>
      </c>
      <c r="D34" s="10" t="str">
        <f>VLOOKUP(C:C,재고차이!B:C,2,0)</f>
        <v>S)코코팜 화이트 240CAN 5X6</v>
      </c>
      <c r="E34" s="200"/>
      <c r="F34" s="200"/>
      <c r="G34" s="200">
        <v>92</v>
      </c>
      <c r="H34" s="200"/>
      <c r="I34" s="164">
        <v>46134</v>
      </c>
      <c r="J34" s="164"/>
      <c r="K34" s="20">
        <f t="shared" ca="1" si="34"/>
        <v>-147.75</v>
      </c>
      <c r="L34" s="95">
        <f>IF(I34="","",SUMIF(제품등록!B:B,'믹스(잔량실사표)'!C:C,제품등록!F:F))</f>
        <v>365</v>
      </c>
      <c r="M34" s="11">
        <f t="shared" si="35"/>
        <v>45769</v>
      </c>
      <c r="N34" s="18">
        <f t="shared" si="26"/>
        <v>91.25</v>
      </c>
      <c r="O34" s="19">
        <f t="shared" si="27"/>
        <v>45860.25</v>
      </c>
      <c r="P34" s="17">
        <f t="shared" ca="1" si="36"/>
        <v>-147.75</v>
      </c>
    </row>
    <row r="35" spans="1:16" ht="15.75" customHeight="1" x14ac:dyDescent="0.3">
      <c r="A35" s="10">
        <f t="shared" si="33"/>
        <v>33</v>
      </c>
      <c r="B35" s="10">
        <v>9120</v>
      </c>
      <c r="C35" s="10" t="str">
        <f>VLOOKUP(B:B,재고차이!A:B,2,0)</f>
        <v>MJ9120</v>
      </c>
      <c r="D35" s="10" t="str">
        <f>VLOOKUP(C:C,재고차이!B:C,2,0)</f>
        <v>몸에좋은 Set 음양오행 180NRB 3X10</v>
      </c>
      <c r="E35" s="200"/>
      <c r="F35" s="200"/>
      <c r="G35" s="200">
        <v>63</v>
      </c>
      <c r="H35" s="200"/>
      <c r="I35" s="164">
        <v>46132</v>
      </c>
      <c r="J35" s="164"/>
      <c r="K35" s="20">
        <f t="shared" ca="1" si="34"/>
        <v>-149.75</v>
      </c>
      <c r="L35" s="95">
        <f>IF(I35="","",SUMIF(제품등록!B:B,'믹스(잔량실사표)'!C:C,제품등록!F:F))</f>
        <v>365</v>
      </c>
      <c r="M35" s="11">
        <f t="shared" si="35"/>
        <v>45767</v>
      </c>
      <c r="N35" s="18">
        <f t="shared" si="26"/>
        <v>91.25</v>
      </c>
      <c r="O35" s="19">
        <f t="shared" si="27"/>
        <v>45858.25</v>
      </c>
      <c r="P35" s="17">
        <f t="shared" ca="1" si="36"/>
        <v>-149.75</v>
      </c>
    </row>
    <row r="36" spans="1:16" ht="15.75" customHeight="1" x14ac:dyDescent="0.3">
      <c r="A36" s="10">
        <f t="shared" si="33"/>
        <v>34</v>
      </c>
      <c r="B36" s="10" t="s">
        <v>2646</v>
      </c>
      <c r="C36" s="10" t="str">
        <f>VLOOKUP(B:B,재고차이!A:B,2,0)</f>
        <v>KC1005</v>
      </c>
      <c r="D36" s="10" t="str">
        <f>VLOOKUP(C:C,재고차이!B:C,2,0)</f>
        <v>과일촌 아침에 오+포+사 180NRB 3X12</v>
      </c>
      <c r="E36" s="200"/>
      <c r="F36" s="200"/>
      <c r="G36" s="200">
        <v>3</v>
      </c>
      <c r="H36" s="200"/>
      <c r="I36" s="199">
        <v>46079</v>
      </c>
      <c r="J36" s="164"/>
      <c r="K36" s="20">
        <f t="shared" ref="K36" ca="1" si="37">+P36</f>
        <v>-133.75</v>
      </c>
      <c r="L36" s="95">
        <f>IF(I36="","",SUMIF(제품등록!B:B,'믹스(잔량실사표)'!C:C,제품등록!F:F))</f>
        <v>273</v>
      </c>
      <c r="M36" s="11">
        <f t="shared" ref="M36" si="38">IF(I36=0,"",I36-L36)</f>
        <v>45806</v>
      </c>
      <c r="N36" s="18">
        <f t="shared" ref="N36" si="39">IF(L36="","",L36*상미75)</f>
        <v>68.25</v>
      </c>
      <c r="O36" s="19">
        <f t="shared" ref="O36" si="40">IF(M36="","",M36+N36)</f>
        <v>45874.25</v>
      </c>
      <c r="P36" s="17">
        <f t="shared" ref="P36" ca="1" si="41">IF(O36="","",O36-$I$1)</f>
        <v>-133.75</v>
      </c>
    </row>
    <row r="37" spans="1:16" ht="17.25" customHeight="1" x14ac:dyDescent="0.3">
      <c r="A37" s="10">
        <f t="shared" si="33"/>
        <v>35</v>
      </c>
      <c r="B37" s="24">
        <v>4872</v>
      </c>
      <c r="C37" s="10" t="str">
        <f>VLOOKUP(B:B,재고차이!A:B,2,0)</f>
        <v>GG4872</v>
      </c>
      <c r="D37" s="10" t="str">
        <f>VLOOKUP(C:C,재고차이!B:C,2,0)</f>
        <v>조지아오리지널240C 5X6</v>
      </c>
      <c r="E37" s="10"/>
      <c r="F37" s="10"/>
      <c r="G37" s="10">
        <v>72</v>
      </c>
      <c r="H37" s="10"/>
      <c r="I37" s="199">
        <v>46198</v>
      </c>
      <c r="J37" s="199"/>
      <c r="K37" s="20">
        <f t="shared" ca="1" si="34"/>
        <v>-83.75</v>
      </c>
      <c r="L37" s="95">
        <f>IF(I37="","",SUMIF(제품등록!B:B,'믹스(잔량실사표)'!C:C,제품등록!F:F))</f>
        <v>365</v>
      </c>
      <c r="M37" s="11">
        <f t="shared" si="35"/>
        <v>45833</v>
      </c>
      <c r="N37" s="18">
        <f t="shared" ref="N37:N51" si="42">IF(M37="","",L37*상미75)</f>
        <v>91.25</v>
      </c>
      <c r="O37" s="19">
        <f t="shared" ref="O37:O51" si="43">IF(N37="","",M37+N37)</f>
        <v>45924.25</v>
      </c>
      <c r="P37" s="17">
        <f t="shared" ca="1" si="36"/>
        <v>-83.75</v>
      </c>
    </row>
    <row r="38" spans="1:16" ht="17.25" customHeight="1" x14ac:dyDescent="0.3">
      <c r="A38" s="10">
        <f t="shared" si="33"/>
        <v>36</v>
      </c>
      <c r="B38" s="24">
        <v>4879</v>
      </c>
      <c r="C38" s="10" t="str">
        <f>VLOOKUP(B:B,재고차이!A:B,2,0)</f>
        <v>GG4879</v>
      </c>
      <c r="D38" s="10" t="str">
        <f>VLOOKUP(C:C,재고차이!B:C,2,0)</f>
        <v>조지아카페라테240C 5X6</v>
      </c>
      <c r="E38" s="10"/>
      <c r="F38" s="10"/>
      <c r="G38" s="10">
        <v>43</v>
      </c>
      <c r="H38" s="10"/>
      <c r="I38" s="199">
        <v>46203</v>
      </c>
      <c r="J38" s="199"/>
      <c r="K38" s="20">
        <f t="shared" ca="1" si="34"/>
        <v>-78.75</v>
      </c>
      <c r="L38" s="95">
        <f>IF(I38="","",SUMIF(제품등록!B:B,'믹스(잔량실사표)'!C:C,제품등록!F:F))</f>
        <v>365</v>
      </c>
      <c r="M38" s="11">
        <f t="shared" si="35"/>
        <v>45838</v>
      </c>
      <c r="N38" s="18">
        <f t="shared" si="42"/>
        <v>91.25</v>
      </c>
      <c r="O38" s="19">
        <f t="shared" si="43"/>
        <v>45929.25</v>
      </c>
      <c r="P38" s="17">
        <f t="shared" ca="1" si="36"/>
        <v>-78.75</v>
      </c>
    </row>
    <row r="39" spans="1:16" ht="17.25" customHeight="1" x14ac:dyDescent="0.3">
      <c r="A39" s="10">
        <f t="shared" si="33"/>
        <v>37</v>
      </c>
      <c r="B39" s="24">
        <v>4899</v>
      </c>
      <c r="C39" s="10" t="str">
        <f>VLOOKUP(B:B,재고차이!A:B,2,0)</f>
        <v>GG4899</v>
      </c>
      <c r="D39" s="10" t="str">
        <f>VLOOKUP(C:C,재고차이!B:C,2,0)</f>
        <v>조지아맥스 240C 5X6</v>
      </c>
      <c r="E39" s="10"/>
      <c r="F39" s="10"/>
      <c r="G39" s="10">
        <v>121</v>
      </c>
      <c r="H39" s="10"/>
      <c r="I39" s="199">
        <v>46199</v>
      </c>
      <c r="J39" s="199"/>
      <c r="K39" s="20">
        <f t="shared" ca="1" si="34"/>
        <v>-82.75</v>
      </c>
      <c r="L39" s="95">
        <f>IF(I39="","",SUMIF(제품등록!B:B,'믹스(잔량실사표)'!C:C,제품등록!F:F))</f>
        <v>365</v>
      </c>
      <c r="M39" s="11">
        <f t="shared" si="35"/>
        <v>45834</v>
      </c>
      <c r="N39" s="18">
        <f t="shared" si="42"/>
        <v>91.25</v>
      </c>
      <c r="O39" s="19">
        <f t="shared" si="43"/>
        <v>45925.25</v>
      </c>
      <c r="P39" s="17">
        <f t="shared" ca="1" si="36"/>
        <v>-82.75</v>
      </c>
    </row>
    <row r="40" spans="1:16" ht="17.25" customHeight="1" x14ac:dyDescent="0.3">
      <c r="A40" s="10">
        <f t="shared" si="33"/>
        <v>38</v>
      </c>
      <c r="B40" s="10">
        <v>8521</v>
      </c>
      <c r="C40" s="10" t="str">
        <f>VLOOKUP(B:B,재고차이!A:B,2,0)</f>
        <v>PA8521</v>
      </c>
      <c r="D40" s="10" t="str">
        <f>VLOOKUP(C:C,재고차이!B:C,2,0)</f>
        <v>파워M/B 240CAN 5X6</v>
      </c>
      <c r="E40" s="10"/>
      <c r="F40" s="10"/>
      <c r="G40" s="10">
        <v>45</v>
      </c>
      <c r="H40" s="10"/>
      <c r="I40" s="199">
        <v>46575</v>
      </c>
      <c r="J40" s="199"/>
      <c r="K40" s="20">
        <f t="shared" ca="1" si="34"/>
        <v>19.5</v>
      </c>
      <c r="L40" s="95">
        <f>IF(I40="","",SUMIF(제품등록!B:B,'믹스(잔량실사표)'!C:C,제품등록!F:F))</f>
        <v>730</v>
      </c>
      <c r="M40" s="11">
        <f t="shared" si="35"/>
        <v>45845</v>
      </c>
      <c r="N40" s="18">
        <f t="shared" si="42"/>
        <v>182.5</v>
      </c>
      <c r="O40" s="19">
        <f t="shared" si="43"/>
        <v>46027.5</v>
      </c>
      <c r="P40" s="17">
        <f t="shared" ca="1" si="36"/>
        <v>19.5</v>
      </c>
    </row>
    <row r="41" spans="1:16" ht="17.25" customHeight="1" x14ac:dyDescent="0.3">
      <c r="A41" s="10">
        <f t="shared" si="33"/>
        <v>39</v>
      </c>
      <c r="B41" s="10">
        <v>8560</v>
      </c>
      <c r="C41" s="10" t="str">
        <f>VLOOKUP(B:B,재고차이!A:B,2,0)</f>
        <v>TR8560</v>
      </c>
      <c r="D41" s="10" t="str">
        <f>VLOOKUP(C:C,재고차이!B:C,2,0)</f>
        <v>토레타 240CAN 5X6</v>
      </c>
      <c r="E41" s="10"/>
      <c r="F41" s="10"/>
      <c r="G41" s="10">
        <v>51</v>
      </c>
      <c r="H41" s="10"/>
      <c r="I41" s="199">
        <v>46161</v>
      </c>
      <c r="J41" s="199"/>
      <c r="K41" s="20">
        <f t="shared" ca="1" si="34"/>
        <v>-120.75</v>
      </c>
      <c r="L41" s="95">
        <f>IF(I41="","",SUMIF(제품등록!B:B,'믹스(잔량실사표)'!C:C,제품등록!F:F))</f>
        <v>365</v>
      </c>
      <c r="M41" s="11">
        <f t="shared" si="35"/>
        <v>45796</v>
      </c>
      <c r="N41" s="18">
        <f t="shared" si="42"/>
        <v>91.25</v>
      </c>
      <c r="O41" s="19">
        <f t="shared" si="43"/>
        <v>45887.25</v>
      </c>
      <c r="P41" s="17">
        <f t="shared" ca="1" si="36"/>
        <v>-120.75</v>
      </c>
    </row>
    <row r="42" spans="1:16" ht="17.25" customHeight="1" x14ac:dyDescent="0.3">
      <c r="A42" s="10">
        <f t="shared" si="33"/>
        <v>40</v>
      </c>
      <c r="B42" s="10">
        <v>1300</v>
      </c>
      <c r="C42" s="10" t="str">
        <f>VLOOKUP(B:B,재고차이!A:B,2,0)</f>
        <v>CC1300</v>
      </c>
      <c r="D42" s="10" t="str">
        <f>VLOOKUP(C:C,재고차이!B:C,2,0)</f>
        <v>코카콜라SW 250CAN 5X6</v>
      </c>
      <c r="E42" s="10"/>
      <c r="F42" s="10"/>
      <c r="G42" s="10">
        <v>100</v>
      </c>
      <c r="H42" s="10"/>
      <c r="I42" s="164">
        <v>46561</v>
      </c>
      <c r="J42" s="199"/>
      <c r="K42" s="20">
        <f t="shared" ca="1" si="34"/>
        <v>5.5</v>
      </c>
      <c r="L42" s="95">
        <f>IF(I42="","",SUMIF(제품등록!B:B,'믹스(잔량실사표)'!C:C,제품등록!F:F))</f>
        <v>730</v>
      </c>
      <c r="M42" s="11">
        <f t="shared" si="35"/>
        <v>45831</v>
      </c>
      <c r="N42" s="18">
        <f t="shared" si="42"/>
        <v>182.5</v>
      </c>
      <c r="O42" s="19">
        <f t="shared" si="43"/>
        <v>46013.5</v>
      </c>
      <c r="P42" s="17">
        <f t="shared" ca="1" si="36"/>
        <v>5.5</v>
      </c>
    </row>
    <row r="43" spans="1:16" ht="17.25" customHeight="1" x14ac:dyDescent="0.3">
      <c r="A43" s="10">
        <f t="shared" si="33"/>
        <v>41</v>
      </c>
      <c r="B43" s="10">
        <v>8273</v>
      </c>
      <c r="C43" s="10" t="str">
        <f>VLOOKUP(B:B,재고차이!A:B,2,0)</f>
        <v>CC8273</v>
      </c>
      <c r="D43" s="10" t="str">
        <f>VLOOKUP(C:C,재고차이!B:C,2,0)</f>
        <v>코크 제로 250CAN 5X6</v>
      </c>
      <c r="E43" s="200"/>
      <c r="F43" s="200"/>
      <c r="G43" s="200">
        <v>14</v>
      </c>
      <c r="H43" s="200"/>
      <c r="I43" s="164">
        <v>46563</v>
      </c>
      <c r="J43" s="199"/>
      <c r="K43" s="20">
        <f t="shared" ca="1" si="34"/>
        <v>281.25</v>
      </c>
      <c r="L43" s="95">
        <f>IF(I43="","",SUMIF(제품등록!B:B,'믹스(잔량실사표)'!C:C,제품등록!F:F))</f>
        <v>365</v>
      </c>
      <c r="M43" s="11">
        <f t="shared" si="35"/>
        <v>46198</v>
      </c>
      <c r="N43" s="18">
        <f t="shared" si="42"/>
        <v>91.25</v>
      </c>
      <c r="O43" s="19">
        <f t="shared" si="43"/>
        <v>46289.25</v>
      </c>
      <c r="P43" s="17">
        <f t="shared" ca="1" si="36"/>
        <v>281.25</v>
      </c>
    </row>
    <row r="44" spans="1:16" ht="17.25" customHeight="1" x14ac:dyDescent="0.3">
      <c r="A44" s="10">
        <f t="shared" si="33"/>
        <v>42</v>
      </c>
      <c r="B44" s="10">
        <v>5771</v>
      </c>
      <c r="C44" s="10" t="str">
        <f>VLOOKUP(B:B,재고차이!A:B,2,0)</f>
        <v>CC5771</v>
      </c>
      <c r="D44" s="10" t="str">
        <f>VLOOKUP(C:C,재고차이!B:C,2,0)</f>
        <v>코크제로 제로 250CAN 5X6</v>
      </c>
      <c r="E44" s="200"/>
      <c r="F44" s="200"/>
      <c r="G44" s="200">
        <v>103</v>
      </c>
      <c r="H44" s="200"/>
      <c r="I44" s="164">
        <v>46365</v>
      </c>
      <c r="J44" s="199"/>
      <c r="K44" s="20">
        <f t="shared" ref="K44" ca="1" si="44">+P44</f>
        <v>-54</v>
      </c>
      <c r="L44" s="95">
        <f>IF(I44="","",SUMIF(제품등록!B:B,'믹스(잔량실사표)'!C:C,제품등록!F:F))</f>
        <v>548</v>
      </c>
      <c r="M44" s="11">
        <f t="shared" ref="M44" si="45">IF(I44=0,"",I44-L44)</f>
        <v>45817</v>
      </c>
      <c r="N44" s="18">
        <f t="shared" ref="N44" si="46">IF(M44="","",L44*상미75)</f>
        <v>137</v>
      </c>
      <c r="O44" s="19">
        <f t="shared" ref="O44" si="47">IF(N44="","",M44+N44)</f>
        <v>45954</v>
      </c>
      <c r="P44" s="17">
        <f t="shared" ref="P44" ca="1" si="48">IF(O44="","",O44-$I$1)</f>
        <v>-54</v>
      </c>
    </row>
    <row r="45" spans="1:16" ht="17.25" customHeight="1" x14ac:dyDescent="0.3">
      <c r="A45" s="10">
        <f t="shared" si="33"/>
        <v>43</v>
      </c>
      <c r="B45" s="24">
        <v>4823</v>
      </c>
      <c r="C45" s="10" t="str">
        <f>VLOOKUP(B:B,재고차이!A:B,2,0)</f>
        <v>FT4823</v>
      </c>
      <c r="D45" s="10" t="str">
        <f>VLOOKUP(C:C,재고차이!B:C,2,0)</f>
        <v>환타오렌지250CAN 5X6 M</v>
      </c>
      <c r="E45" s="10"/>
      <c r="F45" s="10"/>
      <c r="G45" s="10">
        <v>92</v>
      </c>
      <c r="H45" s="10"/>
      <c r="I45" s="199">
        <v>46556</v>
      </c>
      <c r="J45" s="199"/>
      <c r="K45" s="20">
        <f t="shared" ca="1" si="34"/>
        <v>0.5</v>
      </c>
      <c r="L45" s="95">
        <f>IF(I45="","",SUMIF(제품등록!B:B,'믹스(잔량실사표)'!C:C,제품등록!F:F))</f>
        <v>730</v>
      </c>
      <c r="M45" s="11">
        <f t="shared" si="35"/>
        <v>45826</v>
      </c>
      <c r="N45" s="18">
        <f t="shared" si="42"/>
        <v>182.5</v>
      </c>
      <c r="O45" s="19">
        <f t="shared" si="43"/>
        <v>46008.5</v>
      </c>
      <c r="P45" s="17">
        <f t="shared" ca="1" si="36"/>
        <v>0.5</v>
      </c>
    </row>
    <row r="46" spans="1:16" ht="17.25" customHeight="1" x14ac:dyDescent="0.3">
      <c r="A46" s="10">
        <f t="shared" si="33"/>
        <v>44</v>
      </c>
      <c r="B46" s="24">
        <v>5312</v>
      </c>
      <c r="C46" s="10" t="str">
        <f>VLOOKUP(B:B,재고차이!A:B,2,0)</f>
        <v>FT5312</v>
      </c>
      <c r="D46" s="10" t="str">
        <f>VLOOKUP(C:C,재고차이!B:C,2,0)</f>
        <v>환타 파인 250CAN 5X6</v>
      </c>
      <c r="E46" s="10"/>
      <c r="F46" s="10"/>
      <c r="G46" s="10">
        <v>128</v>
      </c>
      <c r="H46" s="10"/>
      <c r="I46" s="199">
        <v>46520</v>
      </c>
      <c r="J46" s="199"/>
      <c r="K46" s="20">
        <f t="shared" ca="1" si="34"/>
        <v>-35.5</v>
      </c>
      <c r="L46" s="95">
        <f>IF(I46="","",SUMIF(제품등록!B:B,'믹스(잔량실사표)'!C:C,제품등록!F:F))</f>
        <v>730</v>
      </c>
      <c r="M46" s="11">
        <f t="shared" si="35"/>
        <v>45790</v>
      </c>
      <c r="N46" s="18">
        <f t="shared" si="42"/>
        <v>182.5</v>
      </c>
      <c r="O46" s="19">
        <f t="shared" si="43"/>
        <v>45972.5</v>
      </c>
      <c r="P46" s="17">
        <f t="shared" ca="1" si="36"/>
        <v>-35.5</v>
      </c>
    </row>
    <row r="47" spans="1:16" ht="17.25" customHeight="1" x14ac:dyDescent="0.3">
      <c r="A47" s="10">
        <f t="shared" si="33"/>
        <v>45</v>
      </c>
      <c r="B47" s="10">
        <v>2531</v>
      </c>
      <c r="C47" s="10" t="str">
        <f>VLOOKUP(B:B,재고차이!A:B,2,0)</f>
        <v>CC2531</v>
      </c>
      <c r="D47" s="10" t="str">
        <f>VLOOKUP(C:C,재고차이!B:C,2,0)</f>
        <v>코카콜라 350CAN 4X6</v>
      </c>
      <c r="E47" s="10"/>
      <c r="F47" s="10"/>
      <c r="G47" s="10">
        <f>60+20</f>
        <v>80</v>
      </c>
      <c r="H47" s="10"/>
      <c r="I47" s="164">
        <v>46546</v>
      </c>
      <c r="J47" s="199"/>
      <c r="K47" s="20">
        <f t="shared" ca="1" si="34"/>
        <v>-9.5</v>
      </c>
      <c r="L47" s="95">
        <f>IF(I47="","",SUMIF(제품등록!B:B,'믹스(잔량실사표)'!C:C,제품등록!F:F))</f>
        <v>730</v>
      </c>
      <c r="M47" s="11">
        <f t="shared" si="35"/>
        <v>45816</v>
      </c>
      <c r="N47" s="18">
        <f t="shared" si="42"/>
        <v>182.5</v>
      </c>
      <c r="O47" s="19">
        <f t="shared" si="43"/>
        <v>45998.5</v>
      </c>
      <c r="P47" s="17">
        <f t="shared" ca="1" si="36"/>
        <v>-9.5</v>
      </c>
    </row>
    <row r="48" spans="1:16" ht="17.25" customHeight="1" x14ac:dyDescent="0.3">
      <c r="A48" s="10">
        <f t="shared" si="33"/>
        <v>46</v>
      </c>
      <c r="B48" s="10">
        <v>5191</v>
      </c>
      <c r="C48" s="10" t="str">
        <f>VLOOKUP(B:B,재고차이!A:B,2,0)</f>
        <v>CC5191</v>
      </c>
      <c r="D48" s="10" t="str">
        <f>VLOOKUP(C:C,재고차이!B:C,2,0)</f>
        <v>코카콜라 490CAN 6X4</v>
      </c>
      <c r="E48" s="10"/>
      <c r="F48" s="10"/>
      <c r="G48" s="10">
        <v>51</v>
      </c>
      <c r="H48" s="10"/>
      <c r="I48" s="164">
        <v>46560</v>
      </c>
      <c r="J48" s="199"/>
      <c r="K48" s="20">
        <f t="shared" ca="1" si="34"/>
        <v>4.5</v>
      </c>
      <c r="L48" s="95">
        <f>IF(I48="","",SUMIF(제품등록!B:B,'믹스(잔량실사표)'!C:C,제품등록!F:F))</f>
        <v>730</v>
      </c>
      <c r="M48" s="11">
        <f t="shared" si="35"/>
        <v>45830</v>
      </c>
      <c r="N48" s="18">
        <f t="shared" si="42"/>
        <v>182.5</v>
      </c>
      <c r="O48" s="19">
        <f t="shared" si="43"/>
        <v>46012.5</v>
      </c>
      <c r="P48" s="17">
        <f t="shared" ca="1" si="36"/>
        <v>4.5</v>
      </c>
    </row>
    <row r="49" spans="1:16" ht="17.25" customHeight="1" x14ac:dyDescent="0.3">
      <c r="A49" s="10">
        <f t="shared" si="33"/>
        <v>47</v>
      </c>
      <c r="B49" s="10">
        <v>5777</v>
      </c>
      <c r="C49" s="10" t="str">
        <f>VLOOKUP(B:B,재고차이!A:B,2,0)</f>
        <v>CC5777</v>
      </c>
      <c r="D49" s="10" t="str">
        <f>VLOOKUP(C:C,재고차이!B:C,2,0)</f>
        <v>코크제로 350CAN 4X6</v>
      </c>
      <c r="E49" s="10"/>
      <c r="F49" s="10"/>
      <c r="G49" s="10">
        <v>74</v>
      </c>
      <c r="H49" s="10"/>
      <c r="I49" s="164">
        <v>46549</v>
      </c>
      <c r="J49" s="199"/>
      <c r="K49" s="20">
        <f t="shared" ca="1" si="34"/>
        <v>267.25</v>
      </c>
      <c r="L49" s="95">
        <f>IF(I49="","",SUMIF(제품등록!B:B,'믹스(잔량실사표)'!C:C,제품등록!F:F))</f>
        <v>365</v>
      </c>
      <c r="M49" s="11">
        <f t="shared" si="35"/>
        <v>46184</v>
      </c>
      <c r="N49" s="18">
        <f t="shared" si="42"/>
        <v>91.25</v>
      </c>
      <c r="O49" s="19">
        <f t="shared" si="43"/>
        <v>46275.25</v>
      </c>
      <c r="P49" s="17">
        <f t="shared" ca="1" si="36"/>
        <v>267.25</v>
      </c>
    </row>
    <row r="50" spans="1:16" ht="17.25" customHeight="1" x14ac:dyDescent="0.3">
      <c r="A50" s="10">
        <f t="shared" si="33"/>
        <v>48</v>
      </c>
      <c r="B50" s="10">
        <v>5192</v>
      </c>
      <c r="C50" s="10" t="str">
        <f>VLOOKUP(B:B,재고차이!A:B,2,0)</f>
        <v>CC5192</v>
      </c>
      <c r="D50" s="10" t="str">
        <f>VLOOKUP(C:C,재고차이!B:C,2,0)</f>
        <v>코크제로 490ml CAN 6X4</v>
      </c>
      <c r="E50" s="10"/>
      <c r="F50" s="10"/>
      <c r="G50" s="10">
        <v>2</v>
      </c>
      <c r="H50" s="10"/>
      <c r="I50" s="164">
        <v>46526</v>
      </c>
      <c r="J50" s="199"/>
      <c r="K50" s="20">
        <f t="shared" ca="1" si="34"/>
        <v>-29.5</v>
      </c>
      <c r="L50" s="95">
        <f>IF(I50="","",SUMIF(제품등록!B:B,'믹스(잔량실사표)'!C:C,제품등록!F:F))</f>
        <v>730</v>
      </c>
      <c r="M50" s="11">
        <f t="shared" si="35"/>
        <v>45796</v>
      </c>
      <c r="N50" s="18">
        <f t="shared" si="42"/>
        <v>182.5</v>
      </c>
      <c r="O50" s="19">
        <f t="shared" si="43"/>
        <v>45978.5</v>
      </c>
      <c r="P50" s="17">
        <f t="shared" ca="1" si="36"/>
        <v>-29.5</v>
      </c>
    </row>
    <row r="51" spans="1:16" x14ac:dyDescent="0.3">
      <c r="A51" s="10">
        <f t="shared" si="33"/>
        <v>49</v>
      </c>
      <c r="B51" s="24">
        <v>4179</v>
      </c>
      <c r="C51" s="10" t="str">
        <f>VLOOKUP(B:B,재고차이!A:B,2,0)</f>
        <v>SP4179</v>
      </c>
      <c r="D51" s="10" t="str">
        <f>VLOOKUP(C:C,재고차이!B:C,2,0)</f>
        <v>스프라이트(신350C 4X6</v>
      </c>
      <c r="E51" s="10"/>
      <c r="F51" s="10"/>
      <c r="G51" s="10">
        <v>96</v>
      </c>
      <c r="H51" s="10"/>
      <c r="I51" s="199">
        <v>46541</v>
      </c>
      <c r="J51" s="199"/>
      <c r="K51" s="20">
        <f t="shared" ca="1" si="34"/>
        <v>-14.5</v>
      </c>
      <c r="L51" s="95">
        <f>IF(I51="","",SUMIF(제품등록!B:B,'믹스(잔량실사표)'!C:C,제품등록!F:F))</f>
        <v>730</v>
      </c>
      <c r="M51" s="11">
        <f t="shared" si="35"/>
        <v>45811</v>
      </c>
      <c r="N51" s="18">
        <f t="shared" si="42"/>
        <v>182.5</v>
      </c>
      <c r="O51" s="19">
        <f t="shared" si="43"/>
        <v>45993.5</v>
      </c>
      <c r="P51" s="17">
        <f t="shared" ca="1" si="36"/>
        <v>-14.5</v>
      </c>
    </row>
    <row r="52" spans="1:16" x14ac:dyDescent="0.3">
      <c r="A52" s="10">
        <f t="shared" si="33"/>
        <v>50</v>
      </c>
      <c r="B52" s="24">
        <v>4184</v>
      </c>
      <c r="C52" s="10" t="str">
        <f>VLOOKUP(B:B,재고차이!A:B,2,0)</f>
        <v>SP4184</v>
      </c>
      <c r="D52" s="10" t="str">
        <f>VLOOKUP(C:C,재고차이!B:C,2,0)</f>
        <v>S)스프제로 칠 아이스블라스트 350CAN 4X6</v>
      </c>
      <c r="E52" s="10"/>
      <c r="F52" s="10"/>
      <c r="G52" s="10">
        <v>39</v>
      </c>
      <c r="H52" s="10"/>
      <c r="I52" s="199">
        <v>46213</v>
      </c>
      <c r="J52" s="199"/>
      <c r="K52" s="20">
        <f t="shared" ref="K52" ca="1" si="49">+P52</f>
        <v>-68.75</v>
      </c>
      <c r="L52" s="95">
        <f>IF(I52="","",SUMIF(제품등록!B:B,'믹스(잔량실사표)'!C:C,제품등록!F:F))</f>
        <v>365</v>
      </c>
      <c r="M52" s="11">
        <f t="shared" ref="M52" si="50">IF(I52=0,"",I52-L52)</f>
        <v>45848</v>
      </c>
      <c r="N52" s="18">
        <f t="shared" ref="N52" si="51">IF(M52="","",L52*상미75)</f>
        <v>91.25</v>
      </c>
      <c r="O52" s="19">
        <f t="shared" ref="O52" si="52">IF(N52="","",M52+N52)</f>
        <v>45939.25</v>
      </c>
      <c r="P52" s="17">
        <f t="shared" ref="P52" ca="1" si="53">IF(O52="","",O52-$I$1)</f>
        <v>-68.75</v>
      </c>
    </row>
    <row r="53" spans="1:16" x14ac:dyDescent="0.3">
      <c r="A53" s="10">
        <f t="shared" si="33"/>
        <v>51</v>
      </c>
      <c r="B53" s="10">
        <v>4177</v>
      </c>
      <c r="C53" s="10" t="str">
        <f>VLOOKUP(B:B,재고차이!A:B,2,0)</f>
        <v>FT4177</v>
      </c>
      <c r="D53" s="10" t="str">
        <f>VLOOKUP(C:C,재고차이!B:C,2,0)</f>
        <v>S)환타 오렌지 350CAN 4X6</v>
      </c>
      <c r="E53" s="10"/>
      <c r="F53" s="10"/>
      <c r="G53" s="10">
        <v>36</v>
      </c>
      <c r="H53" s="10"/>
      <c r="I53" s="164">
        <v>46563</v>
      </c>
      <c r="J53" s="199"/>
      <c r="K53" s="20">
        <f t="shared" ref="K53" ca="1" si="54">+P53</f>
        <v>7.5</v>
      </c>
      <c r="L53" s="95">
        <f>IF(I53="","",SUMIF(제품등록!B:B,'믹스(잔량실사표)'!C:C,제품등록!F:F))</f>
        <v>730</v>
      </c>
      <c r="M53" s="11">
        <f t="shared" ref="M53" si="55">IF(I53=0,"",I53-L53)</f>
        <v>45833</v>
      </c>
      <c r="N53" s="18">
        <f t="shared" ref="N53" si="56">IF(M53="","",L53*상미75)</f>
        <v>182.5</v>
      </c>
      <c r="O53" s="19">
        <f t="shared" ref="O53" si="57">IF(N53="","",M53+N53)</f>
        <v>46015.5</v>
      </c>
      <c r="P53" s="17">
        <f t="shared" ref="P53" ca="1" si="58">IF(O53="","",O53-$I$1)</f>
        <v>7.5</v>
      </c>
    </row>
    <row r="54" spans="1:16" ht="15.75" customHeight="1" x14ac:dyDescent="0.3">
      <c r="A54" s="10">
        <f t="shared" si="33"/>
        <v>52</v>
      </c>
      <c r="B54" s="24">
        <v>7994</v>
      </c>
      <c r="C54" s="10" t="str">
        <f>VLOOKUP(B:B,재고차이!A:B,2,0)</f>
        <v>DP7994</v>
      </c>
      <c r="D54" s="10" t="str">
        <f>VLOOKUP(C:C,재고차이!B:C,2,0)</f>
        <v>닥터페퍼 제로 350CAN 4X6</v>
      </c>
      <c r="E54" s="10"/>
      <c r="F54" s="10"/>
      <c r="G54" s="10">
        <v>30</v>
      </c>
      <c r="H54" s="10"/>
      <c r="I54" s="199">
        <v>46192</v>
      </c>
      <c r="J54" s="199"/>
      <c r="K54" s="20">
        <f t="shared" ca="1" si="34"/>
        <v>-89.75</v>
      </c>
      <c r="L54" s="95">
        <v>365</v>
      </c>
      <c r="M54" s="11">
        <f t="shared" si="35"/>
        <v>45827</v>
      </c>
      <c r="N54" s="18">
        <f>IF(L54="","",L54*상미75)</f>
        <v>91.25</v>
      </c>
      <c r="O54" s="19">
        <f>IF(M54="","",M54+N54)</f>
        <v>45918.25</v>
      </c>
      <c r="P54" s="17">
        <f t="shared" ca="1" si="36"/>
        <v>-89.75</v>
      </c>
    </row>
    <row r="55" spans="1:16" ht="15.75" customHeight="1" x14ac:dyDescent="0.3">
      <c r="A55" s="10">
        <f t="shared" si="33"/>
        <v>53</v>
      </c>
      <c r="B55" s="24" t="s">
        <v>2692</v>
      </c>
      <c r="C55" s="10" t="str">
        <f>VLOOKUP(B:B,재고차이!A:B,2,0)</f>
        <v>DP0439</v>
      </c>
      <c r="D55" s="10" t="str">
        <f>VLOOKUP(C:C,재고차이!B:C,2,0)</f>
        <v>S)닥터페퍼제로 스트로베리&amp;크림 350CAN4X6</v>
      </c>
      <c r="E55" s="10"/>
      <c r="F55" s="10"/>
      <c r="G55" s="10">
        <v>9</v>
      </c>
      <c r="H55" s="10"/>
      <c r="I55" s="199">
        <v>46207</v>
      </c>
      <c r="J55" s="199"/>
      <c r="K55" s="20">
        <f t="shared" ca="1" si="34"/>
        <v>-74.75</v>
      </c>
      <c r="L55" s="95">
        <v>365</v>
      </c>
      <c r="M55" s="11">
        <f t="shared" si="35"/>
        <v>45842</v>
      </c>
      <c r="N55" s="18">
        <f>IF(L55="","",L55*상미75)</f>
        <v>91.25</v>
      </c>
      <c r="O55" s="19">
        <f>IF(M55="","",M55+N55)</f>
        <v>45933.25</v>
      </c>
      <c r="P55" s="17">
        <f t="shared" ca="1" si="36"/>
        <v>-74.75</v>
      </c>
    </row>
    <row r="56" spans="1:16" ht="15.75" customHeight="1" x14ac:dyDescent="0.3">
      <c r="A56" s="10">
        <f t="shared" si="33"/>
        <v>54</v>
      </c>
      <c r="B56" s="10" t="s">
        <v>2600</v>
      </c>
      <c r="C56" s="10" t="str">
        <f>VLOOKUP(B:B,재고차이!A:B,2,0)</f>
        <v>FT4181</v>
      </c>
      <c r="D56" s="10" t="str">
        <f>VLOOKUP(C:C,재고차이!B:C,2,0)</f>
        <v>환타 제로 파인 350CAN 4X6</v>
      </c>
      <c r="E56" s="10"/>
      <c r="F56" s="10"/>
      <c r="G56" s="10">
        <v>17</v>
      </c>
      <c r="H56" s="200"/>
      <c r="I56" s="199">
        <v>46191</v>
      </c>
      <c r="J56" s="164"/>
      <c r="K56" s="20">
        <f t="shared" ca="1" si="34"/>
        <v>-90.75</v>
      </c>
      <c r="L56" s="95">
        <v>365</v>
      </c>
      <c r="M56" s="11">
        <f t="shared" si="35"/>
        <v>45826</v>
      </c>
      <c r="N56" s="18">
        <f>IF(L56="","",L56*상미75)</f>
        <v>91.25</v>
      </c>
      <c r="O56" s="19">
        <f>IF(M56="","",M56+N56)</f>
        <v>45917.25</v>
      </c>
      <c r="P56" s="17">
        <f t="shared" ca="1" si="36"/>
        <v>-90.75</v>
      </c>
    </row>
    <row r="57" spans="1:16" ht="15.75" customHeight="1" x14ac:dyDescent="0.3">
      <c r="A57" s="10">
        <f t="shared" si="33"/>
        <v>55</v>
      </c>
      <c r="B57" s="10">
        <v>4182</v>
      </c>
      <c r="C57" s="10" t="str">
        <f>VLOOKUP(B:B,재고차이!A:B,2,0)</f>
        <v>FT4182</v>
      </c>
      <c r="D57" s="10" t="str">
        <f>VLOOKUP(C:C,재고차이!B:C,2,0)</f>
        <v>환타 제로 오렌지 350CAN 4X6</v>
      </c>
      <c r="E57" s="10"/>
      <c r="F57" s="10"/>
      <c r="G57" s="10">
        <v>8</v>
      </c>
      <c r="H57" s="200"/>
      <c r="I57" s="199">
        <v>46177</v>
      </c>
      <c r="J57" s="164"/>
      <c r="K57" s="20">
        <f t="shared" ca="1" si="34"/>
        <v>-104.75</v>
      </c>
      <c r="L57" s="95">
        <v>365</v>
      </c>
      <c r="M57" s="11">
        <f t="shared" si="35"/>
        <v>45812</v>
      </c>
      <c r="N57" s="18">
        <f>IF(L57="","",L57*상미75)</f>
        <v>91.25</v>
      </c>
      <c r="O57" s="19">
        <f>IF(M57="","",M57+N57)</f>
        <v>45903.25</v>
      </c>
      <c r="P57" s="17">
        <f t="shared" ca="1" si="36"/>
        <v>-104.75</v>
      </c>
    </row>
    <row r="58" spans="1:16" ht="15.75" customHeight="1" x14ac:dyDescent="0.3">
      <c r="A58" s="10">
        <f t="shared" si="33"/>
        <v>56</v>
      </c>
      <c r="B58" s="10">
        <v>5194</v>
      </c>
      <c r="C58" s="10" t="str">
        <f>VLOOKUP(B:B,재고차이!A:B,2,0)</f>
        <v>CC5194</v>
      </c>
      <c r="D58" s="10" t="str">
        <f>VLOOKUP(C:C,재고차이!B:C,2,0)</f>
        <v>S)코크제로 레몬 350CAN 4X6</v>
      </c>
      <c r="E58" s="10"/>
      <c r="F58" s="10"/>
      <c r="G58" s="10">
        <v>77</v>
      </c>
      <c r="H58" s="200"/>
      <c r="I58" s="199">
        <v>46355</v>
      </c>
      <c r="J58" s="164"/>
      <c r="K58" s="20">
        <f t="shared" ca="1" si="34"/>
        <v>73.25</v>
      </c>
      <c r="L58" s="95">
        <v>365</v>
      </c>
      <c r="M58" s="11">
        <f t="shared" si="35"/>
        <v>45990</v>
      </c>
      <c r="N58" s="18">
        <f>IF(L58="","",L58*상미75)</f>
        <v>91.25</v>
      </c>
      <c r="O58" s="19">
        <f>IF(M58="","",M58+N58)</f>
        <v>46081.25</v>
      </c>
      <c r="P58" s="17">
        <f t="shared" ca="1" si="36"/>
        <v>73.25</v>
      </c>
    </row>
    <row r="59" spans="1:16" x14ac:dyDescent="0.3">
      <c r="A59" s="10">
        <f t="shared" si="33"/>
        <v>57</v>
      </c>
      <c r="B59" s="24">
        <v>5641</v>
      </c>
      <c r="C59" s="10" t="str">
        <f>VLOOKUP(B:B,재고차이!A:B,2,0)</f>
        <v>MO5641</v>
      </c>
      <c r="D59" s="10" t="str">
        <f>VLOOKUP(C:C,재고차이!B:C,2,0)</f>
        <v>몬스터에너지그린355C 4X6</v>
      </c>
      <c r="E59" s="10"/>
      <c r="F59" s="10"/>
      <c r="G59" s="10">
        <v>9</v>
      </c>
      <c r="H59" s="10"/>
      <c r="I59" s="199">
        <v>46548</v>
      </c>
      <c r="J59" s="199"/>
      <c r="K59" s="20">
        <f t="shared" ca="1" si="34"/>
        <v>-7.5</v>
      </c>
      <c r="L59" s="95">
        <f>IF(I59="","",SUMIF(제품등록!B:B,'믹스(잔량실사표)'!C:C,제품등록!F:F))</f>
        <v>730</v>
      </c>
      <c r="M59" s="11">
        <f t="shared" si="35"/>
        <v>45818</v>
      </c>
      <c r="N59" s="18">
        <f>IF(M59="","",L59*상미75)</f>
        <v>182.5</v>
      </c>
      <c r="O59" s="19">
        <f>IF(N59="","",M59+N59)</f>
        <v>46000.5</v>
      </c>
      <c r="P59" s="17">
        <f t="shared" ca="1" si="36"/>
        <v>-7.5</v>
      </c>
    </row>
    <row r="60" spans="1:16" ht="15.75" customHeight="1" x14ac:dyDescent="0.3">
      <c r="A60" s="10">
        <f t="shared" si="33"/>
        <v>58</v>
      </c>
      <c r="B60" s="10">
        <v>5643</v>
      </c>
      <c r="C60" s="10" t="str">
        <f>VLOOKUP(B:B,재고차이!A:B,2,0)</f>
        <v>MO5643</v>
      </c>
      <c r="D60" s="10" t="str">
        <f>VLOOKUP(C:C,재고차이!B:C,2,0)</f>
        <v>몬스터 에너지 울트라 355CAN 4X6</v>
      </c>
      <c r="E60" s="10"/>
      <c r="F60" s="10"/>
      <c r="G60" s="10">
        <v>93</v>
      </c>
      <c r="H60" s="10"/>
      <c r="I60" s="199">
        <v>46556</v>
      </c>
      <c r="J60" s="199"/>
      <c r="K60" s="20">
        <f t="shared" ref="K60" ca="1" si="59">+P60</f>
        <v>0.5</v>
      </c>
      <c r="L60" s="95">
        <f>IF(I60="","",SUMIF(제품등록!B:B,'믹스(잔량실사표)'!C:C,제품등록!F:F))</f>
        <v>730</v>
      </c>
      <c r="M60" s="11">
        <f t="shared" ref="M60" si="60">IF(I60=0,"",I60-L60)</f>
        <v>45826</v>
      </c>
      <c r="N60" s="18">
        <f>IF(M60="","",L60*상미75)</f>
        <v>182.5</v>
      </c>
      <c r="O60" s="19">
        <f>IF(N60="","",M60+N60)</f>
        <v>46008.5</v>
      </c>
      <c r="P60" s="17">
        <f t="shared" ref="P60" ca="1" si="61">IF(O60="","",O60-$I$1)</f>
        <v>0.5</v>
      </c>
    </row>
    <row r="61" spans="1:16" x14ac:dyDescent="0.3">
      <c r="A61" s="10">
        <f t="shared" si="33"/>
        <v>59</v>
      </c>
      <c r="B61" s="10">
        <v>5639</v>
      </c>
      <c r="C61" s="10" t="str">
        <f>VLOOKUP(B:B,재고차이!A:B,2,0)</f>
        <v>MO5639</v>
      </c>
      <c r="D61" s="10" t="str">
        <f>VLOOKUP(C:C,재고차이!B:C,2,0)</f>
        <v>몬스터 에너지 시트라 355CAN 4X6</v>
      </c>
      <c r="E61" s="10"/>
      <c r="F61" s="10"/>
      <c r="G61" s="10">
        <v>6</v>
      </c>
      <c r="H61" s="10"/>
      <c r="I61" s="199">
        <v>46553</v>
      </c>
      <c r="J61" s="199"/>
      <c r="K61" s="20">
        <f t="shared" ca="1" si="34"/>
        <v>-2.5</v>
      </c>
      <c r="L61" s="95">
        <f>IF(I61="","",SUMIF(제품등록!B:B,'믹스(잔량실사표)'!C:C,제품등록!F:F))</f>
        <v>730</v>
      </c>
      <c r="M61" s="11">
        <f t="shared" si="35"/>
        <v>45823</v>
      </c>
      <c r="N61" s="18">
        <f>IF(M61="","",L61*상미75)</f>
        <v>182.5</v>
      </c>
      <c r="O61" s="19">
        <f>IF(N61="","",M61+N61)</f>
        <v>46005.5</v>
      </c>
      <c r="P61" s="17">
        <f t="shared" ca="1" si="36"/>
        <v>-2.5</v>
      </c>
    </row>
    <row r="62" spans="1:16" x14ac:dyDescent="0.3">
      <c r="A62" s="10">
        <f t="shared" si="33"/>
        <v>60</v>
      </c>
      <c r="B62" s="24">
        <v>5636</v>
      </c>
      <c r="C62" s="10" t="str">
        <f>VLOOKUP(B:B,재고차이!A:B,2,0)</f>
        <v>MO5636</v>
      </c>
      <c r="D62" s="10" t="str">
        <f>VLOOKUP(C:C,재고차이!B:C,2,0)</f>
        <v>몬스터 에너지 펀치 355CAN 4X6</v>
      </c>
      <c r="E62" s="10"/>
      <c r="F62" s="10"/>
      <c r="G62" s="10">
        <v>14</v>
      </c>
      <c r="H62" s="10"/>
      <c r="I62" s="199">
        <v>46535</v>
      </c>
      <c r="J62" s="199"/>
      <c r="K62" s="20">
        <f t="shared" ca="1" si="34"/>
        <v>-20.5</v>
      </c>
      <c r="L62" s="95">
        <f>IF(I62="","",SUMIF(제품등록!B:B,'믹스(잔량실사표)'!C:C,제품등록!F:F))</f>
        <v>730</v>
      </c>
      <c r="M62" s="11">
        <f t="shared" si="35"/>
        <v>45805</v>
      </c>
      <c r="N62" s="18">
        <f>IF(M62="","",L62*상미75)</f>
        <v>182.5</v>
      </c>
      <c r="O62" s="19">
        <f>IF(N62="","",M62+N62)</f>
        <v>45987.5</v>
      </c>
      <c r="P62" s="17">
        <f t="shared" ca="1" si="36"/>
        <v>-20.5</v>
      </c>
    </row>
    <row r="63" spans="1:16" x14ac:dyDescent="0.3">
      <c r="A63" s="10">
        <v>55</v>
      </c>
      <c r="B63" s="10">
        <v>5656</v>
      </c>
      <c r="C63" s="10" t="s">
        <v>2328</v>
      </c>
      <c r="D63" s="10" t="s">
        <v>2329</v>
      </c>
      <c r="E63" s="10"/>
      <c r="F63" s="10"/>
      <c r="G63" s="10">
        <v>4</v>
      </c>
      <c r="H63" s="10"/>
      <c r="I63" s="199">
        <v>46543</v>
      </c>
      <c r="J63" s="199"/>
      <c r="K63" s="20">
        <v>163.5</v>
      </c>
      <c r="L63" s="95">
        <v>730</v>
      </c>
      <c r="M63" s="11">
        <v>45589</v>
      </c>
      <c r="N63" s="18">
        <v>182.5</v>
      </c>
      <c r="O63" s="19">
        <v>45771.5</v>
      </c>
      <c r="P63" s="17">
        <v>163.5</v>
      </c>
    </row>
    <row r="64" spans="1:16" x14ac:dyDescent="0.3">
      <c r="A64" s="10">
        <f t="shared" ref="A64:A88" si="62">ROW()-2</f>
        <v>62</v>
      </c>
      <c r="B64" s="24">
        <v>5628</v>
      </c>
      <c r="C64" s="10" t="str">
        <f>VLOOKUP(B:B,재고차이!A:B,2,0)</f>
        <v>MO5628</v>
      </c>
      <c r="D64" s="10" t="str">
        <f>VLOOKUP(C:C,재고차이!B:C,2,0)</f>
        <v>몬스터 에너지 제로슈거 355CAN 4X6</v>
      </c>
      <c r="E64" s="10"/>
      <c r="F64" s="10"/>
      <c r="G64" s="10">
        <v>89</v>
      </c>
      <c r="H64" s="10"/>
      <c r="I64" s="199">
        <v>46513</v>
      </c>
      <c r="J64" s="199"/>
      <c r="K64" s="20">
        <f t="shared" ref="K64:K87" ca="1" si="63">+P64</f>
        <v>-42.5</v>
      </c>
      <c r="L64" s="95">
        <f>IF(I64="","",SUMIF(제품등록!B:B,'믹스(잔량실사표)'!C:C,제품등록!F:F))</f>
        <v>730</v>
      </c>
      <c r="M64" s="11">
        <f t="shared" ref="M64:M87" si="64">IF(I64=0,"",I64-L64)</f>
        <v>45783</v>
      </c>
      <c r="N64" s="18">
        <f t="shared" ref="N64:N87" si="65">IF(M64="","",L64*상미75)</f>
        <v>182.5</v>
      </c>
      <c r="O64" s="19">
        <f t="shared" ref="O64:O87" si="66">IF(N64="","",M64+N64)</f>
        <v>45965.5</v>
      </c>
      <c r="P64" s="17">
        <f t="shared" ref="P64:P87" ca="1" si="67">IF(O64="","",O64-$I$1)</f>
        <v>-42.5</v>
      </c>
    </row>
    <row r="65" spans="1:16" x14ac:dyDescent="0.3">
      <c r="A65" s="10">
        <f t="shared" si="62"/>
        <v>63</v>
      </c>
      <c r="B65" s="24">
        <v>5662</v>
      </c>
      <c r="C65" s="10" t="str">
        <f>VLOOKUP(B:B,재고차이!A:B,2,0)</f>
        <v>MO5662</v>
      </c>
      <c r="D65" s="10" t="str">
        <f>VLOOKUP(C:C,재고차이!B:C,2,0)</f>
        <v>몬스터 에너지 선라이즈 355CAN 4X6</v>
      </c>
      <c r="E65" s="10"/>
      <c r="F65" s="10"/>
      <c r="G65" s="10">
        <v>33</v>
      </c>
      <c r="H65" s="10"/>
      <c r="I65" s="199">
        <v>46478</v>
      </c>
      <c r="J65" s="199"/>
      <c r="K65" s="20">
        <f t="shared" ca="1" si="63"/>
        <v>-77.5</v>
      </c>
      <c r="L65" s="95">
        <f>IF(I65="","",SUMIF(제품등록!B:B,'믹스(잔량실사표)'!C:C,제품등록!F:F))</f>
        <v>730</v>
      </c>
      <c r="M65" s="11">
        <f t="shared" si="64"/>
        <v>45748</v>
      </c>
      <c r="N65" s="18">
        <f t="shared" si="65"/>
        <v>182.5</v>
      </c>
      <c r="O65" s="19">
        <f t="shared" si="66"/>
        <v>45930.5</v>
      </c>
      <c r="P65" s="17">
        <f t="shared" ca="1" si="67"/>
        <v>-77.5</v>
      </c>
    </row>
    <row r="66" spans="1:16" x14ac:dyDescent="0.3">
      <c r="A66" s="10">
        <f t="shared" si="62"/>
        <v>64</v>
      </c>
      <c r="B66" s="24">
        <v>5664</v>
      </c>
      <c r="C66" s="10" t="str">
        <f>VLOOKUP(B:B,재고차이!A:B,2,0)</f>
        <v>MO5664</v>
      </c>
      <c r="D66" s="10" t="str">
        <f>VLOOKUP(C:C,재고차이!B:C,2,0)</f>
        <v>몬스터 에너지 피치킨 355CAN 4X6</v>
      </c>
      <c r="E66" s="10"/>
      <c r="F66" s="10"/>
      <c r="G66" s="10">
        <v>36</v>
      </c>
      <c r="H66" s="10"/>
      <c r="I66" s="199">
        <v>46471</v>
      </c>
      <c r="J66" s="199"/>
      <c r="K66" s="20">
        <f t="shared" ca="1" si="63"/>
        <v>-84.5</v>
      </c>
      <c r="L66" s="95">
        <f>IF(I66="","",SUMIF(제품등록!B:B,'믹스(잔량실사표)'!C:C,제품등록!F:F))</f>
        <v>730</v>
      </c>
      <c r="M66" s="11">
        <f t="shared" si="64"/>
        <v>45741</v>
      </c>
      <c r="N66" s="18">
        <f t="shared" si="65"/>
        <v>182.5</v>
      </c>
      <c r="O66" s="19">
        <f t="shared" si="66"/>
        <v>45923.5</v>
      </c>
      <c r="P66" s="17">
        <f t="shared" ca="1" si="67"/>
        <v>-84.5</v>
      </c>
    </row>
    <row r="67" spans="1:16" x14ac:dyDescent="0.3">
      <c r="A67" s="10">
        <f t="shared" si="62"/>
        <v>65</v>
      </c>
      <c r="B67" s="24">
        <v>5668</v>
      </c>
      <c r="C67" s="10" t="str">
        <f>VLOOKUP(B:B,재고차이!A:B,2,0)</f>
        <v>MO5668</v>
      </c>
      <c r="D67" s="10" t="str">
        <f>VLOOKUP(C:C,재고차이!B:C,2,0)</f>
        <v>몬스터 오지 레모네이드 355CAN 4X6</v>
      </c>
      <c r="E67" s="10"/>
      <c r="F67" s="10"/>
      <c r="G67" s="10">
        <v>34</v>
      </c>
      <c r="H67" s="10"/>
      <c r="I67" s="199">
        <v>46515</v>
      </c>
      <c r="J67" s="199"/>
      <c r="K67" s="20">
        <f t="shared" ca="1" si="63"/>
        <v>-40.5</v>
      </c>
      <c r="L67" s="95">
        <f>IF(I67="","",SUMIF(제품등록!B:B,'믹스(잔량실사표)'!C:C,제품등록!F:F))</f>
        <v>730</v>
      </c>
      <c r="M67" s="11">
        <f t="shared" si="64"/>
        <v>45785</v>
      </c>
      <c r="N67" s="18">
        <f t="shared" si="65"/>
        <v>182.5</v>
      </c>
      <c r="O67" s="19">
        <f t="shared" si="66"/>
        <v>45967.5</v>
      </c>
      <c r="P67" s="17">
        <f t="shared" ca="1" si="67"/>
        <v>-40.5</v>
      </c>
    </row>
    <row r="68" spans="1:16" x14ac:dyDescent="0.3">
      <c r="A68" s="10">
        <f t="shared" si="62"/>
        <v>66</v>
      </c>
      <c r="B68" s="24">
        <v>5676</v>
      </c>
      <c r="C68" s="10" t="str">
        <f>VLOOKUP(B:B,재고차이!A:B,2,0)</f>
        <v>MO5676</v>
      </c>
      <c r="D68" s="10" t="str">
        <f>VLOOKUP(C:C,재고차이!B:C,2,0)</f>
        <v>S)몬스터 스트로베리 드림즈 355CAN 4X6</v>
      </c>
      <c r="E68" s="10"/>
      <c r="F68" s="10"/>
      <c r="G68" s="10">
        <v>23</v>
      </c>
      <c r="H68" s="10"/>
      <c r="I68" s="199">
        <v>46487</v>
      </c>
      <c r="J68" s="199"/>
      <c r="K68" s="20">
        <f t="shared" ca="1" si="63"/>
        <v>-68.5</v>
      </c>
      <c r="L68" s="95">
        <f>IF(I68="","",SUMIF(제품등록!B:B,'믹스(잔량실사표)'!C:C,제품등록!F:F))</f>
        <v>730</v>
      </c>
      <c r="M68" s="11">
        <f t="shared" si="64"/>
        <v>45757</v>
      </c>
      <c r="N68" s="18">
        <f t="shared" si="65"/>
        <v>182.5</v>
      </c>
      <c r="O68" s="19">
        <f t="shared" si="66"/>
        <v>45939.5</v>
      </c>
      <c r="P68" s="17">
        <f t="shared" ca="1" si="67"/>
        <v>-68.5</v>
      </c>
    </row>
    <row r="69" spans="1:16" x14ac:dyDescent="0.3">
      <c r="A69" s="10">
        <f t="shared" si="62"/>
        <v>67</v>
      </c>
      <c r="B69" s="24">
        <v>5679</v>
      </c>
      <c r="C69" s="10" t="str">
        <f>VLOOKUP(B:B,재고차이!A:B,2,0)</f>
        <v>MO5679</v>
      </c>
      <c r="D69" s="10" t="str">
        <f>VLOOKUP(C:C,재고차이!B:C,2,0)</f>
        <v>S)몬스터 에너지 파피용 355CAN 4X6</v>
      </c>
      <c r="E69" s="10"/>
      <c r="F69" s="10"/>
      <c r="G69" s="10">
        <v>27</v>
      </c>
      <c r="H69" s="10"/>
      <c r="I69" s="199">
        <v>46522</v>
      </c>
      <c r="J69" s="199"/>
      <c r="K69" s="20">
        <f t="shared" ca="1" si="63"/>
        <v>-33.5</v>
      </c>
      <c r="L69" s="95">
        <f>IF(I69="","",SUMIF(제품등록!B:B,'믹스(잔량실사표)'!C:C,제품등록!F:F))</f>
        <v>730</v>
      </c>
      <c r="M69" s="11">
        <f t="shared" si="64"/>
        <v>45792</v>
      </c>
      <c r="N69" s="18">
        <f t="shared" si="65"/>
        <v>182.5</v>
      </c>
      <c r="O69" s="19">
        <f t="shared" si="66"/>
        <v>45974.5</v>
      </c>
      <c r="P69" s="17">
        <f t="shared" ca="1" si="67"/>
        <v>-33.5</v>
      </c>
    </row>
    <row r="70" spans="1:16" x14ac:dyDescent="0.3">
      <c r="A70" s="10">
        <f t="shared" si="62"/>
        <v>68</v>
      </c>
      <c r="B70" s="24">
        <v>5672</v>
      </c>
      <c r="C70" s="10" t="str">
        <f>VLOOKUP(B:B,재고차이!A:B,2,0)</f>
        <v>MO5672</v>
      </c>
      <c r="D70" s="10" t="str">
        <f>VLOOKUP(C:C,재고차이!B:C,2,0)</f>
        <v>몬스터 에너지 그린 500CAN 4X6</v>
      </c>
      <c r="E70" s="10"/>
      <c r="F70" s="10"/>
      <c r="G70" s="10">
        <v>42</v>
      </c>
      <c r="H70" s="10"/>
      <c r="I70" s="199">
        <v>46484</v>
      </c>
      <c r="J70" s="199"/>
      <c r="K70" s="20">
        <f t="shared" ca="1" si="63"/>
        <v>-71.5</v>
      </c>
      <c r="L70" s="95">
        <f>IF(I70="","",SUMIF(제품등록!B:B,'믹스(잔량실사표)'!C:C,제품등록!F:F))</f>
        <v>730</v>
      </c>
      <c r="M70" s="11">
        <f t="shared" si="64"/>
        <v>45754</v>
      </c>
      <c r="N70" s="18">
        <f t="shared" si="65"/>
        <v>182.5</v>
      </c>
      <c r="O70" s="19">
        <f t="shared" si="66"/>
        <v>45936.5</v>
      </c>
      <c r="P70" s="17">
        <f t="shared" ca="1" si="67"/>
        <v>-71.5</v>
      </c>
    </row>
    <row r="71" spans="1:16" x14ac:dyDescent="0.3">
      <c r="A71" s="10">
        <f t="shared" si="62"/>
        <v>69</v>
      </c>
      <c r="B71" s="24">
        <v>5673</v>
      </c>
      <c r="C71" s="10" t="str">
        <f>VLOOKUP(B:B,재고차이!A:B,2,0)</f>
        <v>MO5673</v>
      </c>
      <c r="D71" s="10" t="str">
        <f>VLOOKUP(C:C,재고차이!B:C,2,0)</f>
        <v>몬스터 에너지 울트라 500CAN 4X6</v>
      </c>
      <c r="E71" s="10"/>
      <c r="F71" s="10"/>
      <c r="G71" s="10">
        <v>60</v>
      </c>
      <c r="H71" s="10"/>
      <c r="I71" s="199">
        <v>46485</v>
      </c>
      <c r="J71" s="199"/>
      <c r="K71" s="20">
        <f t="shared" ca="1" si="63"/>
        <v>-70.5</v>
      </c>
      <c r="L71" s="95">
        <f>IF(I71="","",SUMIF(제품등록!B:B,'믹스(잔량실사표)'!C:C,제품등록!F:F))</f>
        <v>730</v>
      </c>
      <c r="M71" s="11">
        <f t="shared" si="64"/>
        <v>45755</v>
      </c>
      <c r="N71" s="18">
        <f t="shared" si="65"/>
        <v>182.5</v>
      </c>
      <c r="O71" s="19">
        <f t="shared" si="66"/>
        <v>45937.5</v>
      </c>
      <c r="P71" s="17">
        <f t="shared" ca="1" si="67"/>
        <v>-70.5</v>
      </c>
    </row>
    <row r="72" spans="1:16" x14ac:dyDescent="0.3">
      <c r="A72" s="10">
        <f t="shared" si="62"/>
        <v>70</v>
      </c>
      <c r="B72" s="24">
        <v>5769</v>
      </c>
      <c r="C72" s="10" t="str">
        <f>VLOOKUP(B:B,재고차이!A:B,2,0)</f>
        <v>CC5769</v>
      </c>
      <c r="D72" s="10" t="str">
        <f>VLOOKUP(C:C,재고차이!B:C,2,0)</f>
        <v>코크제로 제로 350CAN 4X6</v>
      </c>
      <c r="E72" s="10"/>
      <c r="F72" s="10"/>
      <c r="G72" s="10">
        <v>50</v>
      </c>
      <c r="H72" s="10"/>
      <c r="I72" s="199">
        <v>46341</v>
      </c>
      <c r="J72" s="199"/>
      <c r="K72" s="20">
        <f t="shared" ca="1" si="63"/>
        <v>-78</v>
      </c>
      <c r="L72" s="95">
        <f>IF(I72="","",SUMIF(제품등록!B:B,'믹스(잔량실사표)'!C:C,제품등록!F:F))</f>
        <v>548</v>
      </c>
      <c r="M72" s="11">
        <f t="shared" si="64"/>
        <v>45793</v>
      </c>
      <c r="N72" s="18">
        <f t="shared" si="65"/>
        <v>137</v>
      </c>
      <c r="O72" s="19">
        <f t="shared" si="66"/>
        <v>45930</v>
      </c>
      <c r="P72" s="17">
        <f t="shared" ca="1" si="67"/>
        <v>-78</v>
      </c>
    </row>
    <row r="73" spans="1:16" x14ac:dyDescent="0.3">
      <c r="A73" s="10">
        <f t="shared" si="62"/>
        <v>71</v>
      </c>
      <c r="B73" s="24">
        <v>6120</v>
      </c>
      <c r="C73" s="10" t="str">
        <f>VLOOKUP(B:B,재고차이!A:B,2,0)</f>
        <v>SP6120</v>
      </c>
      <c r="D73" s="10" t="str">
        <f>VLOOKUP(C:C,재고차이!B:C,2,0)</f>
        <v>S스프라이트(신1.5P 2X6</v>
      </c>
      <c r="E73" s="10"/>
      <c r="F73" s="10"/>
      <c r="G73" s="10">
        <v>10</v>
      </c>
      <c r="H73" s="10"/>
      <c r="I73" s="199">
        <v>46182</v>
      </c>
      <c r="J73" s="199"/>
      <c r="K73" s="20">
        <f t="shared" ca="1" si="63"/>
        <v>-99.75</v>
      </c>
      <c r="L73" s="95">
        <f>IF(I73="","",SUMIF(제품등록!B:B,'믹스(잔량실사표)'!C:C,제품등록!F:F))</f>
        <v>365</v>
      </c>
      <c r="M73" s="11">
        <f t="shared" si="64"/>
        <v>45817</v>
      </c>
      <c r="N73" s="18">
        <f t="shared" si="65"/>
        <v>91.25</v>
      </c>
      <c r="O73" s="19">
        <f t="shared" si="66"/>
        <v>45908.25</v>
      </c>
      <c r="P73" s="17">
        <f t="shared" ca="1" si="67"/>
        <v>-99.75</v>
      </c>
    </row>
    <row r="74" spans="1:16" x14ac:dyDescent="0.3">
      <c r="A74" s="10">
        <f t="shared" si="62"/>
        <v>72</v>
      </c>
      <c r="B74" s="24">
        <v>6349</v>
      </c>
      <c r="C74" s="10" t="str">
        <f>VLOOKUP(B:B,재고차이!A:B,2,0)</f>
        <v>FT6349</v>
      </c>
      <c r="D74" s="10" t="str">
        <f>VLOOKUP(C:C,재고차이!B:C,2,0)</f>
        <v>환타오렌지(S) 1.5P 2X6</v>
      </c>
      <c r="E74" s="10"/>
      <c r="F74" s="10"/>
      <c r="G74" s="10">
        <v>5</v>
      </c>
      <c r="H74" s="10"/>
      <c r="I74" s="199">
        <v>46192</v>
      </c>
      <c r="J74" s="199"/>
      <c r="K74" s="20">
        <f t="shared" ca="1" si="63"/>
        <v>-89.75</v>
      </c>
      <c r="L74" s="95">
        <f>IF(I74="","",SUMIF(제품등록!B:B,'믹스(잔량실사표)'!C:C,제품등록!F:F))</f>
        <v>365</v>
      </c>
      <c r="M74" s="11">
        <f t="shared" si="64"/>
        <v>45827</v>
      </c>
      <c r="N74" s="18">
        <f t="shared" si="65"/>
        <v>91.25</v>
      </c>
      <c r="O74" s="19">
        <f t="shared" si="66"/>
        <v>45918.25</v>
      </c>
      <c r="P74" s="17">
        <f t="shared" ca="1" si="67"/>
        <v>-89.75</v>
      </c>
    </row>
    <row r="75" spans="1:16" x14ac:dyDescent="0.3">
      <c r="A75" s="10">
        <f t="shared" si="62"/>
        <v>73</v>
      </c>
      <c r="B75" s="24">
        <v>7923</v>
      </c>
      <c r="C75" s="10" t="str">
        <f>VLOOKUP(B:B,재고차이!A:B,2,0)</f>
        <v>CC7923</v>
      </c>
      <c r="D75" s="10" t="str">
        <f>VLOOKUP(C:C,재고차이!B:C,2,0)</f>
        <v>S)코카-콜라1.5PET 2X6</v>
      </c>
      <c r="E75" s="10"/>
      <c r="F75" s="10"/>
      <c r="G75" s="10">
        <v>14</v>
      </c>
      <c r="H75" s="10"/>
      <c r="I75" s="199">
        <v>46192</v>
      </c>
      <c r="J75" s="199"/>
      <c r="K75" s="20">
        <f t="shared" ca="1" si="63"/>
        <v>-89.75</v>
      </c>
      <c r="L75" s="95">
        <f>IF(I75="","",SUMIF(제품등록!B:B,'믹스(잔량실사표)'!C:C,제품등록!F:F))</f>
        <v>365</v>
      </c>
      <c r="M75" s="11">
        <f t="shared" si="64"/>
        <v>45827</v>
      </c>
      <c r="N75" s="18">
        <f t="shared" si="65"/>
        <v>91.25</v>
      </c>
      <c r="O75" s="19">
        <f t="shared" si="66"/>
        <v>45918.25</v>
      </c>
      <c r="P75" s="17">
        <f t="shared" ca="1" si="67"/>
        <v>-89.75</v>
      </c>
    </row>
    <row r="76" spans="1:16" x14ac:dyDescent="0.3">
      <c r="A76" s="10">
        <f t="shared" si="62"/>
        <v>74</v>
      </c>
      <c r="B76" s="24">
        <v>5200</v>
      </c>
      <c r="C76" s="10" t="str">
        <f>VLOOKUP(B:B,재고차이!A:B,2,0)</f>
        <v>CC5200</v>
      </c>
      <c r="D76" s="10" t="str">
        <f>VLOOKUP(C:C,재고차이!B:C,2,0)</f>
        <v>코카콜라 900PET 2X6</v>
      </c>
      <c r="E76" s="10"/>
      <c r="F76" s="10"/>
      <c r="G76" s="10">
        <v>49</v>
      </c>
      <c r="H76" s="10"/>
      <c r="I76" s="199">
        <v>46126</v>
      </c>
      <c r="J76" s="199"/>
      <c r="K76" s="20">
        <f t="shared" ca="1" si="63"/>
        <v>-155.75</v>
      </c>
      <c r="L76" s="95">
        <f>IF(I76="","",SUMIF(제품등록!B:B,'믹스(잔량실사표)'!C:C,제품등록!F:F))</f>
        <v>365</v>
      </c>
      <c r="M76" s="11">
        <f t="shared" si="64"/>
        <v>45761</v>
      </c>
      <c r="N76" s="18">
        <f t="shared" si="65"/>
        <v>91.25</v>
      </c>
      <c r="O76" s="19">
        <f t="shared" si="66"/>
        <v>45852.25</v>
      </c>
      <c r="P76" s="17">
        <f t="shared" ca="1" si="67"/>
        <v>-155.75</v>
      </c>
    </row>
    <row r="77" spans="1:16" x14ac:dyDescent="0.3">
      <c r="A77" s="10">
        <f t="shared" si="62"/>
        <v>75</v>
      </c>
      <c r="B77" s="24">
        <v>8429</v>
      </c>
      <c r="C77" s="10" t="str">
        <f>VLOOKUP(B:B,재고차이!A:B,2,0)</f>
        <v>CC8429</v>
      </c>
      <c r="D77" s="10" t="str">
        <f>VLOOKUP(C:C,재고차이!B:C,2,0)</f>
        <v>코크제로 1.5PET 2X6</v>
      </c>
      <c r="E77" s="10"/>
      <c r="F77" s="10"/>
      <c r="G77" s="10">
        <v>8</v>
      </c>
      <c r="H77" s="10"/>
      <c r="I77" s="199">
        <v>46103</v>
      </c>
      <c r="J77" s="199"/>
      <c r="K77" s="20">
        <f t="shared" ref="K77" ca="1" si="68">+P77</f>
        <v>-109.75</v>
      </c>
      <c r="L77" s="95">
        <f>IF(I77="","",SUMIF(제품등록!B:B,'믹스(잔량실사표)'!C:C,제품등록!F:F))</f>
        <v>273</v>
      </c>
      <c r="M77" s="11">
        <f t="shared" ref="M77" si="69">IF(I77=0,"",I77-L77)</f>
        <v>45830</v>
      </c>
      <c r="N77" s="18">
        <f t="shared" ref="N77" si="70">IF(M77="","",L77*상미75)</f>
        <v>68.25</v>
      </c>
      <c r="O77" s="19">
        <f t="shared" ref="O77" si="71">IF(N77="","",M77+N77)</f>
        <v>45898.25</v>
      </c>
      <c r="P77" s="17">
        <f t="shared" ref="P77" ca="1" si="72">IF(O77="","",O77-$I$1)</f>
        <v>-109.75</v>
      </c>
    </row>
    <row r="78" spans="1:16" x14ac:dyDescent="0.3">
      <c r="A78" s="10">
        <f t="shared" si="62"/>
        <v>76</v>
      </c>
      <c r="B78" s="24">
        <v>6676</v>
      </c>
      <c r="C78" s="10" t="str">
        <f>VLOOKUP(B:B,재고차이!A:B,2,0)</f>
        <v>CC6676</v>
      </c>
      <c r="D78" s="10" t="str">
        <f>VLOOKUP(C:C,재고차이!B:C,2,0)</f>
        <v>S)코카콜라 500PET 4X6</v>
      </c>
      <c r="E78" s="10"/>
      <c r="F78" s="10"/>
      <c r="G78" s="10">
        <v>57</v>
      </c>
      <c r="H78" s="10"/>
      <c r="I78" s="199">
        <v>46198</v>
      </c>
      <c r="J78" s="199"/>
      <c r="K78" s="20">
        <f t="shared" ca="1" si="63"/>
        <v>-83.75</v>
      </c>
      <c r="L78" s="95">
        <f>IF(I78="","",SUMIF(제품등록!B:B,'믹스(잔량실사표)'!C:C,제품등록!F:F))</f>
        <v>365</v>
      </c>
      <c r="M78" s="11">
        <f t="shared" si="64"/>
        <v>45833</v>
      </c>
      <c r="N78" s="18">
        <f t="shared" si="65"/>
        <v>91.25</v>
      </c>
      <c r="O78" s="19">
        <f t="shared" si="66"/>
        <v>45924.25</v>
      </c>
      <c r="P78" s="17">
        <f t="shared" ca="1" si="67"/>
        <v>-83.75</v>
      </c>
    </row>
    <row r="79" spans="1:16" x14ac:dyDescent="0.3">
      <c r="A79" s="10">
        <f t="shared" si="62"/>
        <v>77</v>
      </c>
      <c r="B79" s="24">
        <v>4432</v>
      </c>
      <c r="C79" s="10" t="str">
        <f>VLOOKUP(B:B,재고차이!A:B,2,0)</f>
        <v>CC4432</v>
      </c>
      <c r="D79" s="10" t="str">
        <f>VLOOKUP(C:C,재고차이!B:C,2,0)</f>
        <v>S)코크제로 500PET 4X6</v>
      </c>
      <c r="E79" s="10"/>
      <c r="F79" s="10"/>
      <c r="G79" s="10">
        <v>44</v>
      </c>
      <c r="H79" s="10"/>
      <c r="I79" s="199">
        <v>46106</v>
      </c>
      <c r="J79" s="199"/>
      <c r="K79" s="20">
        <f t="shared" ca="1" si="63"/>
        <v>-106.75</v>
      </c>
      <c r="L79" s="95">
        <f>IF(I79="","",SUMIF(제품등록!B:B,'믹스(잔량실사표)'!C:C,제품등록!F:F))</f>
        <v>273</v>
      </c>
      <c r="M79" s="11">
        <f t="shared" si="64"/>
        <v>45833</v>
      </c>
      <c r="N79" s="18">
        <f t="shared" si="65"/>
        <v>68.25</v>
      </c>
      <c r="O79" s="19">
        <f t="shared" si="66"/>
        <v>45901.25</v>
      </c>
      <c r="P79" s="17">
        <f t="shared" ca="1" si="67"/>
        <v>-106.75</v>
      </c>
    </row>
    <row r="80" spans="1:16" x14ac:dyDescent="0.3">
      <c r="A80" s="10">
        <f t="shared" si="62"/>
        <v>78</v>
      </c>
      <c r="B80" s="24">
        <v>455</v>
      </c>
      <c r="C80" s="10" t="str">
        <f>VLOOKUP(B:B,재고차이!A:B,2,0)</f>
        <v>CC0455</v>
      </c>
      <c r="D80" s="10" t="str">
        <f>VLOOKUP(C:C,재고차이!B:C,2,0)</f>
        <v>코크제로 레몬 500PET 4X6</v>
      </c>
      <c r="E80" s="10"/>
      <c r="F80" s="10"/>
      <c r="G80" s="10">
        <v>18</v>
      </c>
      <c r="H80" s="10"/>
      <c r="I80" s="199">
        <v>46171</v>
      </c>
      <c r="J80" s="199"/>
      <c r="K80" s="20">
        <f t="shared" ref="K80" ca="1" si="73">+P80</f>
        <v>-110.75</v>
      </c>
      <c r="L80" s="95">
        <f>IF(I80="","",SUMIF(제품등록!B:B,'믹스(잔량실사표)'!C:C,제품등록!F:F))</f>
        <v>365</v>
      </c>
      <c r="M80" s="11">
        <f t="shared" ref="M80" si="74">IF(I80=0,"",I80-L80)</f>
        <v>45806</v>
      </c>
      <c r="N80" s="18">
        <f t="shared" ref="N80" si="75">IF(M80="","",L80*상미75)</f>
        <v>91.25</v>
      </c>
      <c r="O80" s="19">
        <f t="shared" ref="O80" si="76">IF(N80="","",M80+N80)</f>
        <v>45897.25</v>
      </c>
      <c r="P80" s="17">
        <f t="shared" ref="P80" ca="1" si="77">IF(O80="","",O80-$I$1)</f>
        <v>-110.75</v>
      </c>
    </row>
    <row r="81" spans="1:16" x14ac:dyDescent="0.3">
      <c r="A81" s="10">
        <f t="shared" si="62"/>
        <v>79</v>
      </c>
      <c r="B81" s="24">
        <v>5201</v>
      </c>
      <c r="C81" s="10" t="str">
        <f>VLOOKUP(B:B,재고차이!A:B,2,0)</f>
        <v>CC5201</v>
      </c>
      <c r="D81" s="10" t="str">
        <f>VLOOKUP(C:C,재고차이!B:C,2,0)</f>
        <v>S)코크제로 제로 500PET 4X6</v>
      </c>
      <c r="E81" s="10"/>
      <c r="F81" s="10"/>
      <c r="G81" s="10">
        <v>18</v>
      </c>
      <c r="H81" s="10"/>
      <c r="I81" s="199">
        <v>46197</v>
      </c>
      <c r="J81" s="199"/>
      <c r="K81" s="20">
        <f t="shared" ca="1" si="63"/>
        <v>-84.75</v>
      </c>
      <c r="L81" s="95">
        <f>IF(I81="","",SUMIF(제품등록!B:B,'믹스(잔량실사표)'!C:C,제품등록!F:F))</f>
        <v>365</v>
      </c>
      <c r="M81" s="11">
        <f t="shared" si="64"/>
        <v>45832</v>
      </c>
      <c r="N81" s="18">
        <f t="shared" si="65"/>
        <v>91.25</v>
      </c>
      <c r="O81" s="19">
        <f t="shared" si="66"/>
        <v>45923.25</v>
      </c>
      <c r="P81" s="17">
        <f t="shared" ca="1" si="67"/>
        <v>-84.75</v>
      </c>
    </row>
    <row r="82" spans="1:16" x14ac:dyDescent="0.3">
      <c r="A82" s="10">
        <f t="shared" si="62"/>
        <v>80</v>
      </c>
      <c r="B82" s="24">
        <v>6117</v>
      </c>
      <c r="C82" s="10" t="str">
        <f>VLOOKUP(B:B,재고차이!A:B,2,0)</f>
        <v>SP6117</v>
      </c>
      <c r="D82" s="10" t="str">
        <f>VLOOKUP(C:C,재고차이!B:C,2,0)</f>
        <v>스프라이트(신500P 4X6</v>
      </c>
      <c r="E82" s="10"/>
      <c r="F82" s="10"/>
      <c r="G82" s="10">
        <v>22</v>
      </c>
      <c r="H82" s="10"/>
      <c r="I82" s="199">
        <v>46195</v>
      </c>
      <c r="J82" s="199"/>
      <c r="K82" s="20">
        <f t="shared" ca="1" si="63"/>
        <v>-86.75</v>
      </c>
      <c r="L82" s="95">
        <f>IF(I82="","",SUMIF(제품등록!B:B,'믹스(잔량실사표)'!C:C,제품등록!F:F))</f>
        <v>365</v>
      </c>
      <c r="M82" s="11">
        <f t="shared" si="64"/>
        <v>45830</v>
      </c>
      <c r="N82" s="18">
        <f t="shared" si="65"/>
        <v>91.25</v>
      </c>
      <c r="O82" s="19">
        <f t="shared" si="66"/>
        <v>45921.25</v>
      </c>
      <c r="P82" s="17">
        <f t="shared" ca="1" si="67"/>
        <v>-86.75</v>
      </c>
    </row>
    <row r="83" spans="1:16" x14ac:dyDescent="0.3">
      <c r="A83" s="10">
        <f t="shared" si="62"/>
        <v>81</v>
      </c>
      <c r="B83" s="24">
        <v>6103</v>
      </c>
      <c r="C83" s="10" t="str">
        <f>VLOOKUP(B:B,재고차이!A:B,2,0)</f>
        <v>SP6103</v>
      </c>
      <c r="D83" s="10" t="str">
        <f>VLOOKUP(C:C,재고차이!B:C,2,0)</f>
        <v>S)스프라이트 제로 500PET 4X6</v>
      </c>
      <c r="E83" s="10"/>
      <c r="F83" s="10"/>
      <c r="G83" s="10">
        <v>51</v>
      </c>
      <c r="H83" s="10"/>
      <c r="I83" s="199">
        <v>46099</v>
      </c>
      <c r="J83" s="199"/>
      <c r="K83" s="20">
        <f t="shared" ca="1" si="63"/>
        <v>-113.75</v>
      </c>
      <c r="L83" s="95">
        <f>IF(I83="","",SUMIF(제품등록!B:B,'믹스(잔량실사표)'!C:C,제품등록!F:F))</f>
        <v>273</v>
      </c>
      <c r="M83" s="11">
        <f t="shared" si="64"/>
        <v>45826</v>
      </c>
      <c r="N83" s="18">
        <f t="shared" si="65"/>
        <v>68.25</v>
      </c>
      <c r="O83" s="19">
        <f t="shared" si="66"/>
        <v>45894.25</v>
      </c>
      <c r="P83" s="17">
        <f t="shared" ca="1" si="67"/>
        <v>-113.75</v>
      </c>
    </row>
    <row r="84" spans="1:16" ht="18" customHeight="1" x14ac:dyDescent="0.3">
      <c r="A84" s="10">
        <f t="shared" si="62"/>
        <v>82</v>
      </c>
      <c r="B84" s="24">
        <v>7988</v>
      </c>
      <c r="C84" s="10" t="str">
        <f>VLOOKUP(B:B,재고차이!A:B,2,0)</f>
        <v>DP7988</v>
      </c>
      <c r="D84" s="10" t="str">
        <f>VLOOKUP(C:C,재고차이!B:C,2,0)</f>
        <v>닥터페퍼 500PET 4X6</v>
      </c>
      <c r="E84" s="10"/>
      <c r="F84" s="10"/>
      <c r="G84" s="10">
        <v>28</v>
      </c>
      <c r="H84" s="10"/>
      <c r="I84" s="199">
        <v>46181</v>
      </c>
      <c r="J84" s="199"/>
      <c r="K84" s="20">
        <f t="shared" ca="1" si="63"/>
        <v>-100.75</v>
      </c>
      <c r="L84" s="95">
        <f>IF(I84="","",SUMIF(제품등록!B:B,'믹스(잔량실사표)'!C:C,제품등록!F:F))</f>
        <v>365</v>
      </c>
      <c r="M84" s="11">
        <f t="shared" si="64"/>
        <v>45816</v>
      </c>
      <c r="N84" s="18">
        <f t="shared" si="65"/>
        <v>91.25</v>
      </c>
      <c r="O84" s="19">
        <f t="shared" si="66"/>
        <v>45907.25</v>
      </c>
      <c r="P84" s="17">
        <f t="shared" ca="1" si="67"/>
        <v>-100.75</v>
      </c>
    </row>
    <row r="85" spans="1:16" x14ac:dyDescent="0.3">
      <c r="A85" s="10">
        <f t="shared" si="62"/>
        <v>83</v>
      </c>
      <c r="B85" s="24">
        <v>5782</v>
      </c>
      <c r="C85" s="10" t="str">
        <f>VLOOKUP(B:B,재고차이!A:B,2,0)</f>
        <v>CC5782</v>
      </c>
      <c r="D85" s="10" t="str">
        <f>VLOOKUP(C:C,재고차이!B:C,2,0)</f>
        <v>코크제로 체리 500PET 4X6</v>
      </c>
      <c r="E85" s="10"/>
      <c r="F85" s="10"/>
      <c r="G85" s="10">
        <v>14</v>
      </c>
      <c r="H85" s="10"/>
      <c r="I85" s="199">
        <v>46183</v>
      </c>
      <c r="J85" s="199"/>
      <c r="K85" s="20">
        <f t="shared" ca="1" si="63"/>
        <v>-98.75</v>
      </c>
      <c r="L85" s="95">
        <f>IF(I85="","",SUMIF(제품등록!B:B,'믹스(잔량실사표)'!C:C,제품등록!F:F))</f>
        <v>365</v>
      </c>
      <c r="M85" s="11">
        <f t="shared" si="64"/>
        <v>45818</v>
      </c>
      <c r="N85" s="18">
        <f t="shared" si="65"/>
        <v>91.25</v>
      </c>
      <c r="O85" s="19">
        <f t="shared" si="66"/>
        <v>45909.25</v>
      </c>
      <c r="P85" s="17">
        <f t="shared" ca="1" si="67"/>
        <v>-98.75</v>
      </c>
    </row>
    <row r="86" spans="1:16" x14ac:dyDescent="0.3">
      <c r="A86" s="10">
        <f t="shared" si="62"/>
        <v>84</v>
      </c>
      <c r="B86" s="10">
        <v>5748</v>
      </c>
      <c r="C86" s="10" t="str">
        <f>VLOOKUP(B:B,재고차이!A:B,2,0)</f>
        <v>FT5748</v>
      </c>
      <c r="D86" s="10" t="str">
        <f>VLOOKUP(C:C,재고차이!B:C,2,0)</f>
        <v>환타오렌지(S) 600P 4X6</v>
      </c>
      <c r="E86" s="10"/>
      <c r="F86" s="10"/>
      <c r="G86" s="10">
        <v>29</v>
      </c>
      <c r="H86" s="10"/>
      <c r="I86" s="199">
        <v>46157</v>
      </c>
      <c r="J86" s="199"/>
      <c r="K86" s="20">
        <f t="shared" ca="1" si="63"/>
        <v>-124.75</v>
      </c>
      <c r="L86" s="95">
        <f>IF(I86="","",SUMIF(제품등록!B:B,'믹스(잔량실사표)'!C:C,제품등록!F:F))</f>
        <v>365</v>
      </c>
      <c r="M86" s="11">
        <f t="shared" si="64"/>
        <v>45792</v>
      </c>
      <c r="N86" s="18">
        <f t="shared" si="65"/>
        <v>91.25</v>
      </c>
      <c r="O86" s="19">
        <f t="shared" si="66"/>
        <v>45883.25</v>
      </c>
      <c r="P86" s="17">
        <f t="shared" ca="1" si="67"/>
        <v>-124.75</v>
      </c>
    </row>
    <row r="87" spans="1:16" x14ac:dyDescent="0.3">
      <c r="A87" s="10">
        <f t="shared" si="62"/>
        <v>85</v>
      </c>
      <c r="B87" s="10">
        <v>5749</v>
      </c>
      <c r="C87" s="10" t="str">
        <f>VLOOKUP(B:B,재고차이!A:B,2,0)</f>
        <v>FT5749</v>
      </c>
      <c r="D87" s="10" t="str">
        <f>VLOOKUP(C:C,재고차이!B:C,2,0)</f>
        <v>S)환타 파인 600PET 4X6</v>
      </c>
      <c r="E87" s="10"/>
      <c r="F87" s="10"/>
      <c r="G87" s="10">
        <v>30</v>
      </c>
      <c r="H87" s="10"/>
      <c r="I87" s="199">
        <v>46133</v>
      </c>
      <c r="J87" s="199"/>
      <c r="K87" s="20">
        <f t="shared" ca="1" si="63"/>
        <v>-148.75</v>
      </c>
      <c r="L87" s="95">
        <f>IF(I87="","",SUMIF(제품등록!B:B,'믹스(잔량실사표)'!C:C,제품등록!F:F))</f>
        <v>365</v>
      </c>
      <c r="M87" s="11">
        <f t="shared" si="64"/>
        <v>45768</v>
      </c>
      <c r="N87" s="18">
        <f t="shared" si="65"/>
        <v>91.25</v>
      </c>
      <c r="O87" s="19">
        <f t="shared" si="66"/>
        <v>45859.25</v>
      </c>
      <c r="P87" s="17">
        <f t="shared" ca="1" si="67"/>
        <v>-148.75</v>
      </c>
    </row>
    <row r="88" spans="1:16" x14ac:dyDescent="0.3">
      <c r="A88" s="10">
        <f t="shared" si="62"/>
        <v>86</v>
      </c>
      <c r="B88" s="10">
        <v>4183</v>
      </c>
      <c r="C88" s="10" t="str">
        <f>VLOOKUP(B:B,재고차이!A:B,2,0)</f>
        <v>FT4183</v>
      </c>
      <c r="D88" s="10" t="str">
        <f>VLOOKUP(C:C,재고차이!B:C,2,0)</f>
        <v>S)환타 멜론 600PET 4X6</v>
      </c>
      <c r="E88" s="10"/>
      <c r="F88" s="10"/>
      <c r="G88" s="10">
        <v>31</v>
      </c>
      <c r="H88" s="10"/>
      <c r="I88" s="199">
        <v>46196</v>
      </c>
      <c r="J88" s="199"/>
      <c r="K88" s="20">
        <f t="shared" ref="K88" ca="1" si="78">+P88</f>
        <v>-85.75</v>
      </c>
      <c r="L88" s="95">
        <f>IF(I88="","",SUMIF(제품등록!B:B,'믹스(잔량실사표)'!C:C,제품등록!F:F))</f>
        <v>365</v>
      </c>
      <c r="M88" s="11">
        <f t="shared" ref="M88" si="79">IF(I88=0,"",I88-L88)</f>
        <v>45831</v>
      </c>
      <c r="N88" s="18">
        <f t="shared" ref="N88" si="80">IF(M88="","",L88*상미75)</f>
        <v>91.25</v>
      </c>
      <c r="O88" s="19">
        <f t="shared" ref="O88" si="81">IF(N88="","",M88+N88)</f>
        <v>45922.25</v>
      </c>
      <c r="P88" s="17">
        <f t="shared" ref="P88" ca="1" si="82">IF(O88="","",O88-$I$1)</f>
        <v>-85.75</v>
      </c>
    </row>
  </sheetData>
  <autoFilter ref="A2:Q88" xr:uid="{00000000-0009-0000-0000-000005000000}">
    <sortState xmlns:xlrd2="http://schemas.microsoft.com/office/spreadsheetml/2017/richdata2" ref="A3:Q94">
      <sortCondition ref="B2"/>
    </sortState>
  </autoFilter>
  <phoneticPr fontId="101" type="noConversion"/>
  <conditionalFormatting sqref="K1:K1048576">
    <cfRule type="cellIs" dxfId="5" priority="1" operator="lessThan">
      <formula>0</formula>
    </cfRule>
  </conditionalFormatting>
  <conditionalFormatting sqref="P3:P88">
    <cfRule type="cellIs" dxfId="4" priority="2" operator="lessThan">
      <formula>0</formula>
    </cfRule>
  </conditionalFormatting>
  <pageMargins left="0.7" right="0.7" top="0.75" bottom="0.75" header="0.3" footer="0.3"/>
  <pageSetup paperSize="9" scale="50" orientation="portrait" r:id="rId1"/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1"/>
    <pageSetUpPr fitToPage="1"/>
  </sheetPr>
  <dimension ref="A1:P96"/>
  <sheetViews>
    <sheetView showZeros="0" zoomScaleNormal="100" workbookViewId="0">
      <pane ySplit="2" topLeftCell="A3" activePane="bottomLeft" state="frozen"/>
      <selection activeCell="D9" sqref="D9"/>
      <selection pane="bottomLeft" activeCell="A3" sqref="A3"/>
    </sheetView>
  </sheetViews>
  <sheetFormatPr defaultColWidth="9" defaultRowHeight="16.5" x14ac:dyDescent="0.3"/>
  <cols>
    <col min="1" max="1" width="11.5" style="5" customWidth="1"/>
    <col min="2" max="2" width="13" style="5" customWidth="1"/>
    <col min="3" max="3" width="40" style="5" customWidth="1"/>
    <col min="4" max="4" width="10.875" style="5" customWidth="1"/>
    <col min="5" max="5" width="25.375" style="5" customWidth="1"/>
    <col min="6" max="6" width="19" style="12" bestFit="1" customWidth="1"/>
    <col min="7" max="7" width="18.75" style="5" customWidth="1"/>
    <col min="8" max="9" width="16.125" style="12" hidden="1" customWidth="1"/>
    <col min="10" max="12" width="8.75"/>
    <col min="13" max="13" width="9" style="5"/>
    <col min="14" max="15" width="9.625" style="5" customWidth="1"/>
    <col min="16" max="16384" width="9" style="5"/>
  </cols>
  <sheetData>
    <row r="1" spans="1:9" ht="14.25" customHeight="1" x14ac:dyDescent="0.3"/>
    <row r="2" spans="1:9" ht="21.75" customHeight="1" x14ac:dyDescent="0.3">
      <c r="A2" s="22" t="s">
        <v>2258</v>
      </c>
      <c r="B2" s="22" t="s">
        <v>2259</v>
      </c>
      <c r="C2" s="22" t="s">
        <v>2260</v>
      </c>
      <c r="D2" s="22" t="s">
        <v>2359</v>
      </c>
      <c r="E2" s="22" t="s">
        <v>2358</v>
      </c>
      <c r="F2" s="23" t="s">
        <v>2356</v>
      </c>
      <c r="G2" s="23" t="s">
        <v>2357</v>
      </c>
      <c r="H2" s="23"/>
      <c r="I2" s="23"/>
    </row>
    <row r="3" spans="1:9" x14ac:dyDescent="0.3">
      <c r="A3" s="10">
        <v>1300</v>
      </c>
      <c r="B3" s="21" t="str">
        <f>VLOOKUP(A3,재고차이!A:B,2,0)</f>
        <v>CC1300</v>
      </c>
      <c r="C3" s="21" t="str">
        <f>VLOOKUP(A3,재고차이!A:C,3,0)</f>
        <v>코카콜라SW 250CAN 5X6</v>
      </c>
      <c r="D3" s="21">
        <f>SUMIF(재고차이!B:B,주간상차!B:B,재고차이!E:E)</f>
        <v>132</v>
      </c>
      <c r="E3" s="26">
        <f>132*5</f>
        <v>660</v>
      </c>
      <c r="F3" s="27">
        <f t="shared" ref="F3:F23" si="0">IF(E3="","",ROUNDDOWN(H3,0))</f>
        <v>5</v>
      </c>
      <c r="G3" s="27">
        <f t="shared" ref="G3:G23" si="1">IF(E3="","",E3-I3)</f>
        <v>0</v>
      </c>
      <c r="H3" s="27">
        <f>IF(E3="","",E3/SUMIF(재고차이!A:A,주간상차!A:A,재고차이!E:E))</f>
        <v>5</v>
      </c>
      <c r="I3" s="27">
        <f t="shared" ref="I3:I23" si="2">IF(E3="","",F3*D3)</f>
        <v>660</v>
      </c>
    </row>
    <row r="4" spans="1:9" x14ac:dyDescent="0.3">
      <c r="A4" s="10">
        <v>5771</v>
      </c>
      <c r="B4" s="21" t="str">
        <f>VLOOKUP(A4,재고차이!A:B,2,0)</f>
        <v>CC5771</v>
      </c>
      <c r="C4" s="21" t="str">
        <f>VLOOKUP(A4,재고차이!A:C,3,0)</f>
        <v>코크제로 제로 250CAN 5X6</v>
      </c>
      <c r="D4" s="21">
        <f>SUMIF(재고차이!B:B,주간상차!B:B,재고차이!E:E)</f>
        <v>132</v>
      </c>
      <c r="E4" s="26"/>
      <c r="F4" s="27" t="str">
        <f>IF(E4="","",ROUNDDOWN(H4,0))</f>
        <v/>
      </c>
      <c r="G4" s="27" t="str">
        <f>IF(E4="","",E4-I4)</f>
        <v/>
      </c>
      <c r="H4" s="27" t="str">
        <f>IF(E4="","",E4/SUMIF(재고차이!A:A,주간상차!A:A,재고차이!E:E))</f>
        <v/>
      </c>
      <c r="I4" s="27" t="str">
        <f>IF(E4="","",F4*D4)</f>
        <v/>
      </c>
    </row>
    <row r="5" spans="1:9" x14ac:dyDescent="0.3">
      <c r="A5" s="24">
        <v>2523</v>
      </c>
      <c r="B5" s="21" t="str">
        <f>VLOOKUP(A5,재고차이!A:B,2,0)</f>
        <v>CC2523</v>
      </c>
      <c r="C5" s="21" t="str">
        <f>VLOOKUP(A5,재고차이!A:C,3,0)</f>
        <v>코카콜라EDLP355CAN 4X6</v>
      </c>
      <c r="D5" s="21">
        <f>SUMIF(재고차이!B:B,주간상차!B:B,재고차이!E:E)</f>
        <v>100</v>
      </c>
      <c r="E5" s="26"/>
      <c r="F5" s="27" t="str">
        <f t="shared" si="0"/>
        <v/>
      </c>
      <c r="G5" s="27" t="str">
        <f t="shared" si="1"/>
        <v/>
      </c>
      <c r="H5" s="27" t="str">
        <f>IF(E5="","",E5/SUMIF(재고차이!A:A,주간상차!A:A,재고차이!E:E))</f>
        <v/>
      </c>
      <c r="I5" s="27" t="str">
        <f t="shared" si="2"/>
        <v/>
      </c>
    </row>
    <row r="6" spans="1:9" x14ac:dyDescent="0.3">
      <c r="A6" s="24">
        <v>2531</v>
      </c>
      <c r="B6" s="21" t="str">
        <f>VLOOKUP(A6,재고차이!A:B,2,0)</f>
        <v>CC2531</v>
      </c>
      <c r="C6" s="21" t="str">
        <f>VLOOKUP(A6,재고차이!A:C,3,0)</f>
        <v>코카콜라 350CAN 4X6</v>
      </c>
      <c r="D6" s="21">
        <f>SUMIF(재고차이!B:B,주간상차!B:B,재고차이!E:E)</f>
        <v>100</v>
      </c>
      <c r="E6" s="26"/>
      <c r="F6" s="27" t="str">
        <f>IF(E6="","",ROUNDDOWN(H6,0))</f>
        <v/>
      </c>
      <c r="G6" s="27" t="str">
        <f>IF(E6="","",E6-I6)</f>
        <v/>
      </c>
      <c r="H6" s="27" t="str">
        <f>IF(E6="","",E6/SUMIF(재고차이!A:A,주간상차!A:A,재고차이!E:E))</f>
        <v/>
      </c>
      <c r="I6" s="27" t="str">
        <f>IF(E6="","",F6*D6)</f>
        <v/>
      </c>
    </row>
    <row r="7" spans="1:9" x14ac:dyDescent="0.3">
      <c r="A7" s="24">
        <v>5191</v>
      </c>
      <c r="B7" s="21" t="str">
        <f>VLOOKUP(A7,재고차이!A:B,2,0)</f>
        <v>CC5191</v>
      </c>
      <c r="C7" s="21" t="str">
        <f>VLOOKUP(A7,재고차이!A:C,3,0)</f>
        <v>코카콜라 490CAN 6X4</v>
      </c>
      <c r="D7" s="21">
        <f>SUMIF(재고차이!B:B,주간상차!B:B,재고차이!E:E)</f>
        <v>70</v>
      </c>
      <c r="E7" s="26"/>
      <c r="F7" s="27" t="str">
        <f>IF(E7="","",ROUNDDOWN(H7,0))</f>
        <v/>
      </c>
      <c r="G7" s="27" t="str">
        <f>IF(E7="","",E7-I7)</f>
        <v/>
      </c>
      <c r="H7" s="27" t="str">
        <f>IF(E7="","",E7/SUMIF(재고차이!A:A,주간상차!A:A,재고차이!E:E))</f>
        <v/>
      </c>
      <c r="I7" s="27" t="str">
        <f>IF(E7="","",F7*D7)</f>
        <v/>
      </c>
    </row>
    <row r="8" spans="1:9" x14ac:dyDescent="0.3">
      <c r="A8" s="24">
        <v>5192</v>
      </c>
      <c r="B8" s="21" t="str">
        <f>VLOOKUP(A8,재고차이!A:B,2,0)</f>
        <v>CC5192</v>
      </c>
      <c r="C8" s="21" t="str">
        <f>VLOOKUP(A8,재고차이!A:C,3,0)</f>
        <v>코크제로 490ml CAN 6X4</v>
      </c>
      <c r="D8" s="21">
        <f>SUMIF(재고차이!B:B,주간상차!B:B,재고차이!E:E)</f>
        <v>70</v>
      </c>
      <c r="E8" s="26"/>
      <c r="F8" s="27" t="str">
        <f t="shared" si="0"/>
        <v/>
      </c>
      <c r="G8" s="27" t="str">
        <f t="shared" si="1"/>
        <v/>
      </c>
      <c r="H8" s="27" t="str">
        <f>IF(E8="","",E8/SUMIF(재고차이!A:A,주간상차!A:A,재고차이!E:E))</f>
        <v/>
      </c>
      <c r="I8" s="27" t="str">
        <f t="shared" si="2"/>
        <v/>
      </c>
    </row>
    <row r="9" spans="1:9" x14ac:dyDescent="0.3">
      <c r="A9" s="10">
        <v>4432</v>
      </c>
      <c r="B9" s="21" t="str">
        <f>VLOOKUP(A9,재고차이!A:B,2,0)</f>
        <v>CC4432</v>
      </c>
      <c r="C9" s="21" t="str">
        <f>VLOOKUP(A9,재고차이!A:C,3,0)</f>
        <v>S)코크제로 500PET 4X6</v>
      </c>
      <c r="D9" s="21">
        <f>SUMIF(재고차이!B:B,주간상차!B:B,재고차이!E:E)</f>
        <v>60</v>
      </c>
      <c r="E9" s="26">
        <f>60*16</f>
        <v>960</v>
      </c>
      <c r="F9" s="27">
        <f>IF(E9="","",ROUNDDOWN(H9,0))</f>
        <v>16</v>
      </c>
      <c r="G9" s="27">
        <f>IF(E9="","",E9-I9)</f>
        <v>0</v>
      </c>
      <c r="H9" s="27">
        <f>E9/D9</f>
        <v>16</v>
      </c>
      <c r="I9" s="27">
        <f>IF(E9="","",F9*D9)</f>
        <v>960</v>
      </c>
    </row>
    <row r="10" spans="1:9" x14ac:dyDescent="0.3">
      <c r="A10" s="10">
        <v>5201</v>
      </c>
      <c r="B10" s="21" t="str">
        <f>VLOOKUP(A10,재고차이!A:B,2,0)</f>
        <v>CC5201</v>
      </c>
      <c r="C10" s="21" t="str">
        <f>VLOOKUP(A10,재고차이!A:C,3,0)</f>
        <v>S)코크제로 제로 500PET 4X6</v>
      </c>
      <c r="D10" s="21">
        <f>SUMIF(재고차이!B:B,주간상차!B:B,재고차이!E:E)</f>
        <v>60</v>
      </c>
      <c r="E10" s="26"/>
      <c r="F10" s="27" t="str">
        <f>IF(E10="","",ROUNDDOWN(H10,0))</f>
        <v/>
      </c>
      <c r="G10" s="27" t="str">
        <f>IF(E10="","",E10-I10)</f>
        <v/>
      </c>
      <c r="H10" s="27">
        <f>E10/D10</f>
        <v>0</v>
      </c>
      <c r="I10" s="27" t="str">
        <f>IF(E10="","",F10*D10)</f>
        <v/>
      </c>
    </row>
    <row r="11" spans="1:9" x14ac:dyDescent="0.3">
      <c r="A11" s="10">
        <v>455</v>
      </c>
      <c r="B11" s="21" t="str">
        <f>VLOOKUP(A11,재고차이!A:B,2,0)</f>
        <v>CC0455</v>
      </c>
      <c r="C11" s="21" t="str">
        <f>VLOOKUP(A11,재고차이!A:C,3,0)</f>
        <v>코크제로 레몬 500PET 4X6</v>
      </c>
      <c r="D11" s="21">
        <f>SUMIF(재고차이!B:B,주간상차!B:B,재고차이!E:E)</f>
        <v>60</v>
      </c>
      <c r="E11" s="26"/>
      <c r="F11" s="27" t="str">
        <f>IF(E11="","",ROUNDDOWN(H11,0))</f>
        <v/>
      </c>
      <c r="G11" s="27" t="str">
        <f>IF(E11="","",E11-I11)</f>
        <v/>
      </c>
      <c r="H11" s="27">
        <f>E11/D11</f>
        <v>0</v>
      </c>
      <c r="I11" s="27" t="str">
        <f>IF(E11="","",F11*D11)</f>
        <v/>
      </c>
    </row>
    <row r="12" spans="1:9" x14ac:dyDescent="0.3">
      <c r="A12" s="10">
        <v>5782</v>
      </c>
      <c r="B12" s="21" t="str">
        <f>VLOOKUP(A12,재고차이!A:B,2,0)</f>
        <v>CC5782</v>
      </c>
      <c r="C12" s="21" t="str">
        <f>VLOOKUP(A12,재고차이!A:C,3,0)</f>
        <v>코크제로 체리 500PET 4X6</v>
      </c>
      <c r="D12" s="21">
        <f>SUMIF(재고차이!B:B,주간상차!B:B,재고차이!E:E)</f>
        <v>60</v>
      </c>
      <c r="E12" s="26"/>
      <c r="F12" s="27" t="str">
        <f t="shared" si="0"/>
        <v/>
      </c>
      <c r="G12" s="27" t="str">
        <f t="shared" si="1"/>
        <v/>
      </c>
      <c r="H12" s="27">
        <f>E12/D12</f>
        <v>0</v>
      </c>
      <c r="I12" s="27" t="str">
        <f t="shared" si="2"/>
        <v/>
      </c>
    </row>
    <row r="13" spans="1:9" x14ac:dyDescent="0.3">
      <c r="A13" s="10">
        <v>4823</v>
      </c>
      <c r="B13" s="21" t="str">
        <f>VLOOKUP(A13,재고차이!A:B,2,0)</f>
        <v>FT4823</v>
      </c>
      <c r="C13" s="21" t="str">
        <f>VLOOKUP(A13,재고차이!A:C,3,0)</f>
        <v>환타오렌지250CAN 5X6 M</v>
      </c>
      <c r="D13" s="21">
        <f>SUMIF(재고차이!B:B,주간상차!B:B,재고차이!E:E)</f>
        <v>132</v>
      </c>
      <c r="E13" s="26"/>
      <c r="F13" s="27" t="str">
        <f t="shared" si="0"/>
        <v/>
      </c>
      <c r="G13" s="27" t="str">
        <f t="shared" si="1"/>
        <v/>
      </c>
      <c r="H13" s="27" t="str">
        <f>IF(E13="","",E13/SUMIF(재고차이!A:A,주간상차!A:A,재고차이!E:E))</f>
        <v/>
      </c>
      <c r="I13" s="27" t="str">
        <f t="shared" si="2"/>
        <v/>
      </c>
    </row>
    <row r="14" spans="1:9" x14ac:dyDescent="0.3">
      <c r="A14" s="10">
        <v>4872</v>
      </c>
      <c r="B14" s="21" t="str">
        <f>VLOOKUP(A14,재고차이!A:B,2,0)</f>
        <v>GG4872</v>
      </c>
      <c r="C14" s="21" t="str">
        <f>VLOOKUP(A14,재고차이!A:C,3,0)</f>
        <v>조지아오리지널240C 5X6</v>
      </c>
      <c r="D14" s="21">
        <f>SUMIF(재고차이!B:B,주간상차!B:B,재고차이!E:E)</f>
        <v>132</v>
      </c>
      <c r="E14" s="26"/>
      <c r="F14" s="27" t="str">
        <f t="shared" si="0"/>
        <v/>
      </c>
      <c r="G14" s="27" t="str">
        <f t="shared" si="1"/>
        <v/>
      </c>
      <c r="H14" s="27" t="str">
        <f>IF(E14="","",E14/SUMIF(재고차이!A:A,주간상차!A:A,재고차이!E:E))</f>
        <v/>
      </c>
      <c r="I14" s="27" t="str">
        <f t="shared" si="2"/>
        <v/>
      </c>
    </row>
    <row r="15" spans="1:9" x14ac:dyDescent="0.3">
      <c r="A15" s="10">
        <v>4879</v>
      </c>
      <c r="B15" s="21" t="str">
        <f>VLOOKUP(A15,재고차이!A:B,2,0)</f>
        <v>GG4879</v>
      </c>
      <c r="C15" s="21" t="str">
        <f>VLOOKUP(A15,재고차이!A:C,3,0)</f>
        <v>조지아카페라테240C 5X6</v>
      </c>
      <c r="D15" s="21">
        <f>SUMIF(재고차이!B:B,주간상차!B:B,재고차이!E:E)</f>
        <v>132</v>
      </c>
      <c r="E15" s="26"/>
      <c r="F15" s="27" t="str">
        <f t="shared" si="0"/>
        <v/>
      </c>
      <c r="G15" s="27" t="str">
        <f t="shared" si="1"/>
        <v/>
      </c>
      <c r="H15" s="27" t="str">
        <f>IF(E15="","",E15/SUMIF(재고차이!A:A,주간상차!A:A,재고차이!E:E))</f>
        <v/>
      </c>
      <c r="I15" s="27" t="str">
        <f t="shared" si="2"/>
        <v/>
      </c>
    </row>
    <row r="16" spans="1:9" x14ac:dyDescent="0.3">
      <c r="A16" s="10">
        <v>4899</v>
      </c>
      <c r="B16" s="21" t="str">
        <f>VLOOKUP(A16,재고차이!A:B,2,0)</f>
        <v>GG4899</v>
      </c>
      <c r="C16" s="21" t="str">
        <f>VLOOKUP(A16,재고차이!A:C,3,0)</f>
        <v>조지아맥스 240C 5X6</v>
      </c>
      <c r="D16" s="21">
        <f>SUMIF(재고차이!B:B,주간상차!B:B,재고차이!E:E)</f>
        <v>132</v>
      </c>
      <c r="E16" s="26"/>
      <c r="F16" s="27" t="str">
        <f t="shared" si="0"/>
        <v/>
      </c>
      <c r="G16" s="27" t="str">
        <f t="shared" si="1"/>
        <v/>
      </c>
      <c r="H16" s="27" t="str">
        <f>IF(E16="","",E16/SUMIF(재고차이!A:A,주간상차!A:A,재고차이!E:E))</f>
        <v/>
      </c>
      <c r="I16" s="27" t="str">
        <f t="shared" si="2"/>
        <v/>
      </c>
    </row>
    <row r="17" spans="1:9" x14ac:dyDescent="0.3">
      <c r="A17" s="10">
        <v>4177</v>
      </c>
      <c r="B17" s="21" t="str">
        <f>VLOOKUP(A17,재고차이!A:B,2,0)</f>
        <v>FT4177</v>
      </c>
      <c r="C17" s="21" t="str">
        <f>VLOOKUP(A17,재고차이!A:C,3,0)</f>
        <v>S)환타 오렌지 350CAN 4X6</v>
      </c>
      <c r="D17" s="21">
        <f>SUMIF(재고차이!B:B,주간상차!B:B,재고차이!E:E)</f>
        <v>100</v>
      </c>
      <c r="E17" s="26"/>
      <c r="F17" s="27" t="str">
        <f t="shared" ref="F17:F19" si="3">IF(E17="","",ROUNDDOWN(H17,0))</f>
        <v/>
      </c>
      <c r="G17" s="27" t="str">
        <f t="shared" ref="G17:G19" si="4">IF(E17="","",E17-I17)</f>
        <v/>
      </c>
      <c r="H17" s="27" t="str">
        <f>IF(E17="","",E17/SUMIF(재고차이!A:A,주간상차!A:A,재고차이!E:E))</f>
        <v/>
      </c>
      <c r="I17" s="27" t="str">
        <f t="shared" ref="I17:I19" si="5">IF(E17="","",F17*D17)</f>
        <v/>
      </c>
    </row>
    <row r="18" spans="1:9" x14ac:dyDescent="0.3">
      <c r="A18" s="10" t="s">
        <v>2598</v>
      </c>
      <c r="B18" s="21" t="str">
        <f>VLOOKUP(A18,재고차이!A:B,2,0)</f>
        <v>FT4181</v>
      </c>
      <c r="C18" s="21" t="str">
        <f>VLOOKUP(A18,재고차이!A:C,3,0)</f>
        <v>환타 제로 파인 350CAN 4X6</v>
      </c>
      <c r="D18" s="21">
        <f>SUMIF(재고차이!B:B,주간상차!B:B,재고차이!E:E)</f>
        <v>100</v>
      </c>
      <c r="E18" s="26">
        <v>100</v>
      </c>
      <c r="F18" s="27">
        <f t="shared" si="3"/>
        <v>1</v>
      </c>
      <c r="G18" s="27">
        <f t="shared" si="4"/>
        <v>0</v>
      </c>
      <c r="H18" s="27">
        <f>IF(E18="","",E18/SUMIF(재고차이!A:A,주간상차!A:A,재고차이!E:E))</f>
        <v>1</v>
      </c>
      <c r="I18" s="27">
        <f t="shared" si="5"/>
        <v>100</v>
      </c>
    </row>
    <row r="19" spans="1:9" x14ac:dyDescent="0.3">
      <c r="A19" s="10">
        <v>4182</v>
      </c>
      <c r="B19" s="21" t="str">
        <f>VLOOKUP(A19,재고차이!A:B,2,0)</f>
        <v>FT4182</v>
      </c>
      <c r="C19" s="21" t="str">
        <f>VLOOKUP(A19,재고차이!A:C,3,0)</f>
        <v>환타 제로 오렌지 350CAN 4X6</v>
      </c>
      <c r="D19" s="21">
        <f>SUMIF(재고차이!B:B,주간상차!B:B,재고차이!E:E)</f>
        <v>100</v>
      </c>
      <c r="E19" s="26">
        <v>200</v>
      </c>
      <c r="F19" s="27">
        <f t="shared" si="3"/>
        <v>2</v>
      </c>
      <c r="G19" s="27">
        <f t="shared" si="4"/>
        <v>0</v>
      </c>
      <c r="H19" s="27">
        <f>IF(E19="","",E19/SUMIF(재고차이!A:A,주간상차!A:A,재고차이!E:E))</f>
        <v>2</v>
      </c>
      <c r="I19" s="27">
        <f t="shared" si="5"/>
        <v>200</v>
      </c>
    </row>
    <row r="20" spans="1:9" x14ac:dyDescent="0.3">
      <c r="A20" s="10">
        <v>5312</v>
      </c>
      <c r="B20" s="21" t="str">
        <f>VLOOKUP(A20,재고차이!A:B,2,0)</f>
        <v>FT5312</v>
      </c>
      <c r="C20" s="21" t="str">
        <f>VLOOKUP(A20,재고차이!A:C,3,0)</f>
        <v>환타 파인 250CAN 5X6</v>
      </c>
      <c r="D20" s="21">
        <f>SUMIF(재고차이!B:B,주간상차!B:B,재고차이!E:E)</f>
        <v>132</v>
      </c>
      <c r="E20" s="26"/>
      <c r="F20" s="27" t="str">
        <f t="shared" si="0"/>
        <v/>
      </c>
      <c r="G20" s="27" t="str">
        <f t="shared" si="1"/>
        <v/>
      </c>
      <c r="H20" s="27" t="str">
        <f>IF(E20="","",E20/SUMIF(재고차이!A:A,주간상차!A:A,재고차이!E:E))</f>
        <v/>
      </c>
      <c r="I20" s="27" t="str">
        <f t="shared" si="2"/>
        <v/>
      </c>
    </row>
    <row r="21" spans="1:9" x14ac:dyDescent="0.3">
      <c r="A21" s="24">
        <v>5636</v>
      </c>
      <c r="B21" s="21" t="str">
        <f>VLOOKUP(A21,재고차이!A:B,2,0)</f>
        <v>MO5636</v>
      </c>
      <c r="C21" s="21" t="str">
        <f>VLOOKUP(A21,재고차이!A:C,3,0)</f>
        <v>몬스터 에너지 펀치 355CAN 4X6</v>
      </c>
      <c r="D21" s="21">
        <f>SUMIF(재고차이!B:B,주간상차!B:B,재고차이!E:E)</f>
        <v>108</v>
      </c>
      <c r="E21" s="26">
        <v>216</v>
      </c>
      <c r="F21" s="27">
        <f t="shared" si="0"/>
        <v>2</v>
      </c>
      <c r="G21" s="27">
        <f t="shared" si="1"/>
        <v>0</v>
      </c>
      <c r="H21" s="27">
        <f>IF(E21="","",E21/SUMIF(재고차이!A:A,주간상차!A:A,재고차이!E:E))</f>
        <v>2</v>
      </c>
      <c r="I21" s="27">
        <f t="shared" si="2"/>
        <v>216</v>
      </c>
    </row>
    <row r="22" spans="1:9" x14ac:dyDescent="0.3">
      <c r="A22" s="24">
        <v>5639</v>
      </c>
      <c r="B22" s="21" t="str">
        <f>VLOOKUP(A22,재고차이!A:B,2,0)</f>
        <v>MO5639</v>
      </c>
      <c r="C22" s="21" t="str">
        <f>VLOOKUP(A22,재고차이!A:C,3,0)</f>
        <v>몬스터 에너지 시트라 355CAN 4X6</v>
      </c>
      <c r="D22" s="21">
        <f>SUMIF(재고차이!B:B,주간상차!B:B,재고차이!E:E)</f>
        <v>108</v>
      </c>
      <c r="E22" s="26"/>
      <c r="F22" s="27" t="str">
        <f t="shared" si="0"/>
        <v/>
      </c>
      <c r="G22" s="27" t="str">
        <f t="shared" si="1"/>
        <v/>
      </c>
      <c r="H22" s="27" t="str">
        <f>IF(E22="","",E22/SUMIF(재고차이!A:A,주간상차!A:A,재고차이!E:E))</f>
        <v/>
      </c>
      <c r="I22" s="27" t="str">
        <f t="shared" si="2"/>
        <v/>
      </c>
    </row>
    <row r="23" spans="1:9" x14ac:dyDescent="0.3">
      <c r="A23" s="10">
        <v>5641</v>
      </c>
      <c r="B23" s="21" t="str">
        <f>VLOOKUP(A23,재고차이!A:B,2,0)</f>
        <v>MO5641</v>
      </c>
      <c r="C23" s="21" t="str">
        <f>VLOOKUP(A23,재고차이!A:C,3,0)</f>
        <v>몬스터에너지그린355C 4X6</v>
      </c>
      <c r="D23" s="21">
        <f>SUMIF(재고차이!B:B,주간상차!B:B,재고차이!E:E)</f>
        <v>108</v>
      </c>
      <c r="E23" s="26">
        <f>108*3</f>
        <v>324</v>
      </c>
      <c r="F23" s="27">
        <f t="shared" si="0"/>
        <v>3</v>
      </c>
      <c r="G23" s="27">
        <f t="shared" si="1"/>
        <v>0</v>
      </c>
      <c r="H23" s="27">
        <f>IF(E23="","",E23/SUMIF(재고차이!A:A,주간상차!A:A,재고차이!E:E))</f>
        <v>3</v>
      </c>
      <c r="I23" s="27">
        <f t="shared" si="2"/>
        <v>324</v>
      </c>
    </row>
    <row r="24" spans="1:9" x14ac:dyDescent="0.3">
      <c r="A24" s="24">
        <v>5643</v>
      </c>
      <c r="B24" s="21" t="str">
        <f>VLOOKUP(A24,재고차이!A:B,2,0)</f>
        <v>MO5643</v>
      </c>
      <c r="C24" s="21" t="str">
        <f>VLOOKUP(A24,재고차이!A:C,3,0)</f>
        <v>몬스터 에너지 울트라 355CAN 4X6</v>
      </c>
      <c r="D24" s="21">
        <f>SUMIF(재고차이!B:B,주간상차!B:B,재고차이!E:E)</f>
        <v>108</v>
      </c>
      <c r="E24" s="26">
        <f>108*8</f>
        <v>864</v>
      </c>
      <c r="F24" s="27">
        <f t="shared" ref="F24:F53" si="6">IF(E24="","",ROUNDDOWN(H24,0))</f>
        <v>8</v>
      </c>
      <c r="G24" s="27">
        <f t="shared" ref="G24:G53" si="7">IF(E24="","",E24-I24)</f>
        <v>0</v>
      </c>
      <c r="H24" s="27">
        <f>IF(E24="","",E24/SUMIF(재고차이!A:A,주간상차!A:A,재고차이!E:E))</f>
        <v>8</v>
      </c>
      <c r="I24" s="27">
        <f t="shared" ref="I24:I53" si="8">IF(E24="","",F24*D24)</f>
        <v>864</v>
      </c>
    </row>
    <row r="25" spans="1:9" x14ac:dyDescent="0.3">
      <c r="A25" s="24">
        <v>5656</v>
      </c>
      <c r="B25" s="21" t="str">
        <f>VLOOKUP(A25,재고차이!A:B,2,0)</f>
        <v>MO5656</v>
      </c>
      <c r="C25" s="21" t="str">
        <f>VLOOKUP(A25,재고차이!A:C,3,0)</f>
        <v>몬스터 에너지 망고로코 355CAN 4X6</v>
      </c>
      <c r="D25" s="21">
        <f>SUMIF(재고차이!B:B,주간상차!B:B,재고차이!E:E)</f>
        <v>108</v>
      </c>
      <c r="E25" s="26">
        <f>108*4</f>
        <v>432</v>
      </c>
      <c r="F25" s="27">
        <f>IF(E25="","",ROUNDDOWN(H25,0))</f>
        <v>4</v>
      </c>
      <c r="G25" s="27">
        <f>IF(E25="","",E25-I25)</f>
        <v>0</v>
      </c>
      <c r="H25" s="27">
        <f>IF(E25="","",E25/SUMIF(재고차이!A:A,주간상차!A:A,재고차이!E:E))</f>
        <v>4</v>
      </c>
      <c r="I25" s="27">
        <f>IF(E25="","",F25*D25)</f>
        <v>432</v>
      </c>
    </row>
    <row r="26" spans="1:9" x14ac:dyDescent="0.3">
      <c r="A26" s="24">
        <v>5628</v>
      </c>
      <c r="B26" s="21" t="str">
        <f>VLOOKUP(A26,재고차이!A:B,2,0)</f>
        <v>MO5628</v>
      </c>
      <c r="C26" s="21" t="str">
        <f>VLOOKUP(A26,재고차이!A:C,3,0)</f>
        <v>몬스터 에너지 제로슈거 355CAN 4X6</v>
      </c>
      <c r="D26" s="21">
        <f>SUMIF(재고차이!B:B,주간상차!B:B,재고차이!E:E)</f>
        <v>108</v>
      </c>
      <c r="E26" s="26"/>
      <c r="F26" s="27" t="str">
        <f t="shared" si="6"/>
        <v/>
      </c>
      <c r="G26" s="27" t="str">
        <f t="shared" si="7"/>
        <v/>
      </c>
      <c r="H26" s="27" t="str">
        <f>IF(E26="","",E26/SUMIF(재고차이!A:A,주간상차!A:A,재고차이!E:E))</f>
        <v/>
      </c>
      <c r="I26" s="27" t="str">
        <f t="shared" si="8"/>
        <v/>
      </c>
    </row>
    <row r="27" spans="1:9" x14ac:dyDescent="0.3">
      <c r="A27" s="24">
        <v>5662</v>
      </c>
      <c r="B27" s="21" t="str">
        <f>VLOOKUP(A27,재고차이!A:B,2,0)</f>
        <v>MO5662</v>
      </c>
      <c r="C27" s="21" t="str">
        <f>VLOOKUP(A27,재고차이!A:C,3,0)</f>
        <v>몬스터 에너지 선라이즈 355CAN 4X6</v>
      </c>
      <c r="D27" s="21">
        <f>SUMIF(재고차이!B:B,주간상차!B:B,재고차이!E:E)</f>
        <v>108</v>
      </c>
      <c r="E27" s="26"/>
      <c r="F27" s="27" t="str">
        <f t="shared" ref="F27:F33" si="9">IF(E27="","",ROUNDDOWN(H27,0))</f>
        <v/>
      </c>
      <c r="G27" s="27" t="str">
        <f t="shared" ref="G27:G33" si="10">IF(E27="","",E27-I27)</f>
        <v/>
      </c>
      <c r="H27" s="27" t="str">
        <f>IF(E27="","",E27/SUMIF(재고차이!A:A,주간상차!A:A,재고차이!E:E))</f>
        <v/>
      </c>
      <c r="I27" s="27" t="str">
        <f t="shared" ref="I27:I33" si="11">IF(E27="","",F27*D27)</f>
        <v/>
      </c>
    </row>
    <row r="28" spans="1:9" x14ac:dyDescent="0.3">
      <c r="A28" s="24">
        <v>5664</v>
      </c>
      <c r="B28" s="21" t="str">
        <f>VLOOKUP(A28,재고차이!A:B,2,0)</f>
        <v>MO5664</v>
      </c>
      <c r="C28" s="21" t="str">
        <f>VLOOKUP(A28,재고차이!A:C,3,0)</f>
        <v>몬스터 에너지 피치킨 355CAN 4X6</v>
      </c>
      <c r="D28" s="21">
        <f>SUMIF(재고차이!B:B,주간상차!B:B,재고차이!E:E)</f>
        <v>108</v>
      </c>
      <c r="E28" s="26"/>
      <c r="F28" s="27" t="str">
        <f t="shared" si="9"/>
        <v/>
      </c>
      <c r="G28" s="27" t="str">
        <f t="shared" si="10"/>
        <v/>
      </c>
      <c r="H28" s="27" t="str">
        <f>IF(E28="","",E28/SUMIF(재고차이!A:A,주간상차!A:A,재고차이!E:E))</f>
        <v/>
      </c>
      <c r="I28" s="27" t="str">
        <f t="shared" si="11"/>
        <v/>
      </c>
    </row>
    <row r="29" spans="1:9" x14ac:dyDescent="0.3">
      <c r="A29" s="24">
        <v>5668</v>
      </c>
      <c r="B29" s="21" t="str">
        <f>VLOOKUP(A29,재고차이!A:B,2,0)</f>
        <v>MO5668</v>
      </c>
      <c r="C29" s="21" t="str">
        <f>VLOOKUP(A29,재고차이!A:C,3,0)</f>
        <v>몬스터 오지 레모네이드 355CAN 4X6</v>
      </c>
      <c r="D29" s="21">
        <f>SUMIF(재고차이!B:B,주간상차!B:B,재고차이!E:E)</f>
        <v>108</v>
      </c>
      <c r="E29" s="26"/>
      <c r="F29" s="27" t="str">
        <f t="shared" si="9"/>
        <v/>
      </c>
      <c r="G29" s="27" t="str">
        <f t="shared" si="10"/>
        <v/>
      </c>
      <c r="H29" s="27" t="str">
        <f>IF(E29="","",E29/SUMIF(재고차이!A:A,주간상차!A:A,재고차이!E:E))</f>
        <v/>
      </c>
      <c r="I29" s="27" t="str">
        <f t="shared" si="11"/>
        <v/>
      </c>
    </row>
    <row r="30" spans="1:9" x14ac:dyDescent="0.3">
      <c r="A30" s="24">
        <v>5676</v>
      </c>
      <c r="B30" s="21" t="str">
        <f>VLOOKUP(A30,재고차이!A:B,2,0)</f>
        <v>MO5676</v>
      </c>
      <c r="C30" s="21" t="str">
        <f>VLOOKUP(A30,재고차이!A:C,3,0)</f>
        <v>S)몬스터 스트로베리 드림즈 355CAN 4X6</v>
      </c>
      <c r="D30" s="21">
        <f>SUMIF(재고차이!B:B,주간상차!B:B,재고차이!E:E)</f>
        <v>108</v>
      </c>
      <c r="E30" s="26"/>
      <c r="F30" s="27" t="str">
        <f t="shared" ref="F30" si="12">IF(E30="","",ROUNDDOWN(H30,0))</f>
        <v/>
      </c>
      <c r="G30" s="27" t="str">
        <f t="shared" ref="G30" si="13">IF(E30="","",E30-I30)</f>
        <v/>
      </c>
      <c r="H30" s="27" t="str">
        <f>IF(E30="","",E30/SUMIF(재고차이!A:A,주간상차!A:A,재고차이!E:E))</f>
        <v/>
      </c>
      <c r="I30" s="27" t="str">
        <f t="shared" ref="I30" si="14">IF(E30="","",F30*D30)</f>
        <v/>
      </c>
    </row>
    <row r="31" spans="1:9" x14ac:dyDescent="0.3">
      <c r="A31" s="24">
        <v>5679</v>
      </c>
      <c r="B31" s="21" t="str">
        <f>VLOOKUP(A31,재고차이!A:B,2,0)</f>
        <v>MO5679</v>
      </c>
      <c r="C31" s="21" t="str">
        <f>VLOOKUP(A31,재고차이!A:C,3,0)</f>
        <v>S)몬스터 에너지 파피용 355CAN 4X6</v>
      </c>
      <c r="D31" s="21">
        <f>SUMIF(재고차이!B:B,주간상차!B:B,재고차이!E:E)</f>
        <v>108</v>
      </c>
      <c r="E31" s="26"/>
      <c r="F31" s="27" t="str">
        <f t="shared" si="9"/>
        <v/>
      </c>
      <c r="G31" s="27" t="str">
        <f t="shared" si="10"/>
        <v/>
      </c>
      <c r="H31" s="27" t="str">
        <f>IF(E31="","",E31/SUMIF(재고차이!A:A,주간상차!A:A,재고차이!E:E))</f>
        <v/>
      </c>
      <c r="I31" s="27" t="str">
        <f t="shared" si="11"/>
        <v/>
      </c>
    </row>
    <row r="32" spans="1:9" x14ac:dyDescent="0.3">
      <c r="A32" s="24">
        <v>5672</v>
      </c>
      <c r="B32" s="21" t="str">
        <f>VLOOKUP(A32,재고차이!A:B,2,0)</f>
        <v>MO5672</v>
      </c>
      <c r="C32" s="21" t="str">
        <f>VLOOKUP(A32,재고차이!A:C,3,0)</f>
        <v>몬스터 에너지 그린 500CAN 4X6</v>
      </c>
      <c r="D32" s="21">
        <f>SUMIF(재고차이!B:B,주간상차!B:B,재고차이!E:E)</f>
        <v>70</v>
      </c>
      <c r="E32" s="26"/>
      <c r="F32" s="27" t="str">
        <f t="shared" si="9"/>
        <v/>
      </c>
      <c r="G32" s="27" t="str">
        <f t="shared" si="10"/>
        <v/>
      </c>
      <c r="H32" s="27" t="str">
        <f>IF(E32="","",E32/SUMIF(재고차이!A:A,주간상차!A:A,재고차이!E:E))</f>
        <v/>
      </c>
      <c r="I32" s="27" t="str">
        <f t="shared" si="11"/>
        <v/>
      </c>
    </row>
    <row r="33" spans="1:12" x14ac:dyDescent="0.3">
      <c r="A33" s="24">
        <v>5673</v>
      </c>
      <c r="B33" s="21" t="str">
        <f>VLOOKUP(A33,재고차이!A:B,2,0)</f>
        <v>MO5673</v>
      </c>
      <c r="C33" s="21" t="str">
        <f>VLOOKUP(A33,재고차이!A:C,3,0)</f>
        <v>몬스터 에너지 울트라 500CAN 4X6</v>
      </c>
      <c r="D33" s="21">
        <f>SUMIF(재고차이!B:B,주간상차!B:B,재고차이!E:E)</f>
        <v>70</v>
      </c>
      <c r="E33" s="26"/>
      <c r="F33" s="27" t="str">
        <f t="shared" si="9"/>
        <v/>
      </c>
      <c r="G33" s="27" t="str">
        <f t="shared" si="10"/>
        <v/>
      </c>
      <c r="H33" s="27" t="str">
        <f>IF(E33="","",E33/SUMIF(재고차이!A:A,주간상차!A:A,재고차이!E:E))</f>
        <v/>
      </c>
      <c r="I33" s="27" t="str">
        <f t="shared" si="11"/>
        <v/>
      </c>
    </row>
    <row r="34" spans="1:12" x14ac:dyDescent="0.3">
      <c r="A34" s="10">
        <v>5748</v>
      </c>
      <c r="B34" s="21" t="str">
        <f>VLOOKUP(A34,재고차이!A:B,2,0)</f>
        <v>FT5748</v>
      </c>
      <c r="C34" s="21" t="str">
        <f>VLOOKUP(A34,재고차이!A:C,3,0)</f>
        <v>환타오렌지(S) 600P 4X6</v>
      </c>
      <c r="D34" s="21">
        <f>SUMIF(재고차이!B:B,주간상차!B:B,재고차이!E:E)</f>
        <v>32</v>
      </c>
      <c r="E34" s="26">
        <f>32*4</f>
        <v>128</v>
      </c>
      <c r="F34" s="27">
        <f t="shared" si="6"/>
        <v>4</v>
      </c>
      <c r="G34" s="27">
        <f t="shared" si="7"/>
        <v>0</v>
      </c>
      <c r="H34" s="27">
        <f>IF(E34="","",E34/SUMIF(재고차이!A:A,주간상차!A:A,재고차이!E:E))</f>
        <v>4</v>
      </c>
      <c r="I34" s="27">
        <f t="shared" si="8"/>
        <v>128</v>
      </c>
    </row>
    <row r="35" spans="1:12" x14ac:dyDescent="0.3">
      <c r="A35" s="24">
        <v>5749</v>
      </c>
      <c r="B35" s="21" t="str">
        <f>VLOOKUP(A35,재고차이!A:B,2,0)</f>
        <v>FT5749</v>
      </c>
      <c r="C35" s="21" t="str">
        <f>VLOOKUP(A35,재고차이!A:C,3,0)</f>
        <v>S)환타 파인 600PET 4X6</v>
      </c>
      <c r="D35" s="21">
        <f>SUMIF(재고차이!B:B,주간상차!B:B,재고차이!E:E)</f>
        <v>32</v>
      </c>
      <c r="E35" s="26"/>
      <c r="F35" s="27" t="str">
        <f t="shared" ref="F35" si="15">IF(E35="","",ROUNDDOWN(H35,0))</f>
        <v/>
      </c>
      <c r="G35" s="27" t="str">
        <f t="shared" ref="G35" si="16">IF(E35="","",E35-I35)</f>
        <v/>
      </c>
      <c r="H35" s="27" t="str">
        <f>IF(E35="","",E35/SUMIF(재고차이!A:A,주간상차!A:A,재고차이!E:E))</f>
        <v/>
      </c>
      <c r="I35" s="27" t="str">
        <f t="shared" ref="I35" si="17">IF(E35="","",F35*D35)</f>
        <v/>
      </c>
    </row>
    <row r="36" spans="1:12" x14ac:dyDescent="0.3">
      <c r="A36" s="24">
        <v>4183</v>
      </c>
      <c r="B36" s="21" t="str">
        <f>VLOOKUP(A36,재고차이!A:B,2,0)</f>
        <v>FT4183</v>
      </c>
      <c r="C36" s="21" t="str">
        <f>VLOOKUP(A36,재고차이!A:C,3,0)</f>
        <v>S)환타 멜론 600PET 4X6</v>
      </c>
      <c r="D36" s="21">
        <f>SUMIF(재고차이!B:B,주간상차!B:B,재고차이!E:E)</f>
        <v>32</v>
      </c>
      <c r="E36" s="26">
        <f>32*10</f>
        <v>320</v>
      </c>
      <c r="F36" s="27">
        <f t="shared" si="6"/>
        <v>10</v>
      </c>
      <c r="G36" s="27">
        <f t="shared" si="7"/>
        <v>0</v>
      </c>
      <c r="H36" s="27">
        <f>IF(E36="","",E36/SUMIF(재고차이!A:A,주간상차!A:A,재고차이!E:E))</f>
        <v>10</v>
      </c>
      <c r="I36" s="27">
        <f t="shared" si="8"/>
        <v>320</v>
      </c>
    </row>
    <row r="37" spans="1:12" x14ac:dyDescent="0.3">
      <c r="A37" s="24">
        <v>6103</v>
      </c>
      <c r="B37" s="21" t="str">
        <f>VLOOKUP(A37,재고차이!A:B,2,0)</f>
        <v>SP6103</v>
      </c>
      <c r="C37" s="21" t="str">
        <f>VLOOKUP(A37,재고차이!A:C,3,0)</f>
        <v>S)스프라이트 제로 500PET 4X6</v>
      </c>
      <c r="D37" s="21">
        <f>SUMIF(재고차이!B:B,주간상차!B:B,재고차이!E:E)</f>
        <v>60</v>
      </c>
      <c r="E37" s="26">
        <f>60*3</f>
        <v>180</v>
      </c>
      <c r="F37" s="27">
        <f t="shared" si="6"/>
        <v>3</v>
      </c>
      <c r="G37" s="27">
        <f t="shared" si="7"/>
        <v>0</v>
      </c>
      <c r="H37" s="27">
        <f>IF(E37="","",E37/SUMIF(재고차이!A:A,주간상차!A:A,재고차이!E:E))</f>
        <v>3</v>
      </c>
      <c r="I37" s="27">
        <f t="shared" si="8"/>
        <v>180</v>
      </c>
    </row>
    <row r="38" spans="1:12" x14ac:dyDescent="0.3">
      <c r="A38" s="24">
        <v>4184</v>
      </c>
      <c r="B38" s="21" t="str">
        <f>VLOOKUP(A38,재고차이!A:B,2,0)</f>
        <v>SP4184</v>
      </c>
      <c r="C38" s="21" t="str">
        <f>VLOOKUP(A38,재고차이!A:C,3,0)</f>
        <v>S)스프제로 칠 아이스블라스트 350CAN 4X6</v>
      </c>
      <c r="D38" s="21">
        <f>SUMIF(재고차이!B:B,주간상차!B:B,재고차이!E:E)</f>
        <v>100</v>
      </c>
      <c r="E38" s="26">
        <v>300</v>
      </c>
      <c r="F38" s="27">
        <f t="shared" si="6"/>
        <v>3</v>
      </c>
      <c r="G38" s="27">
        <f t="shared" si="7"/>
        <v>0</v>
      </c>
      <c r="H38" s="27">
        <f>IF(E38="","",E38/SUMIF(재고차이!A:A,주간상차!A:A,재고차이!E:E))</f>
        <v>3</v>
      </c>
      <c r="I38" s="27">
        <f t="shared" si="8"/>
        <v>300</v>
      </c>
    </row>
    <row r="39" spans="1:12" x14ac:dyDescent="0.3">
      <c r="A39" s="24">
        <v>4179</v>
      </c>
      <c r="B39" s="21" t="str">
        <f>VLOOKUP(A39,재고차이!A:B,2,0)</f>
        <v>SP4179</v>
      </c>
      <c r="C39" s="21" t="str">
        <f>VLOOKUP(A39,재고차이!A:C,3,0)</f>
        <v>스프라이트(신350C 4X6</v>
      </c>
      <c r="D39" s="21">
        <f>SUMIF(재고차이!B:B,주간상차!B:B,재고차이!E:E)</f>
        <v>100</v>
      </c>
      <c r="E39" s="26"/>
      <c r="F39" s="27" t="str">
        <f t="shared" ref="F39" si="18">IF(E39="","",ROUNDDOWN(H39,0))</f>
        <v/>
      </c>
      <c r="G39" s="27" t="str">
        <f t="shared" ref="G39" si="19">IF(E39="","",E39-I39)</f>
        <v/>
      </c>
      <c r="H39" s="27" t="str">
        <f>IF(E39="","",E39/SUMIF(재고차이!A:A,주간상차!A:A,재고차이!E:E))</f>
        <v/>
      </c>
      <c r="I39" s="27" t="str">
        <f t="shared" ref="I39" si="20">IF(E39="","",F39*D39)</f>
        <v/>
      </c>
    </row>
    <row r="40" spans="1:12" x14ac:dyDescent="0.3">
      <c r="A40" s="24">
        <v>6117</v>
      </c>
      <c r="B40" s="21" t="str">
        <f>VLOOKUP(A40,재고차이!A:B,2,0)</f>
        <v>SP6117</v>
      </c>
      <c r="C40" s="21" t="str">
        <f>VLOOKUP(A40,재고차이!A:C,3,0)</f>
        <v>스프라이트(신500P 4X6</v>
      </c>
      <c r="D40" s="21">
        <f>SUMIF(재고차이!B:B,주간상차!B:B,재고차이!E:E)</f>
        <v>60</v>
      </c>
      <c r="E40" s="26">
        <f>60*13</f>
        <v>780</v>
      </c>
      <c r="F40" s="27">
        <f>IF(E40="","",ROUNDDOWN(H40,0))</f>
        <v>13</v>
      </c>
      <c r="G40" s="27">
        <f t="shared" si="7"/>
        <v>0</v>
      </c>
      <c r="H40" s="27">
        <f>IF(E40="","",E40/SUMIF(재고차이!A:A,주간상차!A:A,재고차이!E:E))</f>
        <v>13</v>
      </c>
      <c r="I40" s="27">
        <f t="shared" si="8"/>
        <v>780</v>
      </c>
    </row>
    <row r="41" spans="1:12" x14ac:dyDescent="0.3">
      <c r="A41" s="24">
        <v>6120</v>
      </c>
      <c r="B41" s="21" t="str">
        <f>VLOOKUP(A41,재고차이!A:B,2,0)</f>
        <v>SP6120</v>
      </c>
      <c r="C41" s="21" t="str">
        <f>VLOOKUP(A41,재고차이!A:C,3,0)</f>
        <v>S스프라이트(신1.5P 2X6</v>
      </c>
      <c r="D41" s="21">
        <f>SUMIF(재고차이!B:B,주간상차!B:B,재고차이!E:E)</f>
        <v>44</v>
      </c>
      <c r="E41" s="26"/>
      <c r="F41" s="27" t="str">
        <f>IF(E41="","",ROUNDDOWN(H41,0))</f>
        <v/>
      </c>
      <c r="G41" s="27" t="str">
        <f>IF(E41="","",E41-I41)</f>
        <v/>
      </c>
      <c r="H41" s="27" t="str">
        <f>IF(E41="","",E41/SUMIF(재고차이!A:A,주간상차!A:A,재고차이!E:E))</f>
        <v/>
      </c>
      <c r="I41" s="27" t="str">
        <f>IF(E41="","",F41*D41)</f>
        <v/>
      </c>
    </row>
    <row r="42" spans="1:12" x14ac:dyDescent="0.3">
      <c r="A42" s="24">
        <v>6277</v>
      </c>
      <c r="B42" s="21" t="str">
        <f>VLOOKUP(A42,재고차이!A:B,2,0)</f>
        <v>PA6277</v>
      </c>
      <c r="C42" s="21" t="str">
        <f>VLOOKUP(A42,재고차이!A:C,3,0)</f>
        <v>파워 퍼플스톰 600PET 4X6</v>
      </c>
      <c r="D42" s="21">
        <f>SUMIF(재고차이!B:B,주간상차!B:B,재고차이!E:E)</f>
        <v>48</v>
      </c>
      <c r="E42" s="26">
        <f>48*15</f>
        <v>720</v>
      </c>
      <c r="F42" s="27">
        <f t="shared" si="6"/>
        <v>15</v>
      </c>
      <c r="G42" s="27">
        <f t="shared" si="7"/>
        <v>0</v>
      </c>
      <c r="H42" s="27">
        <f>IF(E42="","",E42/SUMIF(재고차이!A:A,주간상차!A:A,재고차이!E:E))</f>
        <v>15</v>
      </c>
      <c r="I42" s="27">
        <f t="shared" si="8"/>
        <v>720</v>
      </c>
      <c r="J42" s="5"/>
      <c r="K42" s="5"/>
      <c r="L42" s="5"/>
    </row>
    <row r="43" spans="1:12" x14ac:dyDescent="0.3">
      <c r="A43" s="24">
        <v>6285</v>
      </c>
      <c r="B43" s="21" t="str">
        <f>VLOOKUP(A43,재고차이!A:B,2,0)</f>
        <v>PA6285</v>
      </c>
      <c r="C43" s="21" t="str">
        <f>VLOOKUP(A43,재고차이!A:C,3,0)</f>
        <v>S)파워 스칼렛스톰 600PET 4X6</v>
      </c>
      <c r="D43" s="21">
        <f>SUMIF(재고차이!B:B,주간상차!B:B,재고차이!E:E)</f>
        <v>48</v>
      </c>
      <c r="E43" s="26">
        <f>48*16</f>
        <v>768</v>
      </c>
      <c r="F43" s="27">
        <f>IF(E43="","",ROUNDDOWN(H43,0))</f>
        <v>16</v>
      </c>
      <c r="G43" s="27">
        <f>IF(E43="","",E43-I43)</f>
        <v>0</v>
      </c>
      <c r="H43" s="27">
        <f>IF(E43="","",E43/SUMIF(재고차이!A:A,주간상차!A:A,재고차이!E:E))</f>
        <v>16</v>
      </c>
      <c r="I43" s="27">
        <f>IF(E43="","",F43*D43)</f>
        <v>768</v>
      </c>
      <c r="J43" s="5"/>
      <c r="K43" s="5"/>
      <c r="L43" s="5"/>
    </row>
    <row r="44" spans="1:12" x14ac:dyDescent="0.3">
      <c r="A44" s="24">
        <v>1007</v>
      </c>
      <c r="B44" s="21" t="str">
        <f>VLOOKUP(A44,재고차이!A:B,2,0)</f>
        <v>PA1007</v>
      </c>
      <c r="C44" s="21" t="str">
        <f>VLOOKUP(A44,재고차이!A:C,3,0)</f>
        <v>S)파워 제로 라임향 600PET 4X6</v>
      </c>
      <c r="D44" s="21">
        <f>SUMIF(재고차이!B:B,주간상차!B:B,재고차이!E:E)</f>
        <v>48</v>
      </c>
      <c r="E44" s="26">
        <f>48*23</f>
        <v>1104</v>
      </c>
      <c r="F44" s="27">
        <f t="shared" si="6"/>
        <v>23</v>
      </c>
      <c r="G44" s="27">
        <f t="shared" si="7"/>
        <v>0</v>
      </c>
      <c r="H44" s="27">
        <f>IF(E44="","",E44/SUMIF(재고차이!A:A,주간상차!A:A,재고차이!E:E))</f>
        <v>23</v>
      </c>
      <c r="I44" s="27">
        <f t="shared" si="8"/>
        <v>1104</v>
      </c>
      <c r="J44" s="5"/>
      <c r="K44" s="5"/>
      <c r="L44" s="5"/>
    </row>
    <row r="45" spans="1:12" x14ac:dyDescent="0.3">
      <c r="A45" s="10">
        <v>6349</v>
      </c>
      <c r="B45" s="21" t="str">
        <f>VLOOKUP(A45,재고차이!A:B,2,0)</f>
        <v>FT6349</v>
      </c>
      <c r="C45" s="21" t="str">
        <f>VLOOKUP(A45,재고차이!A:C,3,0)</f>
        <v>환타오렌지(S) 1.5P 2X6</v>
      </c>
      <c r="D45" s="21">
        <f>SUMIF(재고차이!B:B,주간상차!B:B,재고차이!E:E)</f>
        <v>33</v>
      </c>
      <c r="E45" s="26">
        <f>33*15</f>
        <v>495</v>
      </c>
      <c r="F45" s="27">
        <f t="shared" si="6"/>
        <v>15</v>
      </c>
      <c r="G45" s="27">
        <f t="shared" si="7"/>
        <v>0</v>
      </c>
      <c r="H45" s="27">
        <f>IF(E45="","",E45/SUMIF(재고차이!A:A,주간상차!A:A,재고차이!E:E))</f>
        <v>15</v>
      </c>
      <c r="I45" s="27">
        <f t="shared" si="8"/>
        <v>495</v>
      </c>
      <c r="J45" s="5"/>
      <c r="K45" s="5"/>
      <c r="L45" s="5"/>
    </row>
    <row r="46" spans="1:12" x14ac:dyDescent="0.3">
      <c r="A46" s="10">
        <v>6509</v>
      </c>
      <c r="B46" s="21" t="str">
        <f>VLOOKUP(A46,재고차이!A:B,2,0)</f>
        <v>MM6509</v>
      </c>
      <c r="C46" s="21" t="str">
        <f>VLOOKUP(A46,재고차이!A:C,3,0)</f>
        <v>S)MM오리지널0R100 1.5P 2X6</v>
      </c>
      <c r="D46" s="21">
        <f>SUMIF(재고차이!B:B,주간상차!B:B,재고차이!E:E)</f>
        <v>44</v>
      </c>
      <c r="E46" s="26">
        <v>44</v>
      </c>
      <c r="F46" s="27">
        <f t="shared" si="6"/>
        <v>1</v>
      </c>
      <c r="G46" s="27">
        <f t="shared" si="7"/>
        <v>0</v>
      </c>
      <c r="H46" s="27">
        <f>IF(E46="","",E46/SUMIF(재고차이!A:A,주간상차!A:A,재고차이!E:E))</f>
        <v>1</v>
      </c>
      <c r="I46" s="27">
        <f t="shared" si="8"/>
        <v>44</v>
      </c>
      <c r="J46" s="5"/>
      <c r="K46" s="5"/>
      <c r="L46" s="5"/>
    </row>
    <row r="47" spans="1:12" x14ac:dyDescent="0.3">
      <c r="A47" s="10">
        <v>6676</v>
      </c>
      <c r="B47" s="21" t="str">
        <f>VLOOKUP(A47,재고차이!A:B,2,0)</f>
        <v>CC6676</v>
      </c>
      <c r="C47" s="21" t="str">
        <f>VLOOKUP(A47,재고차이!A:C,3,0)</f>
        <v>S)코카콜라 500PET 4X6</v>
      </c>
      <c r="D47" s="21">
        <f>SUMIF(재고차이!B:B,주간상차!B:B,재고차이!E:E)</f>
        <v>60</v>
      </c>
      <c r="E47" s="26">
        <f>60*12</f>
        <v>720</v>
      </c>
      <c r="F47" s="27">
        <f>IF(E47="","",ROUNDDOWN(H47,0))</f>
        <v>12</v>
      </c>
      <c r="G47" s="27">
        <f t="shared" si="7"/>
        <v>0</v>
      </c>
      <c r="H47" s="27">
        <f>E47/D47</f>
        <v>12</v>
      </c>
      <c r="I47" s="27">
        <f t="shared" si="8"/>
        <v>720</v>
      </c>
      <c r="J47" s="5"/>
      <c r="K47" s="5"/>
      <c r="L47" s="5"/>
    </row>
    <row r="48" spans="1:12" x14ac:dyDescent="0.3">
      <c r="A48" s="10">
        <v>6705</v>
      </c>
      <c r="B48" s="21" t="str">
        <f>VLOOKUP(A48,재고차이!A:B,2,0)</f>
        <v>MM6705</v>
      </c>
      <c r="C48" s="21" t="str">
        <f>VLOOKUP(A48,재고차이!A:C,3,0)</f>
        <v>S)MM오리지널OR100 350P 4X6</v>
      </c>
      <c r="D48" s="21">
        <f>SUMIF(재고차이!B:B,주간상차!B:B,재고차이!E:E)</f>
        <v>60</v>
      </c>
      <c r="E48" s="26"/>
      <c r="F48" s="27" t="str">
        <f t="shared" si="6"/>
        <v/>
      </c>
      <c r="G48" s="27" t="str">
        <f t="shared" si="7"/>
        <v/>
      </c>
      <c r="H48" s="27" t="str">
        <f>IF(E48="","",E48/SUMIF(재고차이!A:A,주간상차!A:A,재고차이!E:E))</f>
        <v/>
      </c>
      <c r="I48" s="27" t="str">
        <f t="shared" si="8"/>
        <v/>
      </c>
      <c r="J48" s="5"/>
      <c r="K48" s="5"/>
      <c r="L48" s="5"/>
    </row>
    <row r="49" spans="1:16" x14ac:dyDescent="0.3">
      <c r="A49" s="10">
        <v>6871</v>
      </c>
      <c r="B49" s="21" t="str">
        <f>VLOOKUP(A49,재고차이!A:B,2,0)</f>
        <v>PA6871</v>
      </c>
      <c r="C49" s="21" t="str">
        <f>VLOOKUP(A49,재고차이!A:C,3,0)</f>
        <v>S)파워 마운틴블라 600PET 4X6</v>
      </c>
      <c r="D49" s="21">
        <f>SUMIF(재고차이!B:B,주간상차!B:B,재고차이!E:E)</f>
        <v>48</v>
      </c>
      <c r="E49" s="26">
        <f>48*38</f>
        <v>1824</v>
      </c>
      <c r="F49" s="27">
        <f t="shared" si="6"/>
        <v>38</v>
      </c>
      <c r="G49" s="27">
        <f t="shared" si="7"/>
        <v>0</v>
      </c>
      <c r="H49" s="27">
        <f>IF(E49="","",E49/SUMIF(재고차이!A:A,주간상차!A:A,재고차이!E:E))</f>
        <v>38</v>
      </c>
      <c r="I49" s="27">
        <f t="shared" si="8"/>
        <v>1824</v>
      </c>
      <c r="J49" s="5"/>
      <c r="K49" s="5"/>
      <c r="L49" s="5"/>
    </row>
    <row r="50" spans="1:16" x14ac:dyDescent="0.3">
      <c r="A50" s="24">
        <v>8429</v>
      </c>
      <c r="B50" s="21" t="str">
        <f>VLOOKUP(A50,재고차이!A:B,2,0)</f>
        <v>CC8429</v>
      </c>
      <c r="C50" s="21" t="str">
        <f>VLOOKUP(A50,재고차이!A:C,3,0)</f>
        <v>코크제로 1.5PET 2X6</v>
      </c>
      <c r="D50" s="21">
        <f>SUMIF(재고차이!B:B,주간상차!B:B,재고차이!E:E)</f>
        <v>40</v>
      </c>
      <c r="E50" s="26">
        <f>40*29</f>
        <v>1160</v>
      </c>
      <c r="F50" s="27">
        <f t="shared" si="6"/>
        <v>29</v>
      </c>
      <c r="G50" s="27">
        <f t="shared" si="7"/>
        <v>0</v>
      </c>
      <c r="H50" s="27">
        <f>IF(E50="","",E50/SUMIF(재고차이!A:A,주간상차!A:A,재고차이!E:E))</f>
        <v>29</v>
      </c>
      <c r="I50" s="27">
        <f t="shared" si="8"/>
        <v>1160</v>
      </c>
      <c r="J50" s="5"/>
      <c r="K50" s="5"/>
      <c r="L50" s="5"/>
    </row>
    <row r="51" spans="1:16" x14ac:dyDescent="0.3">
      <c r="A51" s="24">
        <v>7949</v>
      </c>
      <c r="B51" s="21" t="str">
        <f>VLOOKUP(A51,재고차이!A:B,2,0)</f>
        <v>MM7949</v>
      </c>
      <c r="C51" s="21" t="str">
        <f>VLOOKUP(A51,재고차이!A:C,3,0)</f>
        <v>미닛 오+포+알 180NRB 3X12</v>
      </c>
      <c r="D51" s="21">
        <f>SUMIF(재고차이!B:B,주간상차!B:B,재고차이!E:E)</f>
        <v>72</v>
      </c>
      <c r="E51" s="26"/>
      <c r="F51" s="27" t="str">
        <f t="shared" si="6"/>
        <v/>
      </c>
      <c r="G51" s="27" t="str">
        <f t="shared" si="7"/>
        <v/>
      </c>
      <c r="H51" s="27" t="str">
        <f>IF(E51="","",E51/SUMIF(재고차이!A:A,주간상차!A:A,재고차이!E:E))</f>
        <v/>
      </c>
      <c r="I51" s="27" t="str">
        <f t="shared" si="8"/>
        <v/>
      </c>
      <c r="J51" s="5"/>
      <c r="K51" s="5"/>
      <c r="L51" s="5"/>
    </row>
    <row r="52" spans="1:16" x14ac:dyDescent="0.3">
      <c r="A52" s="10">
        <v>7923</v>
      </c>
      <c r="B52" s="21" t="str">
        <f>VLOOKUP(A52,재고차이!A:B,2,0)</f>
        <v>CC7923</v>
      </c>
      <c r="C52" s="21" t="str">
        <f>VLOOKUP(A52,재고차이!A:C,3,0)</f>
        <v>S)코카-콜라1.5PET 2X6</v>
      </c>
      <c r="D52" s="21">
        <f>SUMIF(재고차이!B:B,주간상차!B:B,재고차이!E:E)</f>
        <v>44</v>
      </c>
      <c r="E52" s="26">
        <f>44*20</f>
        <v>880</v>
      </c>
      <c r="F52" s="27">
        <f t="shared" si="6"/>
        <v>20</v>
      </c>
      <c r="G52" s="27">
        <f t="shared" si="7"/>
        <v>0</v>
      </c>
      <c r="H52" s="155">
        <f>E52/D52</f>
        <v>20</v>
      </c>
      <c r="I52" s="27">
        <f t="shared" si="8"/>
        <v>880</v>
      </c>
      <c r="J52" s="5"/>
      <c r="K52" s="5"/>
      <c r="L52" s="5"/>
    </row>
    <row r="53" spans="1:16" x14ac:dyDescent="0.3">
      <c r="A53" s="10">
        <v>7988</v>
      </c>
      <c r="B53" s="21" t="str">
        <f>VLOOKUP(A53,재고차이!A:B,2,0)</f>
        <v>DP7988</v>
      </c>
      <c r="C53" s="21" t="str">
        <f>VLOOKUP(A53,재고차이!A:C,3,0)</f>
        <v>닥터페퍼 500PET 4X6</v>
      </c>
      <c r="D53" s="21">
        <f>SUMIF(재고차이!B:B,주간상차!B:B,재고차이!E:E)</f>
        <v>60</v>
      </c>
      <c r="E53" s="26"/>
      <c r="F53" s="27" t="str">
        <f t="shared" si="6"/>
        <v/>
      </c>
      <c r="G53" s="27" t="str">
        <f t="shared" si="7"/>
        <v/>
      </c>
      <c r="H53" s="27" t="str">
        <f>IF(E53="","",E53/SUMIF(재고차이!A:A,주간상차!A:A,재고차이!E:E))</f>
        <v/>
      </c>
      <c r="I53" s="27" t="str">
        <f t="shared" si="8"/>
        <v/>
      </c>
      <c r="J53" s="5"/>
      <c r="K53" s="5"/>
      <c r="L53" s="5"/>
    </row>
    <row r="54" spans="1:16" x14ac:dyDescent="0.3">
      <c r="A54" s="24">
        <v>8278</v>
      </c>
      <c r="B54" s="21" t="str">
        <f>VLOOKUP(A54,재고차이!A:B,2,0)</f>
        <v>GG8278</v>
      </c>
      <c r="C54" s="21" t="str">
        <f>VLOOKUP(A54,재고차이!A:C,3,0)</f>
        <v>조지아 크래프트 저칼로리라떼 470PET 4X6</v>
      </c>
      <c r="D54" s="21">
        <f>SUMIF(재고차이!B:B,주간상차!B:B,재고차이!E:E)</f>
        <v>56</v>
      </c>
      <c r="E54" s="26"/>
      <c r="F54" s="27" t="str">
        <f>IF(E54="","",ROUNDDOWN(H54,0))</f>
        <v/>
      </c>
      <c r="G54" s="27" t="str">
        <f>IF(E54="","",E54-I54)</f>
        <v/>
      </c>
      <c r="H54" s="27" t="str">
        <f>IF(E54="","",E54/SUMIF(재고차이!A:A,주간상차!A:A,재고차이!E:E))</f>
        <v/>
      </c>
      <c r="I54" s="27" t="str">
        <f>IF(E54="","",F54*D54)</f>
        <v/>
      </c>
      <c r="J54" s="5"/>
      <c r="K54" s="5"/>
      <c r="L54" s="5"/>
    </row>
    <row r="55" spans="1:16" x14ac:dyDescent="0.3">
      <c r="A55" s="24">
        <v>8058</v>
      </c>
      <c r="B55" s="21" t="str">
        <f>VLOOKUP(A55,재고차이!A:B,2,0)</f>
        <v>GG8058</v>
      </c>
      <c r="C55" s="21" t="str">
        <f>VLOOKUP(A55,재고차이!A:C,3,0)</f>
        <v>조지아 크래프트 스윗블랙 470PET 4X6</v>
      </c>
      <c r="D55" s="21">
        <f>SUMIF(재고차이!B:B,주간상차!B:B,재고차이!E:E)</f>
        <v>56</v>
      </c>
      <c r="E55" s="26"/>
      <c r="F55" s="27" t="str">
        <f t="shared" ref="F55:F75" si="21">IF(E55="","",ROUNDDOWN(H55,0))</f>
        <v/>
      </c>
      <c r="G55" s="27" t="str">
        <f t="shared" ref="G55:G75" si="22">IF(E55="","",E55-I55)</f>
        <v/>
      </c>
      <c r="H55" s="27" t="str">
        <f>IF(E55="","",E55/SUMIF(재고차이!A:A,주간상차!A:A,재고차이!E:E))</f>
        <v/>
      </c>
      <c r="I55" s="27" t="str">
        <f t="shared" ref="I55:I75" si="23">IF(E55="","",F55*D55)</f>
        <v/>
      </c>
      <c r="J55" s="5"/>
      <c r="K55" s="5"/>
      <c r="L55" s="5"/>
    </row>
    <row r="56" spans="1:16" x14ac:dyDescent="0.3">
      <c r="A56" s="24">
        <v>8065</v>
      </c>
      <c r="B56" s="21" t="str">
        <f>VLOOKUP(A56,재고차이!A:B,2,0)</f>
        <v>GG8065</v>
      </c>
      <c r="C56" s="21" t="str">
        <f>VLOOKUP(A56,재고차이!A:C,3,0)</f>
        <v>조지아 크래프트 블랙 470PET 4X6</v>
      </c>
      <c r="D56" s="21">
        <f>SUMIF(재고차이!B:B,주간상차!B:B,재고차이!E:E)</f>
        <v>56</v>
      </c>
      <c r="E56" s="26">
        <f>56*14</f>
        <v>784</v>
      </c>
      <c r="F56" s="27">
        <f t="shared" si="21"/>
        <v>14</v>
      </c>
      <c r="G56" s="27">
        <f t="shared" si="22"/>
        <v>0</v>
      </c>
      <c r="H56" s="27">
        <f>IF(E56="","",E56/SUMIF(재고차이!A:A,주간상차!A:A,재고차이!E:E))</f>
        <v>14</v>
      </c>
      <c r="I56" s="27">
        <f t="shared" si="23"/>
        <v>784</v>
      </c>
      <c r="J56" s="5"/>
      <c r="K56" s="5"/>
      <c r="L56" s="5"/>
    </row>
    <row r="57" spans="1:16" x14ac:dyDescent="0.3">
      <c r="A57" s="24">
        <v>8066</v>
      </c>
      <c r="B57" s="21" t="str">
        <f>VLOOKUP(A57,재고차이!A:B,2,0)</f>
        <v>GG8066</v>
      </c>
      <c r="C57" s="21" t="str">
        <f>VLOOKUP(A57,재고차이!A:C,3,0)</f>
        <v>조지아 크래프트 라떼 470PET 4X6</v>
      </c>
      <c r="D57" s="21">
        <f>SUMIF(재고차이!B:B,주간상차!B:B,재고차이!E:E)</f>
        <v>56</v>
      </c>
      <c r="E57" s="26"/>
      <c r="F57" s="27" t="str">
        <f t="shared" si="21"/>
        <v/>
      </c>
      <c r="G57" s="27" t="str">
        <f t="shared" si="22"/>
        <v/>
      </c>
      <c r="H57" s="27" t="str">
        <f>IF(E57="","",E57/SUMIF(재고차이!A:A,주간상차!A:A,재고차이!E:E))</f>
        <v/>
      </c>
      <c r="I57" s="27" t="str">
        <f t="shared" si="23"/>
        <v/>
      </c>
      <c r="J57" s="5"/>
      <c r="K57" s="5"/>
      <c r="L57" s="5"/>
    </row>
    <row r="58" spans="1:16" x14ac:dyDescent="0.3">
      <c r="A58" s="10">
        <v>8082</v>
      </c>
      <c r="B58" s="21" t="str">
        <f>VLOOKUP(A58,재고차이!A:B,2,0)</f>
        <v>GG8082</v>
      </c>
      <c r="C58" s="21" t="str">
        <f>VLOOKUP(A58,재고차이!A:C,3,0)</f>
        <v>S)조지아 리치아로마 블랙 270BTC 4X6</v>
      </c>
      <c r="D58" s="21">
        <f>SUMIF(재고차이!B:B,주간상차!B:B,재고차이!E:E)</f>
        <v>100</v>
      </c>
      <c r="E58" s="26"/>
      <c r="F58" s="27" t="str">
        <f t="shared" si="21"/>
        <v/>
      </c>
      <c r="G58" s="27" t="str">
        <f t="shared" si="22"/>
        <v/>
      </c>
      <c r="H58" s="27" t="str">
        <f>IF(E58="","",E58/SUMIF(재고차이!A:A,주간상차!A:A,재고차이!E:E))</f>
        <v/>
      </c>
      <c r="I58" s="27" t="str">
        <f t="shared" si="23"/>
        <v/>
      </c>
      <c r="J58" s="5"/>
      <c r="K58" s="5"/>
      <c r="L58" s="5"/>
    </row>
    <row r="59" spans="1:16" x14ac:dyDescent="0.3">
      <c r="A59" s="24">
        <v>8115</v>
      </c>
      <c r="B59" s="21" t="str">
        <f>VLOOKUP(A59,재고차이!A:B,2,0)</f>
        <v>GG8115</v>
      </c>
      <c r="C59" s="21" t="str">
        <f>VLOOKUP(A59,재고차이!A:C,3,0)</f>
        <v>조지아 크래프트 블랙 800PET 2X6</v>
      </c>
      <c r="D59" s="21">
        <f>SUMIF(재고차이!B:B,주간상차!B:B,재고차이!E:E)</f>
        <v>65</v>
      </c>
      <c r="E59" s="26"/>
      <c r="F59" s="27" t="str">
        <f t="shared" si="21"/>
        <v/>
      </c>
      <c r="G59" s="27" t="str">
        <f t="shared" si="22"/>
        <v/>
      </c>
      <c r="H59" s="27" t="str">
        <f>IF(E59="","",E59/SUMIF(재고차이!A:A,주간상차!A:A,재고차이!E:E))</f>
        <v/>
      </c>
      <c r="I59" s="27" t="str">
        <f t="shared" si="23"/>
        <v/>
      </c>
      <c r="J59" s="5"/>
      <c r="K59" s="5"/>
      <c r="L59" s="5"/>
    </row>
    <row r="60" spans="1:16" x14ac:dyDescent="0.3">
      <c r="A60" s="24">
        <v>8167</v>
      </c>
      <c r="B60" s="21" t="str">
        <f>VLOOKUP(A60,재고차이!A:B,2,0)</f>
        <v>GG8167</v>
      </c>
      <c r="C60" s="21" t="str">
        <f>VLOOKUP(A60,재고차이!A:C,3,0)</f>
        <v>S)조지아 리치아로마 라떼 270BTC 4X6</v>
      </c>
      <c r="D60" s="21">
        <f>SUMIF(재고차이!B:B,주간상차!B:B,재고차이!E:E)</f>
        <v>100</v>
      </c>
      <c r="E60" s="26"/>
      <c r="F60" s="27" t="str">
        <f t="shared" si="21"/>
        <v/>
      </c>
      <c r="G60" s="27" t="str">
        <f t="shared" si="22"/>
        <v/>
      </c>
      <c r="H60" s="27" t="str">
        <f>IF(E60="","",E60/SUMIF(재고차이!A:A,주간상차!A:A,재고차이!E:E))</f>
        <v/>
      </c>
      <c r="I60" s="27" t="str">
        <f t="shared" si="23"/>
        <v/>
      </c>
      <c r="J60" s="5"/>
      <c r="K60" s="5"/>
      <c r="L60" s="5"/>
    </row>
    <row r="61" spans="1:16" x14ac:dyDescent="0.3">
      <c r="A61" s="24">
        <v>8188</v>
      </c>
      <c r="B61" s="21" t="str">
        <f>VLOOKUP(A61,재고차이!A:B,2,0)</f>
        <v>TY8188</v>
      </c>
      <c r="C61" s="21" t="str">
        <f>VLOOKUP(A61,재고차이!A:C,3,0)</f>
        <v>태양의 마테차500P 4X6</v>
      </c>
      <c r="D61" s="21">
        <f>SUMIF(재고차이!B:B,주간상차!B:B,재고차이!E:E)</f>
        <v>70</v>
      </c>
      <c r="E61" s="26"/>
      <c r="F61" s="27" t="str">
        <f t="shared" si="21"/>
        <v/>
      </c>
      <c r="G61" s="27" t="str">
        <f t="shared" si="22"/>
        <v/>
      </c>
      <c r="H61" s="27" t="str">
        <f>IF(E61="","",E61/SUMIF(재고차이!A:A,주간상차!A:A,재고차이!E:E))</f>
        <v/>
      </c>
      <c r="I61" s="27" t="str">
        <f t="shared" si="23"/>
        <v/>
      </c>
      <c r="J61" s="5"/>
      <c r="K61" s="5"/>
      <c r="L61" s="5"/>
    </row>
    <row r="62" spans="1:16" x14ac:dyDescent="0.3">
      <c r="A62" s="10">
        <v>8273</v>
      </c>
      <c r="B62" s="21" t="str">
        <f>VLOOKUP(A62,재고차이!A:B,2,0)</f>
        <v>CC8273</v>
      </c>
      <c r="C62" s="21" t="str">
        <f>VLOOKUP(A62,재고차이!A:C,3,0)</f>
        <v>코크 제로 250CAN 5X6</v>
      </c>
      <c r="D62" s="21">
        <f>SUMIF(재고차이!B:B,주간상차!B:B,재고차이!E:E)</f>
        <v>132</v>
      </c>
      <c r="E62" s="26"/>
      <c r="F62" s="27" t="str">
        <f t="shared" si="21"/>
        <v/>
      </c>
      <c r="G62" s="27" t="str">
        <f t="shared" si="22"/>
        <v/>
      </c>
      <c r="H62" s="27" t="str">
        <f>IF(E62="","",E62/SUMIF(재고차이!A:A,주간상차!A:A,재고차이!E:E))</f>
        <v/>
      </c>
      <c r="I62" s="27" t="str">
        <f t="shared" si="23"/>
        <v/>
      </c>
      <c r="J62" s="5"/>
      <c r="K62" s="5"/>
      <c r="L62" s="5"/>
      <c r="P62" s="203"/>
    </row>
    <row r="63" spans="1:16" x14ac:dyDescent="0.3">
      <c r="A63" s="10">
        <v>5777</v>
      </c>
      <c r="B63" s="21" t="str">
        <f>VLOOKUP(A63,재고차이!A:B,2,0)</f>
        <v>CC5777</v>
      </c>
      <c r="C63" s="21" t="str">
        <f>VLOOKUP(A63,재고차이!A:C,3,0)</f>
        <v>코크제로 350CAN 4X6</v>
      </c>
      <c r="D63" s="21">
        <f>SUMIF(재고차이!B:B,주간상차!B:B,재고차이!E:E)</f>
        <v>100</v>
      </c>
      <c r="E63" s="26">
        <v>200</v>
      </c>
      <c r="F63" s="27">
        <f>IF(E63="","",ROUNDDOWN(H63,0))</f>
        <v>2</v>
      </c>
      <c r="G63" s="27">
        <f>IF(E63="","",E63-I63)</f>
        <v>0</v>
      </c>
      <c r="H63" s="27">
        <f>IF(E63="","",E63/SUMIF(재고차이!A:A,주간상차!A:A,재고차이!E:E))</f>
        <v>2</v>
      </c>
      <c r="I63" s="27">
        <f>IF(E63="","",F63*D63)</f>
        <v>200</v>
      </c>
      <c r="J63" s="5"/>
      <c r="K63" s="5"/>
      <c r="L63" s="5"/>
    </row>
    <row r="64" spans="1:16" x14ac:dyDescent="0.3">
      <c r="A64" s="10">
        <v>454</v>
      </c>
      <c r="B64" s="21" t="str">
        <f>VLOOKUP(A64,재고차이!A:B,2,0)</f>
        <v>CC0454</v>
      </c>
      <c r="C64" s="21" t="str">
        <f>VLOOKUP(A64,재고차이!A:C,3,0)</f>
        <v>코크 제로 레몬 355CAN 4X6</v>
      </c>
      <c r="D64" s="21">
        <f>SUMIF(재고차이!B:B,주간상차!B:B,재고차이!E:E)</f>
        <v>100</v>
      </c>
      <c r="E64" s="26"/>
      <c r="F64" s="27" t="str">
        <f>IF(E64="","",ROUNDDOWN(H64,0))</f>
        <v/>
      </c>
      <c r="G64" s="27" t="str">
        <f>IF(E64="","",E64-I64)</f>
        <v/>
      </c>
      <c r="H64" s="27" t="str">
        <f>IF(E64="","",E64/SUMIF(재고차이!A:A,주간상차!A:A,재고차이!E:E))</f>
        <v/>
      </c>
      <c r="I64" s="27" t="str">
        <f>IF(E64="","",F64*D64)</f>
        <v/>
      </c>
      <c r="J64" s="5"/>
      <c r="K64" s="5"/>
      <c r="L64" s="5"/>
    </row>
    <row r="65" spans="1:16" x14ac:dyDescent="0.3">
      <c r="A65" s="10">
        <v>5194</v>
      </c>
      <c r="B65" s="21" t="str">
        <f>VLOOKUP(A65,재고차이!A:B,2,0)</f>
        <v>CC5194</v>
      </c>
      <c r="C65" s="21" t="str">
        <f>VLOOKUP(A65,재고차이!A:C,3,0)</f>
        <v>S)코크제로 레몬 350CAN 4X6</v>
      </c>
      <c r="D65" s="21">
        <f>SUMIF(재고차이!B:B,주간상차!B:B,재고차이!E:E)</f>
        <v>100</v>
      </c>
      <c r="E65" s="26"/>
      <c r="F65" s="27" t="str">
        <f>IF(E65="","",ROUNDDOWN(H65,0))</f>
        <v/>
      </c>
      <c r="G65" s="27" t="str">
        <f>IF(E65="","",E65-I65)</f>
        <v/>
      </c>
      <c r="H65" s="27" t="str">
        <f>IF(E65="","",E65/SUMIF(재고차이!A:A,주간상차!A:A,재고차이!E:E))</f>
        <v/>
      </c>
      <c r="I65" s="27" t="str">
        <f>IF(E65="","",F65*D65)</f>
        <v/>
      </c>
      <c r="J65" s="5"/>
      <c r="K65" s="5"/>
      <c r="L65" s="5"/>
    </row>
    <row r="66" spans="1:16" x14ac:dyDescent="0.3">
      <c r="A66" s="10">
        <v>5769</v>
      </c>
      <c r="B66" s="21" t="str">
        <f>VLOOKUP(A66,재고차이!A:B,2,0)</f>
        <v>CC5769</v>
      </c>
      <c r="C66" s="21" t="str">
        <f>VLOOKUP(A66,재고차이!A:C,3,0)</f>
        <v>코크제로 제로 350CAN 4X6</v>
      </c>
      <c r="D66" s="21">
        <f>SUMIF(재고차이!B:B,주간상차!B:B,재고차이!E:E)</f>
        <v>100</v>
      </c>
      <c r="E66" s="26"/>
      <c r="F66" s="27" t="str">
        <f t="shared" si="21"/>
        <v/>
      </c>
      <c r="G66" s="27" t="str">
        <f t="shared" si="22"/>
        <v/>
      </c>
      <c r="H66" s="27" t="str">
        <f>IF(E66="","",E66/SUMIF(재고차이!A:A,주간상차!A:A,재고차이!E:E))</f>
        <v/>
      </c>
      <c r="I66" s="27" t="str">
        <f t="shared" si="23"/>
        <v/>
      </c>
      <c r="J66" s="5"/>
      <c r="K66" s="5"/>
      <c r="L66" s="5"/>
    </row>
    <row r="67" spans="1:16" x14ac:dyDescent="0.3">
      <c r="A67" s="10">
        <v>8541</v>
      </c>
      <c r="B67" s="21" t="str">
        <f>VLOOKUP(A67,재고차이!A:B,2,0)</f>
        <v>PA8541</v>
      </c>
      <c r="C67" s="21" t="str">
        <f>VLOOKUP(A67,재고차이!A:C,3,0)</f>
        <v>파워마운틴소분1.5P 2X6</v>
      </c>
      <c r="D67" s="21">
        <f>SUMIF(재고차이!B:B,주간상차!B:B,재고차이!E:E)</f>
        <v>44</v>
      </c>
      <c r="E67" s="26">
        <f>44*32</f>
        <v>1408</v>
      </c>
      <c r="F67" s="27">
        <f t="shared" si="21"/>
        <v>32</v>
      </c>
      <c r="G67" s="27">
        <f t="shared" si="22"/>
        <v>0</v>
      </c>
      <c r="H67" s="27">
        <f>IF(E67="","",E67/SUMIF(재고차이!A:A,주간상차!A:A,재고차이!E:E))</f>
        <v>32</v>
      </c>
      <c r="I67" s="27">
        <f t="shared" si="23"/>
        <v>1408</v>
      </c>
      <c r="J67" s="5"/>
      <c r="K67" s="5"/>
      <c r="L67" s="205"/>
      <c r="M67" s="5">
        <v>319</v>
      </c>
      <c r="N67" s="203">
        <f>F94</f>
        <v>319</v>
      </c>
      <c r="O67" s="5" t="s">
        <v>2503</v>
      </c>
      <c r="P67" s="203">
        <f>N67-N68-N69</f>
        <v>0</v>
      </c>
    </row>
    <row r="68" spans="1:16" x14ac:dyDescent="0.3">
      <c r="A68" s="24">
        <v>8521</v>
      </c>
      <c r="B68" s="21" t="str">
        <f>VLOOKUP(A68,재고차이!A:B,2,0)</f>
        <v>PA8521</v>
      </c>
      <c r="C68" s="21" t="str">
        <f>VLOOKUP(A68,재고차이!A:C,3,0)</f>
        <v>파워M/B 240CAN 5X6</v>
      </c>
      <c r="D68" s="21">
        <f>SUMIF(재고차이!B:B,주간상차!B:B,재고차이!E:E)</f>
        <v>132</v>
      </c>
      <c r="E68" s="26"/>
      <c r="F68" s="27" t="str">
        <f>IF(E68="","",ROUNDDOWN(H68,0))</f>
        <v/>
      </c>
      <c r="G68" s="27" t="str">
        <f>IF(E68="","",E68-I68)</f>
        <v/>
      </c>
      <c r="H68" s="27" t="str">
        <f>IF(E68="","",E68/SUMIF(재고차이!A:A,주간상차!A:A,재고차이!E:E))</f>
        <v/>
      </c>
      <c r="I68" s="27" t="str">
        <f>IF(E68="","",F68*D68)</f>
        <v/>
      </c>
      <c r="J68" s="5"/>
      <c r="K68" s="5"/>
      <c r="L68" s="5"/>
      <c r="M68" s="5" t="s">
        <v>2487</v>
      </c>
      <c r="N68" s="204">
        <f>M67-N69</f>
        <v>319</v>
      </c>
      <c r="O68" s="202"/>
    </row>
    <row r="69" spans="1:16" x14ac:dyDescent="0.3">
      <c r="A69" s="24">
        <v>8560</v>
      </c>
      <c r="B69" s="21" t="str">
        <f>VLOOKUP(A69,재고차이!A:B,2,0)</f>
        <v>TR8560</v>
      </c>
      <c r="C69" s="21" t="str">
        <f>VLOOKUP(A69,재고차이!A:C,3,0)</f>
        <v>토레타 240CAN 5X6</v>
      </c>
      <c r="D69" s="21">
        <f>SUMIF(재고차이!B:B,주간상차!B:B,재고차이!E:E)</f>
        <v>132</v>
      </c>
      <c r="E69" s="26"/>
      <c r="F69" s="27" t="str">
        <f t="shared" si="21"/>
        <v/>
      </c>
      <c r="G69" s="27" t="str">
        <f t="shared" si="22"/>
        <v/>
      </c>
      <c r="H69" s="27" t="str">
        <f>IF(E69="","",E69/SUMIF(재고차이!A:A,주간상차!A:A,재고차이!E:E))</f>
        <v/>
      </c>
      <c r="I69" s="27" t="str">
        <f t="shared" si="23"/>
        <v/>
      </c>
      <c r="J69" s="5"/>
      <c r="K69" s="5"/>
      <c r="L69" s="5"/>
      <c r="M69" s="5" t="s">
        <v>2488</v>
      </c>
      <c r="N69" s="12"/>
    </row>
    <row r="70" spans="1:16" x14ac:dyDescent="0.3">
      <c r="A70" s="24">
        <v>8561</v>
      </c>
      <c r="B70" s="21" t="str">
        <f>VLOOKUP(A70,재고차이!A:B,2,0)</f>
        <v>TR8561</v>
      </c>
      <c r="C70" s="21" t="str">
        <f>VLOOKUP(A70,재고차이!A:C,3,0)</f>
        <v>토레타 500ml (소분)</v>
      </c>
      <c r="D70" s="21">
        <f>SUMIF(재고차이!B:B,주간상차!B:B,재고차이!E:E)</f>
        <v>70</v>
      </c>
      <c r="E70" s="26"/>
      <c r="F70" s="27" t="str">
        <f>IF(E70="","",ROUNDDOWN(H70,0))</f>
        <v/>
      </c>
      <c r="G70" s="27" t="str">
        <f>IF(E70="","",E70-I70)</f>
        <v/>
      </c>
      <c r="H70" s="27" t="str">
        <f>IF(E70="","",E70/SUMIF(재고차이!A:A,주간상차!A:A,재고차이!E:E))</f>
        <v/>
      </c>
      <c r="I70" s="27" t="str">
        <f>IF(E70="","",F70*D70)</f>
        <v/>
      </c>
      <c r="J70" s="5"/>
      <c r="K70" s="5"/>
      <c r="L70" s="5"/>
      <c r="N70" s="201"/>
    </row>
    <row r="71" spans="1:16" x14ac:dyDescent="0.3">
      <c r="A71" s="24">
        <v>8590</v>
      </c>
      <c r="B71" s="21" t="str">
        <f>VLOOKUP(A71,재고차이!A:B,2,0)</f>
        <v>TR8590</v>
      </c>
      <c r="C71" s="21" t="str">
        <f>VLOOKUP(A71,재고차이!A:C,3,0)</f>
        <v>토레타 제로500PET 4x6</v>
      </c>
      <c r="D71" s="21">
        <f>SUMIF(재고차이!B:B,주간상차!B:B,재고차이!E:E)</f>
        <v>70</v>
      </c>
      <c r="E71" s="26">
        <f>70*18</f>
        <v>1260</v>
      </c>
      <c r="F71" s="27">
        <f t="shared" si="21"/>
        <v>18</v>
      </c>
      <c r="G71" s="27">
        <f t="shared" si="22"/>
        <v>0</v>
      </c>
      <c r="H71" s="27">
        <f>IF(E71="","",E71/SUMIF(재고차이!A:A,주간상차!A:A,재고차이!E:E))</f>
        <v>18</v>
      </c>
      <c r="I71" s="27">
        <f t="shared" si="23"/>
        <v>1260</v>
      </c>
      <c r="J71" s="5"/>
      <c r="K71" s="5"/>
      <c r="L71" s="5"/>
      <c r="N71" s="201"/>
    </row>
    <row r="72" spans="1:16" x14ac:dyDescent="0.3">
      <c r="A72" s="24">
        <v>8571</v>
      </c>
      <c r="B72" s="21" t="str">
        <f>VLOOKUP(A72,재고차이!A:B,2,0)</f>
        <v>TR8571</v>
      </c>
      <c r="C72" s="21" t="str">
        <f>VLOOKUP(A72,재고차이!A:C,3,0)</f>
        <v>토레타 900PET 2X6</v>
      </c>
      <c r="D72" s="21">
        <f>SUMIF(재고차이!B:B,주간상차!B:B,재고차이!E:E)</f>
        <v>80</v>
      </c>
      <c r="E72" s="26"/>
      <c r="F72" s="27" t="str">
        <f t="shared" ref="F72" si="24">IF(E72="","",ROUNDDOWN(H72,0))</f>
        <v/>
      </c>
      <c r="G72" s="27" t="str">
        <f t="shared" ref="G72" si="25">IF(E72="","",E72-I72)</f>
        <v/>
      </c>
      <c r="H72" s="27" t="str">
        <f>IF(E72="","",E72/SUMIF(재고차이!A:A,주간상차!A:A,재고차이!E:E))</f>
        <v/>
      </c>
      <c r="I72" s="27" t="str">
        <f t="shared" ref="I72" si="26">IF(E72="","",F72*D72)</f>
        <v/>
      </c>
      <c r="J72" s="5"/>
      <c r="K72" s="5"/>
      <c r="L72" s="5"/>
    </row>
    <row r="73" spans="1:16" x14ac:dyDescent="0.3">
      <c r="A73" s="24" t="s">
        <v>2688</v>
      </c>
      <c r="B73" s="21" t="str">
        <f>VLOOKUP(A73,재고차이!A:B,2,0)</f>
        <v>IH0001</v>
      </c>
      <c r="C73" s="21" t="str">
        <f>VLOOKUP(A73,재고차이!A:C,3,0)</f>
        <v>S)일로하스 피치 540PET 4X6</v>
      </c>
      <c r="D73" s="21">
        <f>SUMIF(재고차이!B:B,주간상차!B:B,재고차이!E:E)</f>
        <v>70</v>
      </c>
      <c r="E73" s="26">
        <f>70*4</f>
        <v>280</v>
      </c>
      <c r="F73" s="27">
        <f t="shared" si="21"/>
        <v>4</v>
      </c>
      <c r="G73" s="27">
        <f t="shared" si="22"/>
        <v>0</v>
      </c>
      <c r="H73" s="27">
        <f>IF(E73="","",E73/SUMIF(재고차이!A:A,주간상차!A:A,재고차이!E:E))</f>
        <v>4</v>
      </c>
      <c r="I73" s="27">
        <f t="shared" si="23"/>
        <v>280</v>
      </c>
      <c r="J73" s="5"/>
      <c r="K73" s="5"/>
      <c r="L73" s="5"/>
    </row>
    <row r="74" spans="1:16" x14ac:dyDescent="0.3">
      <c r="A74" s="24">
        <v>8811</v>
      </c>
      <c r="B74" s="21" t="str">
        <f>VLOOKUP(A74,재고차이!A:B,2,0)</f>
        <v>VS8811</v>
      </c>
      <c r="C74" s="21" t="str">
        <f>VLOOKUP(A74,재고차이!A:C,3,0)</f>
        <v>휘오철원순수500P X20</v>
      </c>
      <c r="D74" s="21">
        <f>SUMIF(재고차이!B:B,주간상차!B:B,재고차이!E:E)</f>
        <v>96</v>
      </c>
      <c r="E74" s="26"/>
      <c r="F74" s="27" t="str">
        <f t="shared" si="21"/>
        <v/>
      </c>
      <c r="G74" s="27" t="str">
        <f t="shared" si="22"/>
        <v/>
      </c>
      <c r="H74" s="27" t="str">
        <f>IF(E74="","",E74/SUMIF(재고차이!A:A,주간상차!A:A,재고차이!E:E))</f>
        <v/>
      </c>
      <c r="I74" s="27" t="str">
        <f t="shared" si="23"/>
        <v/>
      </c>
      <c r="J74" s="5"/>
      <c r="K74" s="5"/>
      <c r="L74" s="5"/>
    </row>
    <row r="75" spans="1:16" x14ac:dyDescent="0.3">
      <c r="A75" s="24">
        <v>8812</v>
      </c>
      <c r="B75" s="21" t="str">
        <f>VLOOKUP(A75,재고차이!A:B,2,0)</f>
        <v>VS8812</v>
      </c>
      <c r="C75" s="21" t="str">
        <f>VLOOKUP(A75,재고차이!A:C,3,0)</f>
        <v>휘오철원순수2.0P X6</v>
      </c>
      <c r="D75" s="21">
        <f>SUMIF(재고차이!B:B,주간상차!B:B,재고차이!E:E)</f>
        <v>80</v>
      </c>
      <c r="E75" s="26"/>
      <c r="F75" s="27" t="str">
        <f t="shared" si="21"/>
        <v/>
      </c>
      <c r="G75" s="27" t="str">
        <f t="shared" si="22"/>
        <v/>
      </c>
      <c r="H75" s="27" t="str">
        <f>IF(E75="","",E75/SUMIF(재고차이!A:A,주간상차!A:A,재고차이!E:E))</f>
        <v/>
      </c>
      <c r="I75" s="27" t="str">
        <f t="shared" si="23"/>
        <v/>
      </c>
      <c r="J75" s="5"/>
      <c r="K75" s="5"/>
      <c r="L75" s="5"/>
    </row>
    <row r="76" spans="1:16" x14ac:dyDescent="0.3">
      <c r="A76" s="24">
        <v>1000</v>
      </c>
      <c r="B76" s="21" t="str">
        <f>VLOOKUP(A76,재고차이!A:B,2,0)</f>
        <v>MM1000</v>
      </c>
      <c r="C76" s="21" t="str">
        <f>VLOOKUP(A76,재고차이!A:C,3,0)</f>
        <v>미닛 허니&amp;유자 280PET 4X6</v>
      </c>
      <c r="D76" s="21">
        <f>SUMIF(재고차이!B:B,주간상차!B:B,재고차이!E:E)</f>
        <v>100</v>
      </c>
      <c r="E76" s="26"/>
      <c r="F76" s="27" t="str">
        <f t="shared" ref="F76" si="27">IF(E76="","",ROUNDDOWN(H76,0))</f>
        <v/>
      </c>
      <c r="G76" s="27" t="str">
        <f t="shared" ref="G76:G93" si="28">IF(E76="","",E76-I76)</f>
        <v/>
      </c>
      <c r="H76" s="27" t="str">
        <f>IF(E76="","",E76/SUMIF(재고차이!A:A,주간상차!A:A,재고차이!E:E))</f>
        <v/>
      </c>
      <c r="I76" s="27" t="str">
        <f t="shared" ref="I76:I93" si="29">IF(E76="","",F76*D76)</f>
        <v/>
      </c>
      <c r="J76" s="5"/>
      <c r="K76" s="5"/>
      <c r="L76" s="5"/>
    </row>
    <row r="77" spans="1:16" x14ac:dyDescent="0.3">
      <c r="A77" s="24">
        <v>1001</v>
      </c>
      <c r="B77" s="21" t="str">
        <f>VLOOKUP(A77,재고차이!A:B,2,0)</f>
        <v>MM1001</v>
      </c>
      <c r="C77" s="21" t="str">
        <f>VLOOKUP(A77,재고차이!A:C,3,0)</f>
        <v>미닛 모과&amp;생강 280PET 4X6</v>
      </c>
      <c r="D77" s="21">
        <f>SUMIF(재고차이!B:B,주간상차!B:B,재고차이!E:E)</f>
        <v>100</v>
      </c>
      <c r="E77" s="26"/>
      <c r="F77" s="27" t="str">
        <f>IF(E77="","",ROUNDDOWN(H77,0))</f>
        <v/>
      </c>
      <c r="G77" s="27" t="str">
        <f t="shared" si="28"/>
        <v/>
      </c>
      <c r="H77" s="27" t="str">
        <f>IF(E77="","",E77/SUMIF(재고차이!A:A,주간상차!A:A,재고차이!E:E))</f>
        <v/>
      </c>
      <c r="I77" s="27" t="str">
        <f t="shared" si="29"/>
        <v/>
      </c>
      <c r="J77" s="5"/>
      <c r="K77" s="5"/>
      <c r="L77" s="5"/>
    </row>
    <row r="78" spans="1:16" x14ac:dyDescent="0.3">
      <c r="A78" s="24">
        <v>1002</v>
      </c>
      <c r="B78" s="21" t="str">
        <f>VLOOKUP(A78,재고차이!A:B,2,0)</f>
        <v>MM1002</v>
      </c>
      <c r="C78" s="21" t="str">
        <f>VLOOKUP(A78,재고차이!A:C,3,0)</f>
        <v>미닛 레몬에이드 350PET 4X6</v>
      </c>
      <c r="D78" s="21">
        <f>SUMIF(재고차이!B:B,주간상차!B:B,재고차이!E:E)</f>
        <v>91</v>
      </c>
      <c r="E78" s="26"/>
      <c r="F78" s="27" t="str">
        <f>IF(E78="","",ROUNDDOWN(H78,0))</f>
        <v/>
      </c>
      <c r="G78" s="27" t="str">
        <f t="shared" si="28"/>
        <v/>
      </c>
      <c r="H78" s="27" t="str">
        <f>IF(E78="","",E78/SUMIF(재고차이!A:A,주간상차!A:A,재고차이!E:E))</f>
        <v/>
      </c>
      <c r="I78" s="27" t="str">
        <f t="shared" si="29"/>
        <v/>
      </c>
      <c r="J78" s="5"/>
      <c r="K78" s="5"/>
      <c r="L78" s="5"/>
    </row>
    <row r="79" spans="1:16" x14ac:dyDescent="0.3">
      <c r="A79" s="24">
        <v>1003</v>
      </c>
      <c r="B79" s="21" t="str">
        <f>VLOOKUP(A79,재고차이!A:B,2,0)</f>
        <v>MM1003</v>
      </c>
      <c r="C79" s="21" t="str">
        <f>VLOOKUP(A79,재고차이!A:C,3,0)</f>
        <v>미닛 레몬에이드 제로 350PET 4X6</v>
      </c>
      <c r="D79" s="21">
        <f>SUMIF(재고차이!B:B,주간상차!B:B,재고차이!E:E)</f>
        <v>91</v>
      </c>
      <c r="E79" s="26"/>
      <c r="F79" s="27" t="str">
        <f>IF(E79="","",ROUNDDOWN(H79,0))</f>
        <v/>
      </c>
      <c r="G79" s="27" t="str">
        <f t="shared" si="28"/>
        <v/>
      </c>
      <c r="H79" s="27" t="str">
        <f>IF(E79="","",E79/SUMIF(재고차이!A:A,주간상차!A:A,재고차이!E:E))</f>
        <v/>
      </c>
      <c r="I79" s="27" t="str">
        <f t="shared" si="29"/>
        <v/>
      </c>
      <c r="J79" s="5"/>
      <c r="K79" s="5"/>
      <c r="L79" s="5"/>
    </row>
    <row r="80" spans="1:16" x14ac:dyDescent="0.3">
      <c r="A80" s="24">
        <v>7994</v>
      </c>
      <c r="B80" s="21" t="str">
        <f>VLOOKUP(A80,재고차이!A:B,2,0)</f>
        <v>DP7994</v>
      </c>
      <c r="C80" s="21" t="str">
        <f>VLOOKUP(A80,재고차이!A:C,3,0)</f>
        <v>닥터페퍼 제로 350CAN 4X6</v>
      </c>
      <c r="D80" s="21">
        <f>SUMIF(재고차이!B:B,주간상차!B:B,재고차이!E:E)</f>
        <v>100</v>
      </c>
      <c r="E80" s="26"/>
      <c r="F80" s="27" t="str">
        <f t="shared" ref="F80" si="30">IF(E80="","",ROUNDDOWN(H80,0))</f>
        <v/>
      </c>
      <c r="G80" s="27" t="str">
        <f t="shared" ref="G80" si="31">IF(E80="","",E80-I80)</f>
        <v/>
      </c>
      <c r="H80" s="27" t="str">
        <f>IF(E80="","",E80/SUMIF(재고차이!A:A,주간상차!A:A,재고차이!E:E))</f>
        <v/>
      </c>
      <c r="I80" s="27" t="str">
        <f t="shared" ref="I80" si="32">IF(E80="","",F80*D80)</f>
        <v/>
      </c>
      <c r="J80" s="5"/>
      <c r="K80" s="5"/>
      <c r="L80" s="5"/>
    </row>
    <row r="81" spans="1:12" x14ac:dyDescent="0.3">
      <c r="A81" s="24" t="s">
        <v>2697</v>
      </c>
      <c r="B81" s="21" t="str">
        <f>VLOOKUP(A81,재고차이!A:B,2,0)</f>
        <v>DP0439</v>
      </c>
      <c r="C81" s="21" t="str">
        <f>VLOOKUP(A81,재고차이!A:C,3,0)</f>
        <v>S)닥터페퍼제로 스트로베리&amp;크림 350CAN4X6</v>
      </c>
      <c r="D81" s="21">
        <f>SUMIF(재고차이!B:B,주간상차!B:B,재고차이!E:E)</f>
        <v>100</v>
      </c>
      <c r="E81" s="26">
        <v>300</v>
      </c>
      <c r="F81" s="27">
        <f t="shared" ref="F81:F88" si="33">IF(E81="","",ROUNDDOWN(H81,0))</f>
        <v>3</v>
      </c>
      <c r="G81" s="27">
        <f t="shared" si="28"/>
        <v>0</v>
      </c>
      <c r="H81" s="27">
        <f>IF(E81="","",E81/SUMIF(재고차이!A:A,주간상차!A:A,재고차이!E:E))</f>
        <v>3</v>
      </c>
      <c r="I81" s="27">
        <f t="shared" si="29"/>
        <v>300</v>
      </c>
      <c r="J81" s="5"/>
      <c r="K81" s="5"/>
      <c r="L81" s="5"/>
    </row>
    <row r="82" spans="1:12" x14ac:dyDescent="0.3">
      <c r="A82" s="198" t="s">
        <v>2490</v>
      </c>
      <c r="B82" s="21" t="str">
        <f>VLOOKUP(A82,재고차이!A:B,2,0)</f>
        <v>PA0002</v>
      </c>
      <c r="C82" s="21" t="str">
        <f>VLOOKUP(A82,재고차이!A:C,3,0)</f>
        <v>파워 제로 마운틴블라 600PET 4X6</v>
      </c>
      <c r="D82" s="21">
        <f>SUMIF(재고차이!B:B,주간상차!B:B,재고차이!E:E)</f>
        <v>48</v>
      </c>
      <c r="E82" s="26">
        <f>48*2</f>
        <v>96</v>
      </c>
      <c r="F82" s="27">
        <f t="shared" si="33"/>
        <v>2</v>
      </c>
      <c r="G82" s="27">
        <f t="shared" si="28"/>
        <v>0</v>
      </c>
      <c r="H82" s="27">
        <f>IF(E82="","",E82/SUMIF(재고차이!A:A,주간상차!A:A,재고차이!E:E))</f>
        <v>2</v>
      </c>
      <c r="I82" s="27">
        <f t="shared" si="29"/>
        <v>96</v>
      </c>
      <c r="J82" s="5"/>
      <c r="K82" s="5"/>
      <c r="L82" s="5"/>
    </row>
    <row r="83" spans="1:12" x14ac:dyDescent="0.3">
      <c r="A83" s="24">
        <v>5651</v>
      </c>
      <c r="B83" s="21" t="s">
        <v>2625</v>
      </c>
      <c r="C83" s="21" t="s">
        <v>2626</v>
      </c>
      <c r="D83" s="21">
        <f>SUMIF(재고차이!B:B,주간상차!B:B,재고차이!E:E)</f>
        <v>96</v>
      </c>
      <c r="E83" s="26"/>
      <c r="F83" s="27" t="str">
        <f t="shared" si="33"/>
        <v/>
      </c>
      <c r="G83" s="27" t="str">
        <f t="shared" si="28"/>
        <v/>
      </c>
      <c r="H83" s="27" t="str">
        <f>IF(E83="","",E83/SUMIF(재고차이!A:A,주간상차!A:A,재고차이!E:E))</f>
        <v/>
      </c>
      <c r="I83" s="27" t="str">
        <f t="shared" si="29"/>
        <v/>
      </c>
      <c r="J83" s="5"/>
      <c r="K83" s="5"/>
      <c r="L83" s="5"/>
    </row>
    <row r="84" spans="1:12" x14ac:dyDescent="0.3">
      <c r="A84" s="198">
        <v>4969</v>
      </c>
      <c r="B84" s="21" t="s">
        <v>2621</v>
      </c>
      <c r="C84" s="21" t="s">
        <v>2622</v>
      </c>
      <c r="D84" s="21">
        <f>SUMIF(재고차이!B:B,주간상차!B:B,재고차이!E:E)</f>
        <v>70</v>
      </c>
      <c r="E84" s="26"/>
      <c r="F84" s="27" t="str">
        <f t="shared" si="33"/>
        <v/>
      </c>
      <c r="G84" s="27" t="str">
        <f t="shared" si="28"/>
        <v/>
      </c>
      <c r="H84" s="27" t="str">
        <f>IF(E84="","",E84/SUMIF(재고차이!A:A,주간상차!A:A,재고차이!E:E))</f>
        <v/>
      </c>
      <c r="I84" s="27" t="str">
        <f t="shared" si="29"/>
        <v/>
      </c>
      <c r="J84" s="5"/>
      <c r="K84" s="5"/>
      <c r="L84" s="5"/>
    </row>
    <row r="85" spans="1:12" x14ac:dyDescent="0.3">
      <c r="A85" s="24">
        <v>2825</v>
      </c>
      <c r="B85" s="21" t="s">
        <v>2623</v>
      </c>
      <c r="C85" s="21" t="s">
        <v>2624</v>
      </c>
      <c r="D85" s="21">
        <f>SUMIF(재고차이!B:B,주간상차!B:B,재고차이!E:E)</f>
        <v>70</v>
      </c>
      <c r="E85" s="26"/>
      <c r="F85" s="27" t="str">
        <f t="shared" si="33"/>
        <v/>
      </c>
      <c r="G85" s="27" t="str">
        <f t="shared" si="28"/>
        <v/>
      </c>
      <c r="H85" s="27" t="str">
        <f>IF(E85="","",E85/SUMIF(재고차이!A:A,주간상차!A:A,재고차이!E:E))</f>
        <v/>
      </c>
      <c r="I85" s="27" t="str">
        <f t="shared" si="29"/>
        <v/>
      </c>
      <c r="J85" s="5"/>
      <c r="K85" s="5"/>
      <c r="L85" s="5"/>
    </row>
    <row r="86" spans="1:12" x14ac:dyDescent="0.3">
      <c r="A86" s="24" t="s">
        <v>2662</v>
      </c>
      <c r="B86" s="21" t="s">
        <v>2619</v>
      </c>
      <c r="C86" s="21" t="s">
        <v>2620</v>
      </c>
      <c r="D86" s="21">
        <f>SUMIF(재고차이!B:B,주간상차!B:B,재고차이!E:E)</f>
        <v>108</v>
      </c>
      <c r="E86" s="26">
        <v>108</v>
      </c>
      <c r="F86" s="27">
        <f t="shared" si="33"/>
        <v>1</v>
      </c>
      <c r="G86" s="27">
        <f t="shared" si="28"/>
        <v>0</v>
      </c>
      <c r="H86" s="27">
        <f>IF(E86="","",E86/SUMIF(재고차이!A:A,주간상차!A:A,재고차이!E:E))</f>
        <v>1</v>
      </c>
      <c r="I86" s="27">
        <f t="shared" si="29"/>
        <v>108</v>
      </c>
      <c r="J86" s="5"/>
      <c r="K86" s="5"/>
      <c r="L86" s="5"/>
    </row>
    <row r="87" spans="1:12" x14ac:dyDescent="0.3">
      <c r="A87" s="198">
        <v>5375</v>
      </c>
      <c r="B87" s="21" t="s">
        <v>2054</v>
      </c>
      <c r="C87" s="21" t="s">
        <v>2055</v>
      </c>
      <c r="D87" s="21">
        <f>SUMIF(재고차이!B:B,주간상차!B:B,재고차이!E:E)</f>
        <v>108</v>
      </c>
      <c r="E87" s="26"/>
      <c r="F87" s="27" t="str">
        <f t="shared" si="33"/>
        <v/>
      </c>
      <c r="G87" s="27" t="str">
        <f t="shared" si="28"/>
        <v/>
      </c>
      <c r="H87" s="27" t="str">
        <f>IF(E87="","",E87/SUMIF(재고차이!A:A,주간상차!A:A,재고차이!E:E))</f>
        <v/>
      </c>
      <c r="I87" s="27" t="str">
        <f t="shared" si="29"/>
        <v/>
      </c>
      <c r="J87" s="5"/>
      <c r="K87" s="5"/>
      <c r="L87" s="5"/>
    </row>
    <row r="88" spans="1:12" x14ac:dyDescent="0.3">
      <c r="A88" s="24">
        <v>2826</v>
      </c>
      <c r="B88" s="21" t="s">
        <v>2627</v>
      </c>
      <c r="C88" s="21" t="s">
        <v>2634</v>
      </c>
      <c r="D88" s="21">
        <f>SUMIF(재고차이!B:B,주간상차!B:B,재고차이!E:E)</f>
        <v>64</v>
      </c>
      <c r="E88" s="26"/>
      <c r="F88" s="27" t="str">
        <f t="shared" si="33"/>
        <v/>
      </c>
      <c r="G88" s="27" t="str">
        <f t="shared" si="28"/>
        <v/>
      </c>
      <c r="H88" s="27" t="str">
        <f>IF(E88="","",E88/SUMIF(재고차이!A:A,주간상차!A:A,재고차이!E:E))</f>
        <v/>
      </c>
      <c r="I88" s="27" t="str">
        <f t="shared" si="29"/>
        <v/>
      </c>
      <c r="J88" s="5"/>
      <c r="K88" s="5"/>
      <c r="L88" s="5"/>
    </row>
    <row r="89" spans="1:12" x14ac:dyDescent="0.3">
      <c r="A89" s="24">
        <v>4929</v>
      </c>
      <c r="B89" s="21" t="s">
        <v>2628</v>
      </c>
      <c r="C89" s="21" t="s">
        <v>2637</v>
      </c>
      <c r="D89" s="21">
        <f>SUMIF(재고차이!B:B,주간상차!B:B,재고차이!E:E)</f>
        <v>100</v>
      </c>
      <c r="E89" s="26"/>
      <c r="F89" s="27" t="str">
        <f>IF(E89="","",ROUNDDOWN(H89,0))</f>
        <v/>
      </c>
      <c r="G89" s="27" t="str">
        <f t="shared" si="28"/>
        <v/>
      </c>
      <c r="H89" s="27" t="str">
        <f>IF(E89="","",E89/SUMIF(재고차이!A:A,주간상차!A:A,재고차이!E:E))</f>
        <v/>
      </c>
      <c r="I89" s="27" t="str">
        <f t="shared" si="29"/>
        <v/>
      </c>
      <c r="J89" s="5"/>
      <c r="K89" s="5"/>
      <c r="L89" s="5"/>
    </row>
    <row r="90" spans="1:12" x14ac:dyDescent="0.3">
      <c r="A90" s="198">
        <v>4935</v>
      </c>
      <c r="B90" s="21" t="s">
        <v>2630</v>
      </c>
      <c r="C90" s="21" t="s">
        <v>2639</v>
      </c>
      <c r="D90" s="21">
        <f>SUMIF(재고차이!B:B,주간상차!B:B,재고차이!E:E)</f>
        <v>60</v>
      </c>
      <c r="E90" s="26"/>
      <c r="F90" s="27" t="str">
        <f>IF(E90="","",ROUNDDOWN(H90,0))</f>
        <v/>
      </c>
      <c r="G90" s="27" t="str">
        <f t="shared" si="28"/>
        <v/>
      </c>
      <c r="H90" s="27" t="str">
        <f>IF(E90="","",E90/SUMIF(재고차이!A:A,주간상차!A:A,재고차이!E:E))</f>
        <v/>
      </c>
      <c r="I90" s="27" t="str">
        <f t="shared" si="29"/>
        <v/>
      </c>
      <c r="J90" s="5"/>
      <c r="K90" s="5"/>
      <c r="L90" s="5"/>
    </row>
    <row r="91" spans="1:12" x14ac:dyDescent="0.3">
      <c r="A91" s="24">
        <v>4290</v>
      </c>
      <c r="B91" s="21" t="s">
        <v>2632</v>
      </c>
      <c r="C91" s="21" t="s">
        <v>2636</v>
      </c>
      <c r="D91" s="21">
        <f>SUMIF(재고차이!B:B,주간상차!B:B,재고차이!E:E)</f>
        <v>60</v>
      </c>
      <c r="E91" s="26"/>
      <c r="F91" s="27" t="str">
        <f>IF(E91="","",ROUNDDOWN(H91,0))</f>
        <v/>
      </c>
      <c r="G91" s="27" t="str">
        <f t="shared" si="28"/>
        <v/>
      </c>
      <c r="H91" s="27" t="str">
        <f>IF(E91="","",E91/SUMIF(재고차이!A:A,주간상차!A:A,재고차이!E:E))</f>
        <v/>
      </c>
      <c r="I91" s="27" t="str">
        <f t="shared" si="29"/>
        <v/>
      </c>
      <c r="J91" s="5"/>
      <c r="K91" s="5"/>
      <c r="L91" s="5"/>
    </row>
    <row r="92" spans="1:12" x14ac:dyDescent="0.3">
      <c r="A92" s="24">
        <v>7724</v>
      </c>
      <c r="B92" s="21" t="s">
        <v>2667</v>
      </c>
      <c r="C92" s="21" t="s">
        <v>2668</v>
      </c>
      <c r="D92" s="21">
        <f>SUMIF(재고차이!B:B,주간상차!B:B,재고차이!E:E)</f>
        <v>60</v>
      </c>
      <c r="E92" s="26"/>
      <c r="F92" s="27" t="str">
        <f>IF(E92="","",ROUNDDOWN(H92,0))</f>
        <v/>
      </c>
      <c r="G92" s="27" t="str">
        <f t="shared" si="28"/>
        <v/>
      </c>
      <c r="H92" s="27" t="str">
        <f>IF(E92="","",E92/SUMIF(재고차이!A:A,주간상차!A:A,재고차이!E:E))</f>
        <v/>
      </c>
      <c r="I92" s="27" t="str">
        <f t="shared" si="29"/>
        <v/>
      </c>
      <c r="J92" s="5"/>
      <c r="K92" s="5"/>
      <c r="L92" s="5"/>
    </row>
    <row r="93" spans="1:12" x14ac:dyDescent="0.3">
      <c r="A93" s="24">
        <v>4259</v>
      </c>
      <c r="B93" s="21" t="s">
        <v>2669</v>
      </c>
      <c r="C93" s="21" t="s">
        <v>2650</v>
      </c>
      <c r="D93" s="21">
        <f>SUMIF(재고차이!B:B,주간상차!B:B,재고차이!E:E)</f>
        <v>100</v>
      </c>
      <c r="E93" s="26"/>
      <c r="F93" s="27" t="str">
        <f>IF(E93="","",ROUNDDOWN(H93,0))</f>
        <v/>
      </c>
      <c r="G93" s="27" t="str">
        <f t="shared" si="28"/>
        <v/>
      </c>
      <c r="H93" s="27" t="str">
        <f>IF(E93="","",E93/SUMIF(재고차이!A:A,주간상차!A:A,재고차이!E:E))</f>
        <v/>
      </c>
      <c r="I93" s="27" t="str">
        <f t="shared" si="29"/>
        <v/>
      </c>
      <c r="J93" s="5"/>
      <c r="K93" s="5"/>
      <c r="L93" s="5"/>
    </row>
    <row r="94" spans="1:12" x14ac:dyDescent="0.3">
      <c r="F94" s="12">
        <f>SUM(F3:F93)</f>
        <v>319</v>
      </c>
      <c r="J94" s="5"/>
      <c r="K94" s="5"/>
      <c r="L94" s="5"/>
    </row>
    <row r="95" spans="1:12" x14ac:dyDescent="0.3">
      <c r="J95" s="5"/>
      <c r="K95" s="5"/>
      <c r="L95" s="5"/>
    </row>
    <row r="96" spans="1:12" x14ac:dyDescent="0.3">
      <c r="J96" s="5"/>
      <c r="K96" s="5"/>
      <c r="L96" s="5"/>
    </row>
  </sheetData>
  <autoFilter ref="A2:I94" xr:uid="{00000000-0009-0000-0000-000006000000}">
    <sortState xmlns:xlrd2="http://schemas.microsoft.com/office/spreadsheetml/2017/richdata2" ref="A3:I93">
      <sortCondition ref="A2"/>
    </sortState>
  </autoFilter>
  <phoneticPr fontId="101" type="noConversion"/>
  <pageMargins left="0.7" right="0.7" top="0.75" bottom="0.75" header="0.3" footer="0.3"/>
  <pageSetup paperSize="9" scale="3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R64"/>
  <sheetViews>
    <sheetView showGridLines="0" showZeros="0" zoomScaleNormal="100" workbookViewId="0">
      <pane ySplit="8" topLeftCell="A9" activePane="bottomLeft" state="frozen"/>
      <selection activeCell="G33" sqref="G33"/>
      <selection pane="bottomLeft" activeCell="F31" sqref="F31"/>
    </sheetView>
  </sheetViews>
  <sheetFormatPr defaultColWidth="9" defaultRowHeight="16.5" x14ac:dyDescent="0.3"/>
  <cols>
    <col min="1" max="1" width="3.875" style="46" customWidth="1"/>
    <col min="2" max="2" width="4.25" style="46" customWidth="1"/>
    <col min="3" max="3" width="11.75" style="46" customWidth="1"/>
    <col min="4" max="4" width="11.125" style="46" customWidth="1"/>
    <col min="5" max="5" width="37" style="46" customWidth="1"/>
    <col min="6" max="6" width="12.5" style="46" customWidth="1"/>
    <col min="7" max="7" width="26.5" style="46" customWidth="1"/>
    <col min="8" max="8" width="33.875" style="46" customWidth="1"/>
    <col min="9" max="9" width="10.5" style="46" bestFit="1" customWidth="1"/>
    <col min="10" max="10" width="1.625" style="46" customWidth="1"/>
    <col min="11" max="11" width="5.125" style="46" hidden="1" customWidth="1"/>
    <col min="12" max="12" width="4.625" style="46" bestFit="1" customWidth="1"/>
    <col min="13" max="13" width="15.25" style="46" customWidth="1"/>
    <col min="14" max="14" width="4.625" style="46" bestFit="1" customWidth="1"/>
    <col min="15" max="15" width="24.5" style="46" bestFit="1" customWidth="1"/>
    <col min="16" max="16" width="2.875" style="46" customWidth="1"/>
    <col min="17" max="17" width="15" style="49" customWidth="1"/>
    <col min="18" max="16384" width="9" style="46"/>
  </cols>
  <sheetData>
    <row r="1" spans="1:18" ht="51.75" customHeight="1" x14ac:dyDescent="0.3">
      <c r="C1" s="47" t="s">
        <v>1743</v>
      </c>
      <c r="D1" s="47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8" ht="9.75" customHeight="1" x14ac:dyDescent="0.15"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</row>
    <row r="3" spans="1:18" ht="22.5" x14ac:dyDescent="0.3">
      <c r="C3" s="51" t="s">
        <v>1744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</row>
    <row r="4" spans="1:18" x14ac:dyDescent="0.3"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</row>
    <row r="5" spans="1:18" x14ac:dyDescent="0.15">
      <c r="C5" s="16" t="s">
        <v>1844</v>
      </c>
      <c r="D5" s="67" t="s">
        <v>2483</v>
      </c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</row>
    <row r="6" spans="1:18" x14ac:dyDescent="0.15">
      <c r="C6" s="52" t="s">
        <v>1845</v>
      </c>
      <c r="D6" s="237">
        <v>45849</v>
      </c>
      <c r="E6" s="237"/>
      <c r="F6" s="53"/>
      <c r="G6" s="54"/>
      <c r="H6" s="54"/>
      <c r="I6" s="50"/>
      <c r="J6" s="50"/>
      <c r="K6" s="50"/>
      <c r="L6" s="50"/>
      <c r="M6" s="50"/>
      <c r="N6" s="50"/>
      <c r="O6" s="50"/>
      <c r="P6" s="50"/>
    </row>
    <row r="7" spans="1:18" ht="4.5" customHeight="1" x14ac:dyDescent="0.15">
      <c r="C7" s="50"/>
      <c r="D7" s="50" t="s">
        <v>2505</v>
      </c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</row>
    <row r="8" spans="1:18" ht="23.25" customHeight="1" x14ac:dyDescent="0.15">
      <c r="A8" s="122"/>
      <c r="B8" s="122" t="s">
        <v>1847</v>
      </c>
      <c r="C8" s="123" t="s">
        <v>1846</v>
      </c>
      <c r="D8" s="123" t="s">
        <v>1613</v>
      </c>
      <c r="E8" s="123" t="s">
        <v>337</v>
      </c>
      <c r="F8" s="123" t="s">
        <v>1838</v>
      </c>
      <c r="G8" s="123" t="s">
        <v>1840</v>
      </c>
      <c r="H8" s="123" t="s">
        <v>1843</v>
      </c>
      <c r="I8" s="123"/>
      <c r="J8" s="50"/>
      <c r="K8" s="50" t="s">
        <v>1842</v>
      </c>
      <c r="L8" s="122" t="s">
        <v>1848</v>
      </c>
      <c r="M8" s="16" t="s">
        <v>1839</v>
      </c>
      <c r="N8" s="122" t="s">
        <v>1847</v>
      </c>
      <c r="O8" s="16" t="s">
        <v>1841</v>
      </c>
      <c r="P8" s="50"/>
      <c r="Q8" s="238"/>
      <c r="R8" s="238"/>
    </row>
    <row r="9" spans="1:18" s="218" customFormat="1" ht="17.25" customHeight="1" x14ac:dyDescent="0.15">
      <c r="A9" s="207">
        <v>1</v>
      </c>
      <c r="B9" s="208">
        <v>1</v>
      </c>
      <c r="C9" s="209">
        <v>5672</v>
      </c>
      <c r="D9" s="210" t="str">
        <f>IF(C9="","",VLOOKUP(C9,재고차이!A:C,2,0))</f>
        <v>MO5672</v>
      </c>
      <c r="E9" s="211" t="str">
        <f>IF(C9="","",VLOOKUP(C9,재고차이!A:C,3,0))</f>
        <v>몬스터 에너지 그린 500CAN 4X6</v>
      </c>
      <c r="F9" s="212" t="str">
        <f t="shared" ref="F9:F10" si="0">IF(A9="","",VLOOKUP(A9,L:M,2,0))</f>
        <v>생산파손</v>
      </c>
      <c r="G9" s="212" t="str">
        <f t="shared" ref="G9:G10" si="1">IF(A9="","",VLOOKUP(A9&amp;B9,K:O,5,0))</f>
        <v>핀홀</v>
      </c>
      <c r="H9" s="214"/>
      <c r="I9" s="214">
        <v>1</v>
      </c>
      <c r="J9" s="215"/>
      <c r="K9" s="215" t="str">
        <f>$L$9&amp;N9</f>
        <v>11</v>
      </c>
      <c r="L9" s="216">
        <v>1</v>
      </c>
      <c r="M9" s="215" t="s">
        <v>1836</v>
      </c>
      <c r="N9" s="217">
        <v>1</v>
      </c>
      <c r="O9" s="215" t="s">
        <v>1745</v>
      </c>
      <c r="Q9" s="219"/>
    </row>
    <row r="10" spans="1:18" s="218" customFormat="1" ht="17.25" customHeight="1" x14ac:dyDescent="0.15">
      <c r="A10" s="207">
        <v>2</v>
      </c>
      <c r="B10" s="208">
        <v>2</v>
      </c>
      <c r="C10" s="209">
        <v>5749</v>
      </c>
      <c r="D10" s="210" t="str">
        <f>IF(C10="","",VLOOKUP(C10,재고차이!A:C,2,0))</f>
        <v>FT5749</v>
      </c>
      <c r="E10" s="211" t="str">
        <f>IF(C10="","",VLOOKUP(C10,재고차이!A:C,3,0))</f>
        <v>S)환타 파인 600PET 4X6</v>
      </c>
      <c r="F10" s="212" t="str">
        <f t="shared" si="0"/>
        <v>작업파손</v>
      </c>
      <c r="G10" s="212" t="str">
        <f t="shared" si="1"/>
        <v>BF(로드믹싱 작업파손)</v>
      </c>
      <c r="H10" s="214"/>
      <c r="I10" s="214">
        <v>1</v>
      </c>
      <c r="J10" s="215"/>
      <c r="K10" s="215" t="str">
        <f>$L$9&amp;N10</f>
        <v>12</v>
      </c>
      <c r="L10" s="215"/>
      <c r="M10" s="215"/>
      <c r="N10" s="217">
        <v>2</v>
      </c>
      <c r="O10" s="215" t="s">
        <v>1746</v>
      </c>
      <c r="Q10" s="219"/>
    </row>
    <row r="11" spans="1:18" s="218" customFormat="1" ht="17.25" customHeight="1" x14ac:dyDescent="0.15">
      <c r="A11" s="207">
        <v>2</v>
      </c>
      <c r="B11" s="208">
        <v>3</v>
      </c>
      <c r="C11" s="209">
        <v>8066</v>
      </c>
      <c r="D11" s="210" t="str">
        <f>IF(C11="","",VLOOKUP(C11,재고차이!A:C,2,0))</f>
        <v>GG8066</v>
      </c>
      <c r="E11" s="211" t="str">
        <f>IF(C11="","",VLOOKUP(C11,재고차이!A:C,3,0))</f>
        <v>조지아 크래프트 라떼 470PET 4X6</v>
      </c>
      <c r="F11" s="212" t="str">
        <f t="shared" ref="F11:F13" si="2">IF(A11="","",VLOOKUP(A11,L:M,2,0))</f>
        <v>작업파손</v>
      </c>
      <c r="G11" s="212" t="str">
        <f t="shared" ref="G11:G13" si="3">IF(A11="","",VLOOKUP(A11&amp;B11,K:O,5,0))</f>
        <v>파손품 음용</v>
      </c>
      <c r="H11" s="214"/>
      <c r="I11" s="214">
        <v>1</v>
      </c>
      <c r="J11" s="215"/>
      <c r="K11" s="215" t="str">
        <f>$L$9&amp;N11</f>
        <v>13</v>
      </c>
      <c r="L11" s="215"/>
      <c r="M11" s="215"/>
      <c r="N11" s="217">
        <v>3</v>
      </c>
      <c r="O11" s="215" t="s">
        <v>1747</v>
      </c>
      <c r="Q11" s="219"/>
    </row>
    <row r="12" spans="1:18" s="218" customFormat="1" ht="17.25" customHeight="1" x14ac:dyDescent="0.15">
      <c r="A12" s="207">
        <v>4</v>
      </c>
      <c r="B12" s="208">
        <v>21</v>
      </c>
      <c r="C12" s="209">
        <v>4259</v>
      </c>
      <c r="D12" s="210" t="str">
        <f>IF(C12="","",VLOOKUP(C12,재고차이!A:C,2,0))</f>
        <v>BB4259</v>
      </c>
      <c r="E12" s="211" t="str">
        <f>IF(C12="","",VLOOKUP(C12,재고차이!A:C,3,0))</f>
        <v>S)봉봉 포도 340CAN 4X6</v>
      </c>
      <c r="F12" s="212" t="str">
        <f t="shared" si="2"/>
        <v>루트 파손</v>
      </c>
      <c r="G12" s="212" t="str">
        <f t="shared" si="3"/>
        <v>BGF 로지스 양주</v>
      </c>
      <c r="H12" s="214"/>
      <c r="I12" s="214">
        <v>1</v>
      </c>
      <c r="J12" s="215"/>
      <c r="K12" s="215" t="str">
        <f>$L$9&amp;N12</f>
        <v>15</v>
      </c>
      <c r="L12" s="220"/>
      <c r="M12" s="220"/>
      <c r="N12" s="221">
        <v>5</v>
      </c>
      <c r="O12" s="220" t="s">
        <v>1748</v>
      </c>
      <c r="Q12" s="219"/>
    </row>
    <row r="13" spans="1:18" s="218" customFormat="1" ht="17.25" customHeight="1" x14ac:dyDescent="0.15">
      <c r="A13" s="207">
        <v>4</v>
      </c>
      <c r="B13" s="208">
        <v>21</v>
      </c>
      <c r="C13" s="209">
        <v>2825</v>
      </c>
      <c r="D13" s="210" t="str">
        <f>IF(C13="","",VLOOKUP(C13,재고차이!A:C,2,0))</f>
        <v>KM2825</v>
      </c>
      <c r="E13" s="211" t="str">
        <f>IF(C13="","",VLOOKUP(C13,재고차이!A:C,3,0))</f>
        <v>S)갈아만든 배 500PET 4X6</v>
      </c>
      <c r="F13" s="212" t="str">
        <f t="shared" si="2"/>
        <v>루트 파손</v>
      </c>
      <c r="G13" s="212" t="str">
        <f t="shared" si="3"/>
        <v>BGF 로지스 양주</v>
      </c>
      <c r="H13" s="214"/>
      <c r="I13" s="214">
        <v>1</v>
      </c>
      <c r="J13" s="215"/>
      <c r="K13" s="215"/>
      <c r="L13" s="215"/>
      <c r="M13" s="215"/>
      <c r="N13" s="215"/>
      <c r="O13" s="215"/>
      <c r="Q13" s="219"/>
    </row>
    <row r="14" spans="1:18" s="218" customFormat="1" ht="17.25" customHeight="1" x14ac:dyDescent="0.15">
      <c r="A14" s="207">
        <v>4</v>
      </c>
      <c r="B14" s="208">
        <v>22</v>
      </c>
      <c r="C14" s="209">
        <v>5676</v>
      </c>
      <c r="D14" s="210" t="str">
        <f>IF(C14="","",VLOOKUP(C14,재고차이!A:C,2,0))</f>
        <v>MO5676</v>
      </c>
      <c r="E14" s="211" t="str">
        <f>IF(C14="","",VLOOKUP(C14,재고차이!A:C,3,0))</f>
        <v>S)몬스터 스트로베리 드림즈 355CAN 4X6</v>
      </c>
      <c r="F14" s="212" t="str">
        <f t="shared" ref="F14:F16" si="4">IF(A14="","",VLOOKUP(A14,L:M,2,0))</f>
        <v>루트 파손</v>
      </c>
      <c r="G14" s="212" t="str">
        <f t="shared" ref="G14:G16" si="5">IF(A14="","",VLOOKUP(A14&amp;B14,K:O,5,0))</f>
        <v>BGF 강화지점</v>
      </c>
      <c r="H14" s="214"/>
      <c r="I14" s="214">
        <v>1</v>
      </c>
      <c r="J14" s="215"/>
      <c r="K14" s="215" t="str">
        <f>$L$14&amp;N14</f>
        <v>21</v>
      </c>
      <c r="L14" s="216">
        <v>2</v>
      </c>
      <c r="M14" s="215" t="s">
        <v>1837</v>
      </c>
      <c r="N14" s="217">
        <v>1</v>
      </c>
      <c r="O14" s="215" t="s">
        <v>2528</v>
      </c>
      <c r="Q14" s="219"/>
    </row>
    <row r="15" spans="1:18" s="218" customFormat="1" ht="17.25" customHeight="1" x14ac:dyDescent="0.15">
      <c r="A15" s="207">
        <v>4</v>
      </c>
      <c r="B15" s="208">
        <v>22</v>
      </c>
      <c r="C15" s="209">
        <v>8066</v>
      </c>
      <c r="D15" s="210" t="str">
        <f>IF(C15="","",VLOOKUP(C15,재고차이!A:C,2,0))</f>
        <v>GG8066</v>
      </c>
      <c r="E15" s="211" t="str">
        <f>IF(C15="","",VLOOKUP(C15,재고차이!A:C,3,0))</f>
        <v>조지아 크래프트 라떼 470PET 4X6</v>
      </c>
      <c r="F15" s="212" t="str">
        <f t="shared" si="4"/>
        <v>루트 파손</v>
      </c>
      <c r="G15" s="212" t="str">
        <f t="shared" si="5"/>
        <v>BGF 강화지점</v>
      </c>
      <c r="H15" s="214"/>
      <c r="I15" s="214">
        <v>1</v>
      </c>
      <c r="J15" s="215"/>
      <c r="K15" s="215" t="str">
        <f>$L$14&amp;N15</f>
        <v>22</v>
      </c>
      <c r="L15" s="215"/>
      <c r="M15" s="215"/>
      <c r="N15" s="217">
        <v>2</v>
      </c>
      <c r="O15" s="215" t="s">
        <v>2529</v>
      </c>
      <c r="Q15" s="219"/>
    </row>
    <row r="16" spans="1:18" s="218" customFormat="1" ht="17.25" customHeight="1" x14ac:dyDescent="0.15">
      <c r="A16" s="207"/>
      <c r="B16" s="208"/>
      <c r="C16" s="209"/>
      <c r="D16" s="210" t="str">
        <f>IF(C16="","",VLOOKUP(C16,재고차이!A:C,2,0))</f>
        <v/>
      </c>
      <c r="E16" s="211" t="str">
        <f>IF(C16="","",VLOOKUP(C16,재고차이!A:C,3,0))</f>
        <v/>
      </c>
      <c r="F16" s="212" t="str">
        <f t="shared" si="4"/>
        <v/>
      </c>
      <c r="G16" s="212" t="str">
        <f t="shared" si="5"/>
        <v/>
      </c>
      <c r="H16" s="214"/>
      <c r="I16" s="214"/>
      <c r="J16" s="215"/>
      <c r="K16" s="215" t="str">
        <f>$L$14&amp;N16</f>
        <v>23</v>
      </c>
      <c r="L16" s="220"/>
      <c r="M16" s="220"/>
      <c r="N16" s="221">
        <v>3</v>
      </c>
      <c r="O16" s="220" t="s">
        <v>2827</v>
      </c>
      <c r="Q16" s="219"/>
    </row>
    <row r="17" spans="1:17" s="218" customFormat="1" ht="17.25" customHeight="1" x14ac:dyDescent="0.15">
      <c r="A17" s="207"/>
      <c r="B17" s="208"/>
      <c r="C17" s="209"/>
      <c r="D17" s="210" t="str">
        <f>IF(C17="","",VLOOKUP(C17,재고차이!A:C,2,0))</f>
        <v/>
      </c>
      <c r="E17" s="211" t="str">
        <f>IF(C17="","",VLOOKUP(C17,재고차이!A:C,3,0))</f>
        <v/>
      </c>
      <c r="F17" s="212" t="str">
        <f t="shared" ref="F17:F19" si="6">IF(A17="","",VLOOKUP(A17,L:M,2,0))</f>
        <v/>
      </c>
      <c r="G17" s="212" t="str">
        <f t="shared" ref="G17:G19" si="7">IF(A17="","",VLOOKUP(A17&amp;B17,K:O,5,0))</f>
        <v/>
      </c>
      <c r="H17" s="214"/>
      <c r="I17" s="214"/>
      <c r="J17" s="215"/>
      <c r="K17" s="215"/>
      <c r="Q17" s="219"/>
    </row>
    <row r="18" spans="1:17" s="218" customFormat="1" ht="17.25" customHeight="1" x14ac:dyDescent="0.15">
      <c r="A18" s="207"/>
      <c r="B18" s="208"/>
      <c r="C18" s="209"/>
      <c r="D18" s="210" t="str">
        <f>IF(C18="","",VLOOKUP(C18,재고차이!A:C,2,0))</f>
        <v/>
      </c>
      <c r="E18" s="211" t="str">
        <f>IF(C18="","",VLOOKUP(C18,재고차이!A:C,3,0))</f>
        <v/>
      </c>
      <c r="F18" s="212" t="str">
        <f t="shared" si="6"/>
        <v/>
      </c>
      <c r="G18" s="212" t="str">
        <f t="shared" si="7"/>
        <v/>
      </c>
      <c r="H18" s="214"/>
      <c r="I18" s="214"/>
      <c r="J18" s="215"/>
      <c r="K18" s="215" t="str">
        <f>$L$18&amp;N18</f>
        <v>31</v>
      </c>
      <c r="L18" s="216">
        <v>3</v>
      </c>
      <c r="M18" s="215" t="s">
        <v>2530</v>
      </c>
      <c r="N18" s="217">
        <v>1</v>
      </c>
      <c r="O18" s="215" t="s">
        <v>2531</v>
      </c>
      <c r="Q18" s="219"/>
    </row>
    <row r="19" spans="1:17" s="218" customFormat="1" ht="17.25" customHeight="1" x14ac:dyDescent="0.15">
      <c r="A19" s="207"/>
      <c r="B19" s="208"/>
      <c r="C19" s="209"/>
      <c r="D19" s="210" t="str">
        <f>IF(C19="","",VLOOKUP(C19,재고차이!A:C,2,0))</f>
        <v/>
      </c>
      <c r="E19" s="211" t="str">
        <f>IF(C19="","",VLOOKUP(C19,재고차이!A:C,3,0))</f>
        <v/>
      </c>
      <c r="F19" s="212" t="str">
        <f t="shared" si="6"/>
        <v/>
      </c>
      <c r="G19" s="212" t="str">
        <f t="shared" si="7"/>
        <v/>
      </c>
      <c r="H19" s="214"/>
      <c r="I19" s="214"/>
      <c r="J19" s="215"/>
      <c r="K19" s="215" t="str">
        <f>$L$18&amp;N19</f>
        <v>32</v>
      </c>
      <c r="L19" s="220"/>
      <c r="M19" s="220"/>
      <c r="N19" s="221">
        <v>2</v>
      </c>
      <c r="O19" s="220"/>
      <c r="Q19" s="219"/>
    </row>
    <row r="20" spans="1:17" s="218" customFormat="1" ht="17.25" customHeight="1" x14ac:dyDescent="0.15">
      <c r="A20" s="207"/>
      <c r="B20" s="208"/>
      <c r="C20" s="209"/>
      <c r="D20" s="210" t="str">
        <f>IF(C20="","",VLOOKUP(C20,재고차이!A:C,2,0))</f>
        <v/>
      </c>
      <c r="E20" s="211" t="str">
        <f>IF(C20="","",VLOOKUP(C20,재고차이!A:C,3,0))</f>
        <v/>
      </c>
      <c r="F20" s="212" t="str">
        <f t="shared" ref="F20:F22" si="8">IF(A20="","",VLOOKUP(A20,L:M,2,0))</f>
        <v/>
      </c>
      <c r="G20" s="212" t="str">
        <f t="shared" ref="G20:G22" si="9">IF(A20="","",VLOOKUP(A20&amp;B20,K:O,5,0))</f>
        <v/>
      </c>
      <c r="H20" s="214"/>
      <c r="I20" s="214"/>
      <c r="J20" s="215"/>
      <c r="K20" s="215"/>
      <c r="L20" s="215"/>
      <c r="M20" s="215"/>
      <c r="N20" s="215"/>
      <c r="O20" s="215"/>
      <c r="Q20" s="219"/>
    </row>
    <row r="21" spans="1:17" s="218" customFormat="1" ht="17.25" customHeight="1" x14ac:dyDescent="0.15">
      <c r="A21" s="207"/>
      <c r="B21" s="208"/>
      <c r="C21" s="209"/>
      <c r="D21" s="210" t="str">
        <f>IF(C21="","",VLOOKUP(C21,재고차이!A:C,2,0))</f>
        <v/>
      </c>
      <c r="E21" s="211" t="str">
        <f>IF(C21="","",VLOOKUP(C21,재고차이!A:C,3,0))</f>
        <v/>
      </c>
      <c r="F21" s="212" t="str">
        <f t="shared" si="8"/>
        <v/>
      </c>
      <c r="G21" s="212" t="str">
        <f t="shared" si="9"/>
        <v/>
      </c>
      <c r="H21" s="214"/>
      <c r="I21" s="214"/>
      <c r="J21" s="215"/>
      <c r="K21" s="215" t="str">
        <f t="shared" ref="K21:K46" si="10">$L$21&amp;N21</f>
        <v>41</v>
      </c>
      <c r="L21" s="216">
        <v>4</v>
      </c>
      <c r="M21" s="215" t="s">
        <v>2532</v>
      </c>
      <c r="N21" s="217">
        <v>1</v>
      </c>
      <c r="O21" s="215" t="s">
        <v>2315</v>
      </c>
      <c r="Q21" s="219"/>
    </row>
    <row r="22" spans="1:17" s="218" customFormat="1" ht="17.25" customHeight="1" x14ac:dyDescent="0.15">
      <c r="A22" s="207"/>
      <c r="B22" s="208"/>
      <c r="C22" s="209"/>
      <c r="D22" s="210" t="str">
        <f>IF(C22="","",VLOOKUP(C22,재고차이!A:C,2,0))</f>
        <v/>
      </c>
      <c r="E22" s="211" t="str">
        <f>IF(C22="","",VLOOKUP(C22,재고차이!A:C,3,0))</f>
        <v/>
      </c>
      <c r="F22" s="212" t="str">
        <f t="shared" si="8"/>
        <v/>
      </c>
      <c r="G22" s="212" t="str">
        <f t="shared" si="9"/>
        <v/>
      </c>
      <c r="H22" s="214"/>
      <c r="I22" s="214"/>
      <c r="J22" s="215"/>
      <c r="K22" s="215" t="str">
        <f t="shared" si="10"/>
        <v>42</v>
      </c>
      <c r="L22" s="215"/>
      <c r="M22" s="215"/>
      <c r="N22" s="217">
        <v>2</v>
      </c>
      <c r="O22" s="215" t="s">
        <v>2316</v>
      </c>
      <c r="Q22" s="219"/>
    </row>
    <row r="23" spans="1:17" s="218" customFormat="1" ht="17.25" customHeight="1" x14ac:dyDescent="0.15">
      <c r="A23" s="207"/>
      <c r="B23" s="208"/>
      <c r="C23" s="209"/>
      <c r="D23" s="210" t="str">
        <f>IF(C23="","",VLOOKUP(C23,재고차이!A:C,2,0))</f>
        <v/>
      </c>
      <c r="E23" s="211" t="str">
        <f>IF(C23="","",VLOOKUP(C23,재고차이!A:C,3,0))</f>
        <v/>
      </c>
      <c r="F23" s="212" t="str">
        <f t="shared" ref="F23:F26" si="11">IF(A23="","",VLOOKUP(A23,L:M,2,0))</f>
        <v/>
      </c>
      <c r="G23" s="212" t="str">
        <f t="shared" ref="G23:G26" si="12">IF(A23="","",VLOOKUP(A23&amp;B23,K:O,5,0))</f>
        <v/>
      </c>
      <c r="H23" s="214"/>
      <c r="I23" s="214"/>
      <c r="J23" s="215"/>
      <c r="K23" s="215" t="str">
        <f t="shared" si="10"/>
        <v>43</v>
      </c>
      <c r="L23" s="215"/>
      <c r="M23" s="215"/>
      <c r="N23" s="217">
        <v>3</v>
      </c>
      <c r="O23" s="215" t="s">
        <v>2262</v>
      </c>
      <c r="Q23" s="219"/>
    </row>
    <row r="24" spans="1:17" s="218" customFormat="1" ht="17.25" customHeight="1" x14ac:dyDescent="0.15">
      <c r="A24" s="207"/>
      <c r="B24" s="208"/>
      <c r="C24" s="209"/>
      <c r="D24" s="210" t="str">
        <f>IF(C24="","",VLOOKUP(C24,재고차이!A:C,2,0))</f>
        <v/>
      </c>
      <c r="E24" s="211" t="str">
        <f>IF(C24="","",VLOOKUP(C24,재고차이!A:C,3,0))</f>
        <v/>
      </c>
      <c r="F24" s="212" t="str">
        <f t="shared" si="11"/>
        <v/>
      </c>
      <c r="G24" s="212" t="str">
        <f t="shared" si="12"/>
        <v/>
      </c>
      <c r="H24" s="214"/>
      <c r="I24" s="214"/>
      <c r="J24" s="215"/>
      <c r="K24" s="215" t="str">
        <f t="shared" si="10"/>
        <v>44</v>
      </c>
      <c r="L24" s="215"/>
      <c r="M24" s="215"/>
      <c r="N24" s="217">
        <v>4</v>
      </c>
      <c r="O24" s="215" t="s">
        <v>2317</v>
      </c>
      <c r="Q24" s="219"/>
    </row>
    <row r="25" spans="1:17" s="218" customFormat="1" ht="17.25" customHeight="1" x14ac:dyDescent="0.15">
      <c r="A25" s="207"/>
      <c r="B25" s="208"/>
      <c r="C25" s="209"/>
      <c r="D25" s="210" t="str">
        <f>IF(C25="","",VLOOKUP(C25,재고차이!A:C,2,0))</f>
        <v/>
      </c>
      <c r="E25" s="211" t="str">
        <f>IF(C25="","",VLOOKUP(C25,재고차이!A:C,3,0))</f>
        <v/>
      </c>
      <c r="F25" s="212" t="str">
        <f t="shared" si="11"/>
        <v/>
      </c>
      <c r="G25" s="212" t="str">
        <f t="shared" si="12"/>
        <v/>
      </c>
      <c r="H25" s="214"/>
      <c r="I25" s="214"/>
      <c r="J25" s="215"/>
      <c r="K25" s="215" t="str">
        <f t="shared" si="10"/>
        <v>45</v>
      </c>
      <c r="L25" s="215"/>
      <c r="M25" s="215"/>
      <c r="N25" s="217">
        <v>5</v>
      </c>
      <c r="O25" s="215" t="s">
        <v>2318</v>
      </c>
      <c r="Q25" s="219"/>
    </row>
    <row r="26" spans="1:17" s="218" customFormat="1" ht="17.25" customHeight="1" x14ac:dyDescent="0.15">
      <c r="A26" s="207"/>
      <c r="B26" s="208"/>
      <c r="C26" s="209"/>
      <c r="D26" s="210" t="str">
        <f>IF(C26="","",VLOOKUP(C26,재고차이!A:C,2,0))</f>
        <v/>
      </c>
      <c r="E26" s="211" t="str">
        <f>IF(C26="","",VLOOKUP(C26,재고차이!A:C,3,0))</f>
        <v/>
      </c>
      <c r="F26" s="212" t="str">
        <f t="shared" si="11"/>
        <v/>
      </c>
      <c r="G26" s="212" t="str">
        <f t="shared" si="12"/>
        <v/>
      </c>
      <c r="H26" s="214"/>
      <c r="I26" s="214"/>
      <c r="J26" s="215"/>
      <c r="K26" s="215" t="str">
        <f t="shared" si="10"/>
        <v>46</v>
      </c>
      <c r="L26" s="215"/>
      <c r="M26" s="215"/>
      <c r="N26" s="217">
        <v>6</v>
      </c>
      <c r="O26" s="215" t="s">
        <v>2319</v>
      </c>
      <c r="Q26" s="219"/>
    </row>
    <row r="27" spans="1:17" s="218" customFormat="1" ht="17.25" customHeight="1" x14ac:dyDescent="0.15">
      <c r="A27" s="207"/>
      <c r="B27" s="208"/>
      <c r="C27" s="209"/>
      <c r="D27" s="210" t="str">
        <f>IF(C27="","",VLOOKUP(C27,재고차이!A:C,2,0))</f>
        <v/>
      </c>
      <c r="E27" s="211" t="str">
        <f>IF(C27="","",VLOOKUP(C27,재고차이!A:C,3,0))</f>
        <v/>
      </c>
      <c r="F27" s="212" t="str">
        <f t="shared" ref="F27:F38" si="13">IF(A27="","",VLOOKUP(A27,L:M,2,0))</f>
        <v/>
      </c>
      <c r="G27" s="212" t="str">
        <f t="shared" ref="G27:G38" si="14">IF(A27="","",VLOOKUP(A27&amp;B27,K:O,5,0))</f>
        <v/>
      </c>
      <c r="H27" s="214"/>
      <c r="I27" s="214"/>
      <c r="J27" s="215"/>
      <c r="K27" s="215" t="str">
        <f t="shared" si="10"/>
        <v>47</v>
      </c>
      <c r="L27" s="215"/>
      <c r="M27" s="215"/>
      <c r="N27" s="217">
        <v>7</v>
      </c>
      <c r="O27" s="215" t="s">
        <v>2327</v>
      </c>
      <c r="Q27" s="219"/>
    </row>
    <row r="28" spans="1:17" s="218" customFormat="1" ht="17.25" customHeight="1" x14ac:dyDescent="0.15">
      <c r="A28" s="207"/>
      <c r="B28" s="208"/>
      <c r="C28" s="209"/>
      <c r="D28" s="210" t="str">
        <f>IF(C28="","",VLOOKUP(C28,재고차이!A:C,2,0))</f>
        <v/>
      </c>
      <c r="E28" s="211" t="str">
        <f>IF(C28="","",VLOOKUP(C28,재고차이!A:C,3,0))</f>
        <v/>
      </c>
      <c r="F28" s="212" t="str">
        <f t="shared" si="13"/>
        <v/>
      </c>
      <c r="G28" s="212" t="str">
        <f t="shared" si="14"/>
        <v/>
      </c>
      <c r="H28" s="214"/>
      <c r="I28" s="214"/>
      <c r="J28" s="215"/>
      <c r="K28" s="215" t="str">
        <f t="shared" si="10"/>
        <v>48</v>
      </c>
      <c r="L28" s="215"/>
      <c r="M28" s="215"/>
      <c r="N28" s="217">
        <v>8</v>
      </c>
      <c r="O28" s="222" t="s">
        <v>2506</v>
      </c>
      <c r="Q28" s="219"/>
    </row>
    <row r="29" spans="1:17" s="218" customFormat="1" ht="17.25" customHeight="1" x14ac:dyDescent="0.15">
      <c r="A29" s="207"/>
      <c r="B29" s="208"/>
      <c r="C29" s="209"/>
      <c r="D29" s="210" t="str">
        <f>IF(C29="","",VLOOKUP(C29,재고차이!A:C,2,0))</f>
        <v/>
      </c>
      <c r="E29" s="211" t="str">
        <f>IF(C29="","",VLOOKUP(C29,재고차이!A:C,3,0))</f>
        <v/>
      </c>
      <c r="F29" s="212" t="str">
        <f t="shared" si="13"/>
        <v/>
      </c>
      <c r="G29" s="212" t="str">
        <f t="shared" si="14"/>
        <v/>
      </c>
      <c r="H29" s="214"/>
      <c r="I29" s="214"/>
      <c r="J29" s="215"/>
      <c r="K29" s="215" t="str">
        <f t="shared" si="10"/>
        <v>49</v>
      </c>
      <c r="L29" s="215"/>
      <c r="M29" s="215"/>
      <c r="N29" s="217">
        <v>9</v>
      </c>
      <c r="O29" s="222" t="s">
        <v>2504</v>
      </c>
      <c r="Q29" s="219"/>
    </row>
    <row r="30" spans="1:17" s="218" customFormat="1" ht="17.25" customHeight="1" x14ac:dyDescent="0.15">
      <c r="A30" s="207"/>
      <c r="B30" s="208"/>
      <c r="C30" s="209"/>
      <c r="D30" s="210" t="str">
        <f>IF(C30="","",VLOOKUP(C30,재고차이!A:C,2,0))</f>
        <v/>
      </c>
      <c r="E30" s="211" t="str">
        <f>IF(C30="","",VLOOKUP(C30,재고차이!A:C,3,0))</f>
        <v/>
      </c>
      <c r="F30" s="212" t="str">
        <f t="shared" si="13"/>
        <v/>
      </c>
      <c r="G30" s="212" t="str">
        <f t="shared" si="14"/>
        <v/>
      </c>
      <c r="H30" s="214"/>
      <c r="I30" s="214"/>
      <c r="J30" s="215"/>
      <c r="K30" s="215" t="str">
        <f t="shared" si="10"/>
        <v>410</v>
      </c>
      <c r="L30" s="215"/>
      <c r="M30" s="215"/>
      <c r="N30" s="217">
        <v>10</v>
      </c>
      <c r="O30" s="222" t="s">
        <v>2641</v>
      </c>
      <c r="Q30" s="219"/>
    </row>
    <row r="31" spans="1:17" s="218" customFormat="1" ht="17.25" customHeight="1" x14ac:dyDescent="0.15">
      <c r="A31" s="207"/>
      <c r="B31" s="208"/>
      <c r="C31" s="209"/>
      <c r="D31" s="210" t="str">
        <f>IF(C31="","",VLOOKUP(C31,재고차이!A:C,2,0))</f>
        <v/>
      </c>
      <c r="E31" s="211" t="str">
        <f>IF(C31="","",VLOOKUP(C31,재고차이!A:C,3,0))</f>
        <v/>
      </c>
      <c r="F31" s="212" t="str">
        <f t="shared" si="13"/>
        <v/>
      </c>
      <c r="G31" s="212" t="str">
        <f t="shared" si="14"/>
        <v/>
      </c>
      <c r="H31" s="214"/>
      <c r="I31" s="214"/>
      <c r="J31" s="215"/>
      <c r="K31" s="215" t="str">
        <f t="shared" si="10"/>
        <v>411</v>
      </c>
      <c r="L31" s="215"/>
      <c r="M31" s="215"/>
      <c r="N31" s="217">
        <v>11</v>
      </c>
      <c r="O31" s="222" t="s">
        <v>2509</v>
      </c>
      <c r="Q31" s="219"/>
    </row>
    <row r="32" spans="1:17" s="218" customFormat="1" ht="17.25" customHeight="1" x14ac:dyDescent="0.15">
      <c r="A32" s="207"/>
      <c r="B32" s="208"/>
      <c r="C32" s="209"/>
      <c r="D32" s="210" t="str">
        <f>IF(C32="","",VLOOKUP(C32,재고차이!A:C,2,0))</f>
        <v/>
      </c>
      <c r="E32" s="211" t="str">
        <f>IF(C32="","",VLOOKUP(C32,재고차이!A:C,3,0))</f>
        <v/>
      </c>
      <c r="F32" s="212" t="str">
        <f t="shared" si="13"/>
        <v/>
      </c>
      <c r="G32" s="212" t="str">
        <f t="shared" si="14"/>
        <v/>
      </c>
      <c r="H32" s="214"/>
      <c r="I32" s="214"/>
      <c r="J32" s="215"/>
      <c r="K32" s="215" t="str">
        <f t="shared" si="10"/>
        <v>412</v>
      </c>
      <c r="L32" s="215"/>
      <c r="M32" s="215"/>
      <c r="N32" s="217">
        <v>12</v>
      </c>
      <c r="O32" s="215" t="s">
        <v>2306</v>
      </c>
      <c r="Q32" s="219"/>
    </row>
    <row r="33" spans="1:17" s="218" customFormat="1" ht="17.25" customHeight="1" x14ac:dyDescent="0.15">
      <c r="A33" s="207"/>
      <c r="B33" s="208"/>
      <c r="C33" s="209"/>
      <c r="D33" s="210" t="str">
        <f>IF(C33="","",VLOOKUP(C33,재고차이!A:C,2,0))</f>
        <v/>
      </c>
      <c r="E33" s="211" t="str">
        <f>IF(C33="","",VLOOKUP(C33,재고차이!A:C,3,0))</f>
        <v/>
      </c>
      <c r="F33" s="212" t="str">
        <f t="shared" si="13"/>
        <v/>
      </c>
      <c r="G33" s="212" t="str">
        <f t="shared" si="14"/>
        <v/>
      </c>
      <c r="H33" s="214"/>
      <c r="I33" s="214"/>
      <c r="J33" s="215"/>
      <c r="K33" s="215" t="str">
        <f t="shared" si="10"/>
        <v>413</v>
      </c>
      <c r="L33" s="215"/>
      <c r="M33" s="215"/>
      <c r="N33" s="217">
        <v>13</v>
      </c>
      <c r="O33" s="215" t="s">
        <v>2380</v>
      </c>
      <c r="Q33" s="219"/>
    </row>
    <row r="34" spans="1:17" s="218" customFormat="1" ht="17.25" customHeight="1" x14ac:dyDescent="0.15">
      <c r="A34" s="207"/>
      <c r="B34" s="208"/>
      <c r="C34" s="209"/>
      <c r="D34" s="210" t="str">
        <f>IF(C34="","",VLOOKUP(C34,재고차이!A:C,2,0))</f>
        <v/>
      </c>
      <c r="E34" s="211" t="str">
        <f>IF(C34="","",VLOOKUP(C34,재고차이!A:C,3,0))</f>
        <v/>
      </c>
      <c r="F34" s="212" t="str">
        <f t="shared" si="13"/>
        <v/>
      </c>
      <c r="G34" s="212" t="str">
        <f t="shared" si="14"/>
        <v/>
      </c>
      <c r="H34" s="214"/>
      <c r="I34" s="214"/>
      <c r="J34" s="215"/>
      <c r="K34" s="215" t="str">
        <f t="shared" si="10"/>
        <v>414</v>
      </c>
      <c r="L34" s="215"/>
      <c r="M34" s="215"/>
      <c r="N34" s="217">
        <v>14</v>
      </c>
      <c r="O34" s="215" t="s">
        <v>2307</v>
      </c>
      <c r="Q34" s="219"/>
    </row>
    <row r="35" spans="1:17" s="218" customFormat="1" ht="17.25" customHeight="1" x14ac:dyDescent="0.15">
      <c r="A35" s="207"/>
      <c r="B35" s="208"/>
      <c r="C35" s="209"/>
      <c r="D35" s="210" t="str">
        <f>IF(C35="","",VLOOKUP(C35,재고차이!A:C,2,0))</f>
        <v/>
      </c>
      <c r="E35" s="211" t="str">
        <f>IF(C35="","",VLOOKUP(C35,재고차이!A:C,3,0))</f>
        <v/>
      </c>
      <c r="F35" s="212" t="str">
        <f t="shared" si="13"/>
        <v/>
      </c>
      <c r="G35" s="212" t="str">
        <f t="shared" si="14"/>
        <v/>
      </c>
      <c r="H35" s="214"/>
      <c r="I35" s="214"/>
      <c r="J35" s="215"/>
      <c r="K35" s="215" t="str">
        <f t="shared" si="10"/>
        <v>415</v>
      </c>
      <c r="L35" s="215"/>
      <c r="M35" s="215"/>
      <c r="N35" s="217">
        <v>15</v>
      </c>
      <c r="O35" s="215" t="s">
        <v>2308</v>
      </c>
      <c r="Q35" s="219"/>
    </row>
    <row r="36" spans="1:17" s="218" customFormat="1" ht="17.25" customHeight="1" x14ac:dyDescent="0.15">
      <c r="A36" s="207"/>
      <c r="B36" s="208"/>
      <c r="C36" s="209"/>
      <c r="D36" s="210" t="str">
        <f>IF(C36="","",VLOOKUP(C36,재고차이!A:C,2,0))</f>
        <v/>
      </c>
      <c r="E36" s="211" t="str">
        <f>IF(C36="","",VLOOKUP(C36,재고차이!A:C,3,0))</f>
        <v/>
      </c>
      <c r="F36" s="212" t="str">
        <f t="shared" si="13"/>
        <v/>
      </c>
      <c r="G36" s="212" t="str">
        <f t="shared" si="14"/>
        <v/>
      </c>
      <c r="H36" s="214"/>
      <c r="I36" s="214"/>
      <c r="J36" s="215"/>
      <c r="K36" s="215" t="str">
        <f t="shared" si="10"/>
        <v>416</v>
      </c>
      <c r="L36" s="215"/>
      <c r="M36" s="215"/>
      <c r="N36" s="217">
        <v>16</v>
      </c>
      <c r="O36" s="215" t="s">
        <v>2309</v>
      </c>
      <c r="Q36" s="219"/>
    </row>
    <row r="37" spans="1:17" s="218" customFormat="1" ht="17.25" customHeight="1" x14ac:dyDescent="0.15">
      <c r="A37" s="207"/>
      <c r="B37" s="208"/>
      <c r="C37" s="209"/>
      <c r="D37" s="210" t="str">
        <f>IF(C37="","",VLOOKUP(C37,재고차이!A:C,2,0))</f>
        <v/>
      </c>
      <c r="E37" s="211" t="str">
        <f>IF(C37="","",VLOOKUP(C37,재고차이!A:C,3,0))</f>
        <v/>
      </c>
      <c r="F37" s="212" t="str">
        <f t="shared" si="13"/>
        <v/>
      </c>
      <c r="G37" s="212" t="str">
        <f t="shared" si="14"/>
        <v/>
      </c>
      <c r="H37" s="214"/>
      <c r="I37" s="214"/>
      <c r="J37" s="215"/>
      <c r="K37" s="215" t="str">
        <f t="shared" si="10"/>
        <v>417</v>
      </c>
      <c r="L37" s="215"/>
      <c r="M37" s="215"/>
      <c r="N37" s="217">
        <v>17</v>
      </c>
      <c r="O37" s="215" t="s">
        <v>2340</v>
      </c>
      <c r="Q37" s="219"/>
    </row>
    <row r="38" spans="1:17" s="218" customFormat="1" ht="17.25" customHeight="1" x14ac:dyDescent="0.15">
      <c r="A38" s="207"/>
      <c r="B38" s="208"/>
      <c r="C38" s="209"/>
      <c r="D38" s="210" t="str">
        <f>IF(C38="","",VLOOKUP(C38,재고차이!A:C,2,0))</f>
        <v/>
      </c>
      <c r="E38" s="211" t="str">
        <f>IF(C38="","",VLOOKUP(C38,재고차이!A:C,3,0))</f>
        <v/>
      </c>
      <c r="F38" s="212" t="str">
        <f t="shared" si="13"/>
        <v/>
      </c>
      <c r="G38" s="212" t="str">
        <f t="shared" si="14"/>
        <v/>
      </c>
      <c r="H38" s="214"/>
      <c r="I38" s="214"/>
      <c r="J38" s="215"/>
      <c r="K38" s="215" t="str">
        <f t="shared" si="10"/>
        <v>418</v>
      </c>
      <c r="L38" s="215"/>
      <c r="M38" s="215"/>
      <c r="N38" s="217">
        <v>18</v>
      </c>
      <c r="O38" s="215" t="s">
        <v>2310</v>
      </c>
      <c r="Q38" s="219"/>
    </row>
    <row r="39" spans="1:17" s="218" customFormat="1" ht="17.25" customHeight="1" x14ac:dyDescent="0.15">
      <c r="A39" s="207"/>
      <c r="B39" s="208"/>
      <c r="C39" s="209"/>
      <c r="D39" s="210" t="str">
        <f>IF(C39="","",VLOOKUP(C39,재고차이!A:C,2,0))</f>
        <v/>
      </c>
      <c r="E39" s="211" t="str">
        <f>IF(C39="","",VLOOKUP(C39,재고차이!A:C,3,0))</f>
        <v/>
      </c>
      <c r="F39" s="212" t="str">
        <f t="shared" ref="F39:F46" si="15">IF(A39="","",VLOOKUP(A39,L:M,2,0))</f>
        <v/>
      </c>
      <c r="G39" s="212" t="str">
        <f t="shared" ref="G39:G46" si="16">IF(A39="","",VLOOKUP(A39&amp;B39,K:O,5,0))</f>
        <v/>
      </c>
      <c r="H39" s="214"/>
      <c r="I39" s="214"/>
      <c r="J39" s="215"/>
      <c r="K39" s="215" t="str">
        <f t="shared" si="10"/>
        <v>419</v>
      </c>
      <c r="L39" s="215"/>
      <c r="M39" s="215"/>
      <c r="N39" s="217">
        <v>19</v>
      </c>
      <c r="O39" s="215" t="s">
        <v>2311</v>
      </c>
      <c r="Q39" s="219"/>
    </row>
    <row r="40" spans="1:17" s="218" customFormat="1" ht="17.25" customHeight="1" x14ac:dyDescent="0.15">
      <c r="A40" s="207"/>
      <c r="B40" s="208"/>
      <c r="C40" s="209"/>
      <c r="D40" s="210" t="str">
        <f>IF(C40="","",VLOOKUP(C40,재고차이!A:C,2,0))</f>
        <v/>
      </c>
      <c r="E40" s="211" t="str">
        <f>IF(C40="","",VLOOKUP(C40,재고차이!A:C,3,0))</f>
        <v/>
      </c>
      <c r="F40" s="212" t="str">
        <f t="shared" si="15"/>
        <v/>
      </c>
      <c r="G40" s="212" t="str">
        <f t="shared" si="16"/>
        <v/>
      </c>
      <c r="H40" s="214"/>
      <c r="I40" s="214"/>
      <c r="J40" s="215"/>
      <c r="K40" s="215" t="str">
        <f t="shared" si="10"/>
        <v>420</v>
      </c>
      <c r="L40" s="215"/>
      <c r="M40" s="215"/>
      <c r="N40" s="217">
        <v>20</v>
      </c>
      <c r="O40" s="215" t="s">
        <v>2397</v>
      </c>
      <c r="Q40" s="219"/>
    </row>
    <row r="41" spans="1:17" s="218" customFormat="1" ht="17.25" customHeight="1" x14ac:dyDescent="0.15">
      <c r="A41" s="207"/>
      <c r="B41" s="208"/>
      <c r="C41" s="209"/>
      <c r="D41" s="210" t="str">
        <f>IF(C41="","",VLOOKUP(C41,재고차이!A:C,2,0))</f>
        <v/>
      </c>
      <c r="E41" s="211" t="str">
        <f>IF(C41="","",VLOOKUP(C41,재고차이!A:C,3,0))</f>
        <v/>
      </c>
      <c r="F41" s="212" t="str">
        <f t="shared" si="15"/>
        <v/>
      </c>
      <c r="G41" s="212" t="str">
        <f t="shared" si="16"/>
        <v/>
      </c>
      <c r="H41" s="214"/>
      <c r="I41" s="214"/>
      <c r="J41" s="215"/>
      <c r="K41" s="215" t="str">
        <f t="shared" si="10"/>
        <v>421</v>
      </c>
      <c r="L41" s="215"/>
      <c r="M41" s="215"/>
      <c r="N41" s="217">
        <v>21</v>
      </c>
      <c r="O41" s="215" t="s">
        <v>2312</v>
      </c>
      <c r="Q41" s="219"/>
    </row>
    <row r="42" spans="1:17" s="218" customFormat="1" ht="17.25" customHeight="1" x14ac:dyDescent="0.15">
      <c r="A42" s="207"/>
      <c r="B42" s="208"/>
      <c r="C42" s="209"/>
      <c r="D42" s="210" t="str">
        <f>IF(C42="","",VLOOKUP(C42,재고차이!A:C,2,0))</f>
        <v/>
      </c>
      <c r="E42" s="211" t="str">
        <f>IF(C42="","",VLOOKUP(C42,재고차이!A:C,3,0))</f>
        <v/>
      </c>
      <c r="F42" s="212" t="str">
        <f t="shared" si="15"/>
        <v/>
      </c>
      <c r="G42" s="212" t="str">
        <f t="shared" si="16"/>
        <v/>
      </c>
      <c r="H42" s="214"/>
      <c r="I42" s="214"/>
      <c r="J42" s="215"/>
      <c r="K42" s="215" t="str">
        <f t="shared" si="10"/>
        <v>422</v>
      </c>
      <c r="L42" s="215"/>
      <c r="M42" s="215"/>
      <c r="N42" s="217">
        <v>22</v>
      </c>
      <c r="O42" s="215" t="s">
        <v>2313</v>
      </c>
      <c r="Q42" s="219"/>
    </row>
    <row r="43" spans="1:17" s="218" customFormat="1" ht="17.25" customHeight="1" x14ac:dyDescent="0.15">
      <c r="A43" s="207"/>
      <c r="B43" s="208"/>
      <c r="C43" s="209"/>
      <c r="D43" s="210" t="str">
        <f>IF(C43="","",VLOOKUP(C43,재고차이!A:C,2,0))</f>
        <v/>
      </c>
      <c r="E43" s="211" t="str">
        <f>IF(C43="","",VLOOKUP(C43,재고차이!A:C,3,0))</f>
        <v/>
      </c>
      <c r="F43" s="212" t="str">
        <f t="shared" si="15"/>
        <v/>
      </c>
      <c r="G43" s="212" t="str">
        <f t="shared" si="16"/>
        <v/>
      </c>
      <c r="H43" s="213"/>
      <c r="I43" s="214"/>
      <c r="J43" s="215"/>
      <c r="K43" s="215" t="str">
        <f t="shared" si="10"/>
        <v>423</v>
      </c>
      <c r="L43" s="215"/>
      <c r="M43" s="215"/>
      <c r="N43" s="217">
        <v>23</v>
      </c>
      <c r="O43" s="215" t="s">
        <v>2314</v>
      </c>
      <c r="Q43" s="219"/>
    </row>
    <row r="44" spans="1:17" s="218" customFormat="1" ht="17.25" customHeight="1" x14ac:dyDescent="0.15">
      <c r="A44" s="207"/>
      <c r="B44" s="208"/>
      <c r="C44" s="209"/>
      <c r="D44" s="210" t="str">
        <f>IF(C44="","",VLOOKUP(C44,재고차이!A:C,2,0))</f>
        <v/>
      </c>
      <c r="E44" s="211" t="str">
        <f>IF(C44="","",VLOOKUP(C44,재고차이!A:C,3,0))</f>
        <v/>
      </c>
      <c r="F44" s="212" t="str">
        <f t="shared" si="15"/>
        <v/>
      </c>
      <c r="G44" s="212" t="str">
        <f t="shared" si="16"/>
        <v/>
      </c>
      <c r="H44" s="213"/>
      <c r="I44" s="214"/>
      <c r="J44" s="215"/>
      <c r="K44" s="215" t="str">
        <f t="shared" si="10"/>
        <v>424</v>
      </c>
      <c r="L44" s="215"/>
      <c r="M44" s="215"/>
      <c r="N44" s="217">
        <v>24</v>
      </c>
      <c r="O44" s="215" t="s">
        <v>2479</v>
      </c>
      <c r="Q44" s="219"/>
    </row>
    <row r="45" spans="1:17" s="218" customFormat="1" ht="17.25" customHeight="1" x14ac:dyDescent="0.15">
      <c r="A45" s="207"/>
      <c r="B45" s="208"/>
      <c r="C45" s="209"/>
      <c r="D45" s="210" t="str">
        <f>IF(C45="","",VLOOKUP(C45,재고차이!A:C,2,0))</f>
        <v/>
      </c>
      <c r="E45" s="211" t="str">
        <f>IF(C45="","",VLOOKUP(C45,재고차이!A:C,3,0))</f>
        <v/>
      </c>
      <c r="F45" s="212" t="str">
        <f t="shared" si="15"/>
        <v/>
      </c>
      <c r="G45" s="212" t="str">
        <f t="shared" si="16"/>
        <v/>
      </c>
      <c r="H45" s="213"/>
      <c r="I45" s="214"/>
      <c r="J45" s="215"/>
      <c r="K45" s="215" t="str">
        <f t="shared" si="10"/>
        <v>425</v>
      </c>
      <c r="L45" s="215"/>
      <c r="M45" s="215"/>
      <c r="N45" s="217">
        <v>25</v>
      </c>
      <c r="O45" s="215" t="s">
        <v>2480</v>
      </c>
      <c r="Q45" s="219"/>
    </row>
    <row r="46" spans="1:17" s="218" customFormat="1" ht="17.25" customHeight="1" x14ac:dyDescent="0.15">
      <c r="A46" s="207"/>
      <c r="B46" s="208"/>
      <c r="C46" s="209"/>
      <c r="D46" s="210" t="str">
        <f>IF(C46="","",VLOOKUP(C46,재고차이!A:C,2,0))</f>
        <v/>
      </c>
      <c r="E46" s="211" t="str">
        <f>IF(C46="","",VLOOKUP(C46,재고차이!A:C,3,0))</f>
        <v/>
      </c>
      <c r="F46" s="212" t="str">
        <f t="shared" si="15"/>
        <v/>
      </c>
      <c r="G46" s="212" t="str">
        <f t="shared" si="16"/>
        <v/>
      </c>
      <c r="H46" s="213"/>
      <c r="I46" s="214"/>
      <c r="J46" s="215"/>
      <c r="K46" s="215" t="str">
        <f t="shared" si="10"/>
        <v>426</v>
      </c>
      <c r="L46" s="215"/>
      <c r="M46" s="215"/>
      <c r="N46" s="217">
        <v>26</v>
      </c>
      <c r="O46" s="215" t="s">
        <v>2514</v>
      </c>
      <c r="Q46" s="219"/>
    </row>
    <row r="47" spans="1:17" s="218" customFormat="1" ht="17.25" customHeight="1" x14ac:dyDescent="0.15">
      <c r="C47" s="223"/>
      <c r="D47" s="223"/>
      <c r="E47" s="213"/>
      <c r="F47" s="213"/>
      <c r="G47" s="213"/>
      <c r="H47" s="213"/>
      <c r="I47" s="224">
        <f>SUM(I9:I46)</f>
        <v>7</v>
      </c>
      <c r="J47" s="215"/>
      <c r="K47" s="215" t="str">
        <f t="shared" ref="K47:K63" si="17">$L$21&amp;N47</f>
        <v>427</v>
      </c>
      <c r="L47" s="215"/>
      <c r="N47" s="217">
        <v>27</v>
      </c>
      <c r="O47" s="215" t="s">
        <v>2605</v>
      </c>
      <c r="Q47" s="219"/>
    </row>
    <row r="48" spans="1:17" x14ac:dyDescent="0.15">
      <c r="C48" s="50"/>
      <c r="D48" s="50"/>
      <c r="E48" s="50"/>
      <c r="F48" s="50"/>
      <c r="G48" s="50"/>
      <c r="H48" s="50"/>
      <c r="I48" s="50"/>
      <c r="J48" s="50"/>
      <c r="K48" s="50" t="str">
        <f t="shared" si="17"/>
        <v>428</v>
      </c>
      <c r="L48" s="50"/>
      <c r="N48" s="217">
        <v>28</v>
      </c>
      <c r="O48" s="215" t="s">
        <v>2610</v>
      </c>
    </row>
    <row r="49" spans="3:17" x14ac:dyDescent="0.15">
      <c r="C49" s="56"/>
      <c r="D49" s="56"/>
      <c r="E49" s="57"/>
      <c r="F49" s="57" t="s">
        <v>1756</v>
      </c>
      <c r="G49" s="57"/>
      <c r="H49" s="57"/>
      <c r="I49" s="57"/>
      <c r="J49" s="55" t="s">
        <v>1755</v>
      </c>
      <c r="K49" s="50" t="str">
        <f t="shared" si="17"/>
        <v>4</v>
      </c>
      <c r="L49" s="50"/>
    </row>
    <row r="50" spans="3:17" x14ac:dyDescent="0.15">
      <c r="C50" s="58" t="s">
        <v>2339</v>
      </c>
      <c r="D50" s="58"/>
      <c r="E50" s="59"/>
      <c r="F50" s="60">
        <f>SUMIF(G9:G46,G50,I9:I46)</f>
        <v>1</v>
      </c>
      <c r="G50" s="59" t="s">
        <v>2542</v>
      </c>
      <c r="H50" s="59"/>
      <c r="I50" s="57"/>
      <c r="K50" s="50" t="str">
        <f t="shared" si="17"/>
        <v>4</v>
      </c>
      <c r="L50" s="50"/>
      <c r="O50" s="50"/>
    </row>
    <row r="51" spans="3:17" x14ac:dyDescent="0.15">
      <c r="C51" s="61" t="s">
        <v>1757</v>
      </c>
      <c r="D51" s="61"/>
      <c r="E51" s="62" t="s">
        <v>2335</v>
      </c>
      <c r="F51" s="58"/>
      <c r="G51" s="63"/>
      <c r="H51" s="63"/>
      <c r="I51" s="64"/>
      <c r="K51" s="50" t="str">
        <f t="shared" si="17"/>
        <v>4</v>
      </c>
      <c r="L51" s="50"/>
      <c r="O51" s="50"/>
    </row>
    <row r="52" spans="3:17" ht="20.25" x14ac:dyDescent="0.15">
      <c r="C52" s="56"/>
      <c r="D52" s="56"/>
      <c r="E52" s="58"/>
      <c r="F52" s="58"/>
      <c r="G52" s="63"/>
      <c r="H52" s="63"/>
      <c r="I52" s="64"/>
      <c r="K52" s="50" t="str">
        <f t="shared" si="17"/>
        <v>4</v>
      </c>
      <c r="L52" s="50"/>
      <c r="M52" s="108"/>
      <c r="O52" s="50"/>
    </row>
    <row r="53" spans="3:17" ht="20.25" x14ac:dyDescent="0.15">
      <c r="C53" s="58" t="s">
        <v>2338</v>
      </c>
      <c r="D53" s="58"/>
      <c r="E53" s="58"/>
      <c r="F53" s="60">
        <f>SUMIF(G9:G46,G53,I9:I46)</f>
        <v>0</v>
      </c>
      <c r="G53" s="58" t="s">
        <v>2541</v>
      </c>
      <c r="H53" s="58"/>
      <c r="I53" s="64"/>
      <c r="K53" s="50" t="str">
        <f t="shared" si="17"/>
        <v>4</v>
      </c>
      <c r="L53" s="50"/>
      <c r="M53" s="108"/>
      <c r="O53" s="50"/>
    </row>
    <row r="54" spans="3:17" ht="20.25" x14ac:dyDescent="0.15">
      <c r="C54" s="61" t="s">
        <v>1757</v>
      </c>
      <c r="D54" s="61"/>
      <c r="E54" s="62" t="s">
        <v>2337</v>
      </c>
      <c r="F54" s="58"/>
      <c r="G54" s="63"/>
      <c r="H54" s="63"/>
      <c r="I54" s="64"/>
      <c r="K54" s="50" t="str">
        <f t="shared" si="17"/>
        <v>4</v>
      </c>
      <c r="L54" s="50"/>
      <c r="M54" s="108"/>
      <c r="O54" s="50"/>
    </row>
    <row r="55" spans="3:17" ht="20.25" x14ac:dyDescent="0.15">
      <c r="C55" s="56"/>
      <c r="D55" s="56"/>
      <c r="E55" s="58"/>
      <c r="F55" s="58"/>
      <c r="G55" s="63"/>
      <c r="H55" s="63"/>
      <c r="I55" s="64"/>
      <c r="K55" s="50" t="str">
        <f t="shared" si="17"/>
        <v>4</v>
      </c>
      <c r="L55" s="50"/>
      <c r="M55" s="108"/>
      <c r="O55" s="50"/>
    </row>
    <row r="56" spans="3:17" x14ac:dyDescent="0.15">
      <c r="C56" s="58" t="s">
        <v>2658</v>
      </c>
      <c r="D56" s="58"/>
      <c r="E56" s="58"/>
      <c r="F56" s="60">
        <f>I47-F50-F53</f>
        <v>6</v>
      </c>
      <c r="G56" s="58" t="s">
        <v>1760</v>
      </c>
      <c r="H56" s="58"/>
      <c r="I56" s="64"/>
      <c r="K56" s="50" t="str">
        <f t="shared" si="17"/>
        <v>4</v>
      </c>
      <c r="O56" s="112"/>
    </row>
    <row r="57" spans="3:17" x14ac:dyDescent="0.15">
      <c r="C57" s="61" t="s">
        <v>1757</v>
      </c>
      <c r="D57" s="61"/>
      <c r="E57" s="62" t="s">
        <v>2336</v>
      </c>
      <c r="F57" s="58"/>
      <c r="G57" s="63"/>
      <c r="H57" s="63"/>
      <c r="I57" s="64"/>
      <c r="K57" s="50" t="str">
        <f t="shared" si="17"/>
        <v>4</v>
      </c>
    </row>
    <row r="58" spans="3:17" x14ac:dyDescent="0.15">
      <c r="C58" s="59"/>
      <c r="D58" s="59"/>
      <c r="E58" s="58"/>
      <c r="F58" s="58"/>
      <c r="G58" s="63"/>
      <c r="H58" s="63"/>
      <c r="I58" s="64"/>
      <c r="K58" s="50" t="str">
        <f t="shared" si="17"/>
        <v>4</v>
      </c>
    </row>
    <row r="59" spans="3:17" s="108" customFormat="1" ht="20.25" x14ac:dyDescent="0.15">
      <c r="C59" s="107" t="s">
        <v>1751</v>
      </c>
      <c r="E59" s="107"/>
      <c r="F59" s="107"/>
      <c r="K59" s="50" t="str">
        <f t="shared" si="17"/>
        <v>4</v>
      </c>
      <c r="Q59" s="109"/>
    </row>
    <row r="60" spans="3:17" s="108" customFormat="1" ht="20.25" x14ac:dyDescent="0.15">
      <c r="C60" s="107" t="s">
        <v>1752</v>
      </c>
      <c r="E60" s="107"/>
      <c r="F60" s="107"/>
      <c r="K60" s="50" t="str">
        <f t="shared" si="17"/>
        <v>4</v>
      </c>
      <c r="Q60" s="109"/>
    </row>
    <row r="61" spans="3:17" s="108" customFormat="1" ht="20.25" x14ac:dyDescent="0.15">
      <c r="C61" s="107" t="s">
        <v>1753</v>
      </c>
      <c r="E61" s="107"/>
      <c r="F61" s="107"/>
      <c r="K61" s="50" t="str">
        <f t="shared" si="17"/>
        <v>4</v>
      </c>
      <c r="Q61" s="109"/>
    </row>
    <row r="62" spans="3:17" s="108" customFormat="1" ht="20.25" x14ac:dyDescent="0.15">
      <c r="C62" s="107" t="s">
        <v>1754</v>
      </c>
      <c r="E62" s="107"/>
      <c r="F62" s="110"/>
      <c r="K62" s="50" t="str">
        <f t="shared" si="17"/>
        <v>4</v>
      </c>
      <c r="Q62" s="109"/>
    </row>
    <row r="63" spans="3:17" x14ac:dyDescent="0.15">
      <c r="K63" s="50" t="str">
        <f t="shared" si="17"/>
        <v>4</v>
      </c>
    </row>
    <row r="64" spans="3:17" x14ac:dyDescent="0.3">
      <c r="O64" s="112"/>
    </row>
  </sheetData>
  <mergeCells count="2">
    <mergeCell ref="D6:E6"/>
    <mergeCell ref="Q8:R8"/>
  </mergeCells>
  <phoneticPr fontId="101" type="noConversion"/>
  <conditionalFormatting sqref="I51:I58">
    <cfRule type="cellIs" dxfId="3" priority="1" operator="notEqual">
      <formula>0</formula>
    </cfRule>
  </conditionalFormatting>
  <pageMargins left="0.19685039370078741" right="0" top="0.78740157480314965" bottom="0" header="0.31496062992125984" footer="0.31496062992125984"/>
  <pageSetup paperSize="9" scale="64" orientation="portrait" cellComments="asDisplayed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>
    <pageSetUpPr fitToPage="1"/>
  </sheetPr>
  <dimension ref="A1:S44"/>
  <sheetViews>
    <sheetView showGridLines="0" showZeros="0" zoomScale="80" zoomScaleNormal="80" workbookViewId="0">
      <selection activeCell="D6" sqref="D6:E6"/>
    </sheetView>
  </sheetViews>
  <sheetFormatPr defaultColWidth="9" defaultRowHeight="16.5" x14ac:dyDescent="0.3"/>
  <cols>
    <col min="1" max="1" width="3.875" style="46" customWidth="1"/>
    <col min="2" max="2" width="4.25" style="46" customWidth="1"/>
    <col min="3" max="3" width="11.75" style="46" customWidth="1"/>
    <col min="4" max="4" width="11.125" style="46" customWidth="1"/>
    <col min="5" max="5" width="43.375" style="46" customWidth="1"/>
    <col min="6" max="6" width="18.875" style="46" customWidth="1"/>
    <col min="7" max="8" width="25.625" style="46" customWidth="1"/>
    <col min="9" max="9" width="10.5" style="46" bestFit="1" customWidth="1"/>
    <col min="10" max="10" width="1.625" style="46" customWidth="1"/>
    <col min="11" max="11" width="5.125" style="46" hidden="1" customWidth="1"/>
    <col min="12" max="12" width="4.625" style="46" bestFit="1" customWidth="1"/>
    <col min="13" max="13" width="15.25" style="46" customWidth="1"/>
    <col min="14" max="14" width="4.625" style="46" bestFit="1" customWidth="1"/>
    <col min="15" max="15" width="24.5" style="46" bestFit="1" customWidth="1"/>
    <col min="16" max="16" width="2.875" style="46" customWidth="1"/>
    <col min="17" max="17" width="15" style="49" customWidth="1"/>
    <col min="18" max="16384" width="9" style="46"/>
  </cols>
  <sheetData>
    <row r="1" spans="1:19" ht="51.75" customHeight="1" x14ac:dyDescent="0.3">
      <c r="C1" s="47" t="s">
        <v>1743</v>
      </c>
      <c r="D1" s="47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9" ht="9.75" customHeight="1" x14ac:dyDescent="0.15"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</row>
    <row r="3" spans="1:19" ht="22.5" x14ac:dyDescent="0.3">
      <c r="C3" s="51" t="s">
        <v>1744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</row>
    <row r="4" spans="1:19" x14ac:dyDescent="0.3"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</row>
    <row r="5" spans="1:19" x14ac:dyDescent="0.15">
      <c r="C5" s="16" t="s">
        <v>1844</v>
      </c>
      <c r="D5" s="67" t="s">
        <v>2483</v>
      </c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</row>
    <row r="6" spans="1:19" x14ac:dyDescent="0.15">
      <c r="C6" s="52" t="s">
        <v>1845</v>
      </c>
      <c r="D6" s="237">
        <f>파손품!D6</f>
        <v>45849</v>
      </c>
      <c r="E6" s="237"/>
      <c r="F6" s="53"/>
      <c r="G6" s="54"/>
      <c r="H6" s="54"/>
      <c r="I6" s="50"/>
      <c r="J6" s="50"/>
      <c r="K6" s="50"/>
      <c r="L6" s="50"/>
      <c r="M6" s="50"/>
      <c r="N6" s="50"/>
      <c r="O6" s="50"/>
      <c r="P6" s="50"/>
    </row>
    <row r="7" spans="1:19" ht="4.5" customHeight="1" x14ac:dyDescent="0.15"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</row>
    <row r="8" spans="1:19" ht="23.25" customHeight="1" x14ac:dyDescent="0.15">
      <c r="A8" s="122" t="s">
        <v>1848</v>
      </c>
      <c r="B8" s="122" t="s">
        <v>1847</v>
      </c>
      <c r="C8" s="123" t="s">
        <v>1846</v>
      </c>
      <c r="D8" s="123" t="s">
        <v>1613</v>
      </c>
      <c r="E8" s="123" t="s">
        <v>337</v>
      </c>
      <c r="F8" s="123" t="s">
        <v>1838</v>
      </c>
      <c r="G8" s="123" t="s">
        <v>1840</v>
      </c>
      <c r="H8" s="123" t="s">
        <v>1843</v>
      </c>
      <c r="I8" s="123"/>
      <c r="J8" s="50"/>
      <c r="K8" s="50" t="s">
        <v>1842</v>
      </c>
      <c r="L8" s="122" t="s">
        <v>1848</v>
      </c>
      <c r="M8" s="16" t="s">
        <v>1839</v>
      </c>
      <c r="N8" s="122" t="s">
        <v>1847</v>
      </c>
      <c r="O8" s="16" t="s">
        <v>1841</v>
      </c>
      <c r="P8" s="50"/>
      <c r="Q8" s="238"/>
      <c r="R8" s="238"/>
    </row>
    <row r="9" spans="1:19" x14ac:dyDescent="0.15">
      <c r="A9" s="106"/>
      <c r="B9" s="105"/>
      <c r="C9" s="24"/>
      <c r="D9" s="119" t="str">
        <f>IF(C9="","",VLOOKUP(C9,재고차이!A:C,2,0))</f>
        <v/>
      </c>
      <c r="E9" s="120" t="str">
        <f>IF(C9="","",VLOOKUP(C9,재고차이!A:C,3,0))</f>
        <v/>
      </c>
      <c r="F9" s="121" t="str">
        <f t="shared" ref="F9:F27" si="0">IF(A9="","",VLOOKUP(A9,L:M,2,0))</f>
        <v/>
      </c>
      <c r="G9" s="121" t="str">
        <f t="shared" ref="G9:G27" si="1">IF(A9="","",VLOOKUP(A9&amp;B9,K:O,5,0))</f>
        <v/>
      </c>
      <c r="H9" s="113"/>
      <c r="I9" s="10"/>
      <c r="J9" s="50"/>
      <c r="K9" s="50" t="str">
        <f>$L$9&amp;N9</f>
        <v>11</v>
      </c>
      <c r="L9" s="194">
        <v>1</v>
      </c>
      <c r="M9" s="193" t="s">
        <v>2478</v>
      </c>
      <c r="N9" s="195">
        <v>1</v>
      </c>
      <c r="O9" s="193" t="s">
        <v>1857</v>
      </c>
      <c r="Q9" s="129"/>
      <c r="R9" s="130"/>
      <c r="S9" s="124"/>
    </row>
    <row r="10" spans="1:19" x14ac:dyDescent="0.15">
      <c r="A10" s="106"/>
      <c r="B10" s="105"/>
      <c r="C10" s="24"/>
      <c r="D10" s="119" t="str">
        <f>IF(C10="","",VLOOKUP(C10,재고차이!A:C,2,0))</f>
        <v/>
      </c>
      <c r="E10" s="120" t="str">
        <f>IF(C10="","",VLOOKUP(C10,재고차이!A:C,3,0))</f>
        <v/>
      </c>
      <c r="F10" s="121" t="str">
        <f t="shared" si="0"/>
        <v/>
      </c>
      <c r="G10" s="121" t="str">
        <f t="shared" si="1"/>
        <v/>
      </c>
      <c r="H10" s="113"/>
      <c r="I10" s="10"/>
      <c r="J10" s="50"/>
      <c r="K10" s="50"/>
      <c r="L10" s="50"/>
      <c r="M10" s="111"/>
      <c r="N10" s="50"/>
      <c r="O10" s="50"/>
      <c r="Q10" s="129"/>
      <c r="R10" s="130"/>
      <c r="S10" s="124"/>
    </row>
    <row r="11" spans="1:19" x14ac:dyDescent="0.15">
      <c r="A11" s="106"/>
      <c r="B11" s="105"/>
      <c r="C11" s="24"/>
      <c r="D11" s="119" t="str">
        <f>IF(C11="","",VLOOKUP(C11,재고차이!A:C,2,0))</f>
        <v/>
      </c>
      <c r="E11" s="120" t="str">
        <f>IF(C11="","",VLOOKUP(C11,재고차이!A:C,3,0))</f>
        <v/>
      </c>
      <c r="F11" s="121" t="str">
        <f t="shared" si="0"/>
        <v/>
      </c>
      <c r="G11" s="121" t="str">
        <f t="shared" si="1"/>
        <v/>
      </c>
      <c r="H11" s="113"/>
      <c r="I11" s="10"/>
      <c r="J11" s="50"/>
      <c r="K11" s="50"/>
      <c r="L11" s="50"/>
      <c r="M11" s="111"/>
      <c r="N11" s="50"/>
      <c r="O11" s="50"/>
      <c r="Q11" s="129"/>
      <c r="R11" s="130"/>
      <c r="S11" s="124"/>
    </row>
    <row r="12" spans="1:19" x14ac:dyDescent="0.15">
      <c r="A12" s="106"/>
      <c r="B12" s="105"/>
      <c r="C12" s="24"/>
      <c r="D12" s="119" t="str">
        <f>IF(C12="","",VLOOKUP(C12,재고차이!A:C,2,0))</f>
        <v/>
      </c>
      <c r="E12" s="120" t="str">
        <f>IF(C12="","",VLOOKUP(C12,재고차이!A:C,3,0))</f>
        <v/>
      </c>
      <c r="F12" s="121" t="str">
        <f t="shared" si="0"/>
        <v/>
      </c>
      <c r="G12" s="121" t="str">
        <f t="shared" si="1"/>
        <v/>
      </c>
      <c r="H12" s="113"/>
      <c r="I12" s="10"/>
      <c r="J12" s="50"/>
      <c r="K12" s="50"/>
      <c r="L12" s="50"/>
      <c r="M12" s="111"/>
      <c r="N12" s="50"/>
      <c r="O12" s="50"/>
      <c r="Q12" s="129"/>
      <c r="R12" s="130"/>
      <c r="S12" s="124"/>
    </row>
    <row r="13" spans="1:19" x14ac:dyDescent="0.15">
      <c r="A13" s="106"/>
      <c r="B13" s="105"/>
      <c r="C13" s="115"/>
      <c r="D13" s="119" t="str">
        <f>IF(C13="","",VLOOKUP(C13,재고차이!A:C,2,0))</f>
        <v/>
      </c>
      <c r="E13" s="120" t="str">
        <f>IF(C13="","",VLOOKUP(C13,재고차이!A:C,3,0))</f>
        <v/>
      </c>
      <c r="F13" s="121" t="str">
        <f t="shared" si="0"/>
        <v/>
      </c>
      <c r="G13" s="121" t="str">
        <f t="shared" si="1"/>
        <v/>
      </c>
      <c r="H13" s="113"/>
      <c r="I13" s="117"/>
      <c r="J13" s="50"/>
      <c r="K13" s="50"/>
      <c r="L13" s="50"/>
      <c r="M13" s="111"/>
      <c r="N13" s="50"/>
      <c r="O13" s="50"/>
      <c r="Q13" s="129"/>
      <c r="R13" s="130"/>
      <c r="S13" s="124"/>
    </row>
    <row r="14" spans="1:19" x14ac:dyDescent="0.15">
      <c r="A14" s="106"/>
      <c r="B14" s="105"/>
      <c r="C14" s="24"/>
      <c r="D14" s="119" t="str">
        <f>IF(C14="","",VLOOKUP(C14,재고차이!A:C,2,0))</f>
        <v/>
      </c>
      <c r="E14" s="120" t="str">
        <f>IF(C14="","",VLOOKUP(C14,재고차이!A:C,3,0))</f>
        <v/>
      </c>
      <c r="F14" s="121" t="str">
        <f t="shared" si="0"/>
        <v/>
      </c>
      <c r="G14" s="121" t="str">
        <f t="shared" si="1"/>
        <v/>
      </c>
      <c r="H14" s="113"/>
      <c r="I14" s="10"/>
      <c r="J14" s="50"/>
      <c r="K14" s="50"/>
      <c r="L14" s="50"/>
      <c r="M14" s="111"/>
      <c r="N14" s="50"/>
      <c r="O14" s="50"/>
      <c r="Q14" s="129"/>
      <c r="R14" s="130"/>
      <c r="S14" s="124"/>
    </row>
    <row r="15" spans="1:19" x14ac:dyDescent="0.15">
      <c r="A15" s="106"/>
      <c r="B15" s="105"/>
      <c r="C15" s="114"/>
      <c r="D15" s="119" t="str">
        <f>IF(C15="","",VLOOKUP(C15,재고차이!A:C,2,0))</f>
        <v/>
      </c>
      <c r="E15" s="120" t="str">
        <f>IF(C15="","",VLOOKUP(C15,재고차이!A:C,3,0))</f>
        <v/>
      </c>
      <c r="F15" s="121" t="str">
        <f t="shared" si="0"/>
        <v/>
      </c>
      <c r="G15" s="121" t="str">
        <f t="shared" si="1"/>
        <v/>
      </c>
      <c r="H15" s="113"/>
      <c r="I15" s="10"/>
      <c r="J15" s="50"/>
      <c r="K15" s="50"/>
      <c r="L15" s="50"/>
      <c r="M15" s="111"/>
      <c r="N15" s="50"/>
      <c r="O15" s="50"/>
      <c r="Q15" s="129"/>
      <c r="R15" s="130"/>
      <c r="S15" s="124"/>
    </row>
    <row r="16" spans="1:19" x14ac:dyDescent="0.15">
      <c r="A16" s="106"/>
      <c r="B16" s="105"/>
      <c r="C16" s="114"/>
      <c r="D16" s="119" t="str">
        <f>IF(C16="","",VLOOKUP(C16,재고차이!A:C,2,0))</f>
        <v/>
      </c>
      <c r="E16" s="120" t="str">
        <f>IF(C16="","",VLOOKUP(C16,재고차이!A:C,3,0))</f>
        <v/>
      </c>
      <c r="F16" s="121" t="str">
        <f t="shared" si="0"/>
        <v/>
      </c>
      <c r="G16" s="121" t="str">
        <f t="shared" si="1"/>
        <v/>
      </c>
      <c r="H16" s="113"/>
      <c r="I16" s="117"/>
      <c r="J16" s="50"/>
      <c r="K16" s="50"/>
      <c r="L16" s="50"/>
      <c r="M16" s="111"/>
      <c r="N16" s="50"/>
      <c r="O16" s="50"/>
      <c r="Q16" s="129"/>
      <c r="R16" s="130"/>
      <c r="S16" s="124"/>
    </row>
    <row r="17" spans="1:19" x14ac:dyDescent="0.15">
      <c r="A17" s="106"/>
      <c r="B17" s="105"/>
      <c r="C17" s="114"/>
      <c r="D17" s="119" t="str">
        <f>IF(C17="","",VLOOKUP(C17,재고차이!A:C,2,0))</f>
        <v/>
      </c>
      <c r="E17" s="120" t="str">
        <f>IF(C17="","",VLOOKUP(C17,재고차이!A:C,3,0))</f>
        <v/>
      </c>
      <c r="F17" s="121" t="str">
        <f t="shared" si="0"/>
        <v/>
      </c>
      <c r="G17" s="121" t="str">
        <f t="shared" si="1"/>
        <v/>
      </c>
      <c r="H17" s="113"/>
      <c r="I17" s="117"/>
      <c r="J17" s="50"/>
      <c r="K17" s="50"/>
      <c r="L17" s="50"/>
      <c r="M17" s="111"/>
      <c r="N17" s="50"/>
      <c r="O17" s="50"/>
      <c r="Q17" s="129"/>
      <c r="R17" s="130"/>
      <c r="S17" s="124"/>
    </row>
    <row r="18" spans="1:19" x14ac:dyDescent="0.15">
      <c r="A18" s="106"/>
      <c r="B18" s="105"/>
      <c r="C18" s="115"/>
      <c r="D18" s="119" t="str">
        <f>IF(C18="","",VLOOKUP(C18,재고차이!A:C,2,0))</f>
        <v/>
      </c>
      <c r="E18" s="120" t="str">
        <f>IF(C18="","",VLOOKUP(C18,재고차이!A:C,3,0))</f>
        <v/>
      </c>
      <c r="F18" s="121" t="str">
        <f t="shared" si="0"/>
        <v/>
      </c>
      <c r="G18" s="121" t="str">
        <f t="shared" si="1"/>
        <v/>
      </c>
      <c r="H18" s="113"/>
      <c r="I18" s="10"/>
      <c r="J18" s="50"/>
      <c r="K18" s="50"/>
      <c r="L18" s="50"/>
      <c r="M18" s="111"/>
      <c r="N18" s="50"/>
      <c r="O18" s="50"/>
      <c r="Q18" s="129"/>
      <c r="R18" s="130"/>
      <c r="S18" s="124"/>
    </row>
    <row r="19" spans="1:19" x14ac:dyDescent="0.15">
      <c r="A19" s="106"/>
      <c r="B19" s="105"/>
      <c r="C19" s="24"/>
      <c r="D19" s="119" t="str">
        <f>IF(C19="","",VLOOKUP(C19,재고차이!A:C,2,0))</f>
        <v/>
      </c>
      <c r="E19" s="120" t="str">
        <f>IF(C19="","",VLOOKUP(C19,재고차이!A:C,3,0))</f>
        <v/>
      </c>
      <c r="F19" s="121" t="str">
        <f t="shared" si="0"/>
        <v/>
      </c>
      <c r="G19" s="121" t="str">
        <f t="shared" si="1"/>
        <v/>
      </c>
      <c r="H19" s="113"/>
      <c r="I19" s="10"/>
      <c r="J19" s="50"/>
      <c r="K19" s="50"/>
      <c r="L19" s="50"/>
      <c r="M19" s="111"/>
      <c r="N19" s="50"/>
      <c r="O19" s="50"/>
      <c r="Q19" s="129"/>
      <c r="R19" s="130"/>
      <c r="S19" s="124"/>
    </row>
    <row r="20" spans="1:19" x14ac:dyDescent="0.15">
      <c r="A20" s="106"/>
      <c r="B20" s="105"/>
      <c r="C20" s="24"/>
      <c r="D20" s="119" t="str">
        <f>IF(C20="","",VLOOKUP(C20,재고차이!A:C,2,0))</f>
        <v/>
      </c>
      <c r="E20" s="120" t="str">
        <f>IF(C20="","",VLOOKUP(C20,재고차이!A:C,3,0))</f>
        <v/>
      </c>
      <c r="F20" s="121" t="str">
        <f t="shared" si="0"/>
        <v/>
      </c>
      <c r="G20" s="121" t="str">
        <f t="shared" si="1"/>
        <v/>
      </c>
      <c r="H20" s="113"/>
      <c r="I20" s="117"/>
      <c r="J20" s="50"/>
      <c r="K20" s="50"/>
      <c r="L20" s="50"/>
      <c r="M20" s="111"/>
      <c r="N20" s="50"/>
      <c r="O20" s="50"/>
      <c r="Q20" s="129"/>
      <c r="R20" s="130"/>
      <c r="S20" s="124"/>
    </row>
    <row r="21" spans="1:19" x14ac:dyDescent="0.15">
      <c r="A21" s="106"/>
      <c r="B21" s="105"/>
      <c r="C21" s="24"/>
      <c r="D21" s="119" t="str">
        <f>IF(C21="","",VLOOKUP(C21,재고차이!A:C,2,0))</f>
        <v/>
      </c>
      <c r="E21" s="120" t="str">
        <f>IF(C21="","",VLOOKUP(C21,재고차이!A:C,3,0))</f>
        <v/>
      </c>
      <c r="F21" s="121" t="str">
        <f t="shared" si="0"/>
        <v/>
      </c>
      <c r="G21" s="121" t="str">
        <f t="shared" si="1"/>
        <v/>
      </c>
      <c r="H21" s="113"/>
      <c r="I21" s="10"/>
      <c r="J21" s="50"/>
      <c r="K21" s="50"/>
      <c r="L21" s="50"/>
      <c r="M21" s="111"/>
      <c r="N21" s="50"/>
      <c r="O21" s="50"/>
      <c r="Q21" s="129"/>
      <c r="R21" s="130"/>
      <c r="S21" s="124"/>
    </row>
    <row r="22" spans="1:19" x14ac:dyDescent="0.15">
      <c r="A22" s="106"/>
      <c r="B22" s="105"/>
      <c r="C22" s="115"/>
      <c r="D22" s="119" t="str">
        <f>IF(C22="","",VLOOKUP(C22,재고차이!A:C,2,0))</f>
        <v/>
      </c>
      <c r="E22" s="120" t="str">
        <f>IF(C22="","",VLOOKUP(C22,재고차이!A:C,3,0))</f>
        <v/>
      </c>
      <c r="F22" s="121" t="str">
        <f t="shared" si="0"/>
        <v/>
      </c>
      <c r="G22" s="121" t="str">
        <f t="shared" si="1"/>
        <v/>
      </c>
      <c r="H22" s="113"/>
      <c r="I22" s="10"/>
      <c r="J22" s="50"/>
      <c r="K22" s="50"/>
      <c r="L22" s="50"/>
      <c r="M22" s="111"/>
      <c r="N22" s="50"/>
      <c r="O22" s="50"/>
      <c r="Q22" s="129"/>
      <c r="R22" s="130"/>
      <c r="S22" s="124"/>
    </row>
    <row r="23" spans="1:19" x14ac:dyDescent="0.15">
      <c r="A23" s="106"/>
      <c r="B23" s="105"/>
      <c r="C23" s="24"/>
      <c r="D23" s="119" t="str">
        <f>IF(C23="","",VLOOKUP(C23,재고차이!A:C,2,0))</f>
        <v/>
      </c>
      <c r="E23" s="120" t="str">
        <f>IF(C23="","",VLOOKUP(C23,재고차이!A:C,3,0))</f>
        <v/>
      </c>
      <c r="F23" s="121" t="str">
        <f t="shared" si="0"/>
        <v/>
      </c>
      <c r="G23" s="121" t="str">
        <f t="shared" si="1"/>
        <v/>
      </c>
      <c r="H23" s="113"/>
      <c r="I23" s="117"/>
      <c r="J23" s="50"/>
      <c r="K23" s="50"/>
      <c r="L23" s="50"/>
      <c r="M23" s="111"/>
      <c r="N23" s="50"/>
      <c r="O23" s="50"/>
      <c r="Q23" s="129"/>
      <c r="R23"/>
      <c r="S23" s="124"/>
    </row>
    <row r="24" spans="1:19" x14ac:dyDescent="0.15">
      <c r="A24" s="106"/>
      <c r="B24" s="105"/>
      <c r="C24" s="24"/>
      <c r="D24" s="119" t="str">
        <f>IF(C24="","",VLOOKUP(C24,재고차이!A:C,2,0))</f>
        <v/>
      </c>
      <c r="E24" s="120" t="str">
        <f>IF(C24="","",VLOOKUP(C24,재고차이!A:C,3,0))</f>
        <v/>
      </c>
      <c r="F24" s="121" t="str">
        <f t="shared" si="0"/>
        <v/>
      </c>
      <c r="G24" s="121" t="str">
        <f t="shared" si="1"/>
        <v/>
      </c>
      <c r="H24" s="113"/>
      <c r="I24" s="10"/>
      <c r="J24" s="50"/>
      <c r="K24" s="50"/>
      <c r="L24" s="50"/>
      <c r="M24" s="111"/>
      <c r="O24" s="50"/>
      <c r="Q24" s="127"/>
      <c r="R24" s="128"/>
      <c r="S24" s="124"/>
    </row>
    <row r="25" spans="1:19" x14ac:dyDescent="0.15">
      <c r="A25" s="106"/>
      <c r="B25" s="105"/>
      <c r="C25" s="114"/>
      <c r="D25" s="119" t="str">
        <f>IF(C25="","",VLOOKUP(C25,재고차이!A:C,2,0))</f>
        <v/>
      </c>
      <c r="E25" s="120" t="str">
        <f>IF(C25="","",VLOOKUP(C25,재고차이!A:C,3,0))</f>
        <v/>
      </c>
      <c r="F25" s="121" t="str">
        <f t="shared" si="0"/>
        <v/>
      </c>
      <c r="G25" s="121" t="str">
        <f t="shared" si="1"/>
        <v/>
      </c>
      <c r="H25" s="113"/>
      <c r="I25" s="10"/>
      <c r="J25" s="50"/>
      <c r="K25" s="50"/>
      <c r="L25" s="50"/>
      <c r="M25" s="111"/>
      <c r="N25" s="50"/>
      <c r="O25" s="50"/>
      <c r="Q25" s="127"/>
      <c r="R25" s="128"/>
      <c r="S25" s="124"/>
    </row>
    <row r="26" spans="1:19" x14ac:dyDescent="0.15">
      <c r="A26" s="106"/>
      <c r="B26" s="105"/>
      <c r="C26" s="115"/>
      <c r="D26" s="119" t="str">
        <f>IF(C26="","",VLOOKUP(C26,재고차이!A:C,2,0))</f>
        <v/>
      </c>
      <c r="E26" s="120" t="str">
        <f>IF(C26="","",VLOOKUP(C26,재고차이!A:C,3,0))</f>
        <v/>
      </c>
      <c r="F26" s="121" t="str">
        <f t="shared" si="0"/>
        <v/>
      </c>
      <c r="G26" s="121" t="str">
        <f t="shared" si="1"/>
        <v/>
      </c>
      <c r="H26" s="113"/>
      <c r="I26" s="117"/>
      <c r="J26" s="50"/>
      <c r="K26" s="50"/>
      <c r="L26" s="50"/>
      <c r="M26" s="50"/>
      <c r="N26" s="50"/>
      <c r="O26" s="190"/>
    </row>
    <row r="27" spans="1:19" x14ac:dyDescent="0.15">
      <c r="A27" s="106"/>
      <c r="B27" s="105"/>
      <c r="C27" s="115"/>
      <c r="D27" s="119" t="str">
        <f>IF(C27="","",VLOOKUP(C27,재고차이!A:C,2,0))</f>
        <v/>
      </c>
      <c r="E27" s="120" t="str">
        <f>IF(C27="","",VLOOKUP(C27,재고차이!A:C,3,0))</f>
        <v/>
      </c>
      <c r="F27" s="121" t="str">
        <f t="shared" si="0"/>
        <v/>
      </c>
      <c r="G27" s="121" t="str">
        <f t="shared" si="1"/>
        <v/>
      </c>
      <c r="H27" s="113"/>
      <c r="I27" s="117"/>
      <c r="J27" s="50"/>
      <c r="K27" s="50"/>
      <c r="L27" s="50"/>
      <c r="M27" s="50"/>
      <c r="N27" s="50"/>
      <c r="O27" s="112"/>
    </row>
    <row r="28" spans="1:19" x14ac:dyDescent="0.15">
      <c r="C28" s="116"/>
      <c r="D28" s="116"/>
      <c r="E28" s="113"/>
      <c r="F28" s="113"/>
      <c r="G28" s="113"/>
      <c r="H28" s="113"/>
      <c r="I28" s="118">
        <f>SUM(I9:I27)</f>
        <v>0</v>
      </c>
      <c r="J28" s="50"/>
      <c r="K28" s="50"/>
      <c r="L28" s="50"/>
      <c r="M28" s="50"/>
      <c r="N28" s="50"/>
      <c r="O28" s="112"/>
      <c r="P28" s="50"/>
    </row>
    <row r="29" spans="1:19" x14ac:dyDescent="0.15"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112"/>
      <c r="P29" s="50"/>
    </row>
    <row r="30" spans="1:19" x14ac:dyDescent="0.15">
      <c r="C30" s="56"/>
      <c r="D30" s="56"/>
      <c r="E30" s="57"/>
      <c r="F30" s="57" t="s">
        <v>1756</v>
      </c>
      <c r="G30" s="57"/>
      <c r="H30" s="57"/>
      <c r="I30" s="57"/>
      <c r="J30" s="55" t="s">
        <v>1755</v>
      </c>
      <c r="K30" s="50"/>
      <c r="L30" s="50"/>
      <c r="M30" s="55"/>
      <c r="N30" s="50"/>
      <c r="O30" s="112"/>
      <c r="P30" s="55"/>
    </row>
    <row r="31" spans="1:19" x14ac:dyDescent="0.15">
      <c r="C31" s="58" t="s">
        <v>2333</v>
      </c>
      <c r="D31" s="58"/>
      <c r="E31" s="59"/>
      <c r="F31" s="60">
        <f>SUMIF(G9:G27,G31,I9:I27)</f>
        <v>0</v>
      </c>
      <c r="G31" s="59" t="s">
        <v>1750</v>
      </c>
      <c r="H31" s="59"/>
      <c r="I31" s="57"/>
      <c r="K31" s="50"/>
      <c r="L31" s="50"/>
      <c r="N31" s="50"/>
      <c r="O31" s="112"/>
    </row>
    <row r="32" spans="1:19" x14ac:dyDescent="0.15">
      <c r="C32" s="61" t="s">
        <v>1757</v>
      </c>
      <c r="D32" s="61"/>
      <c r="E32" s="62" t="s">
        <v>1758</v>
      </c>
      <c r="F32" s="58"/>
      <c r="G32" s="63"/>
      <c r="H32" s="63"/>
      <c r="I32" s="64"/>
      <c r="K32" s="50"/>
      <c r="L32" s="50"/>
      <c r="N32" s="50"/>
      <c r="O32" s="112"/>
    </row>
    <row r="33" spans="3:17" x14ac:dyDescent="0.15">
      <c r="C33" s="56"/>
      <c r="D33" s="56"/>
      <c r="E33" s="58"/>
      <c r="F33" s="58"/>
      <c r="G33" s="63"/>
      <c r="H33" s="63"/>
      <c r="I33" s="64"/>
      <c r="K33" s="50"/>
      <c r="L33" s="50"/>
      <c r="N33" s="50"/>
      <c r="O33" s="112"/>
    </row>
    <row r="34" spans="3:17" x14ac:dyDescent="0.15">
      <c r="C34" s="58" t="s">
        <v>2334</v>
      </c>
      <c r="D34" s="58"/>
      <c r="E34" s="58"/>
      <c r="F34" s="60">
        <f>SUMIF(G9:G27,G34,I9:I27)</f>
        <v>0</v>
      </c>
      <c r="G34" s="58" t="s">
        <v>1749</v>
      </c>
      <c r="H34" s="58"/>
      <c r="I34" s="64"/>
      <c r="K34" s="50"/>
      <c r="L34" s="50"/>
      <c r="N34" s="50"/>
      <c r="O34" s="112"/>
    </row>
    <row r="35" spans="3:17" x14ac:dyDescent="0.15">
      <c r="C35" s="61" t="s">
        <v>1757</v>
      </c>
      <c r="D35" s="61"/>
      <c r="E35" s="62" t="s">
        <v>1759</v>
      </c>
      <c r="F35" s="58"/>
      <c r="G35" s="63"/>
      <c r="H35" s="63"/>
      <c r="I35" s="64"/>
      <c r="K35" s="50"/>
      <c r="L35" s="50"/>
      <c r="N35" s="50"/>
      <c r="O35" s="112"/>
    </row>
    <row r="36" spans="3:17" x14ac:dyDescent="0.15">
      <c r="C36" s="56"/>
      <c r="D36" s="56"/>
      <c r="E36" s="58"/>
      <c r="F36" s="58"/>
      <c r="G36" s="63"/>
      <c r="H36" s="63"/>
      <c r="I36" s="64"/>
      <c r="K36" s="50"/>
      <c r="L36" s="50"/>
      <c r="N36" s="50"/>
      <c r="O36" s="112"/>
    </row>
    <row r="37" spans="3:17" x14ac:dyDescent="0.15">
      <c r="C37" s="58" t="s">
        <v>2578</v>
      </c>
      <c r="D37" s="58"/>
      <c r="E37" s="58"/>
      <c r="F37" s="60">
        <f>I28-F31-F34</f>
        <v>0</v>
      </c>
      <c r="G37" s="58" t="s">
        <v>1760</v>
      </c>
      <c r="H37" s="58"/>
      <c r="I37" s="64"/>
      <c r="K37" s="50"/>
      <c r="L37" s="50"/>
      <c r="N37" s="50"/>
      <c r="O37" s="112"/>
    </row>
    <row r="38" spans="3:17" x14ac:dyDescent="0.15">
      <c r="C38" s="61" t="s">
        <v>1757</v>
      </c>
      <c r="D38" s="61"/>
      <c r="E38" s="62" t="s">
        <v>1761</v>
      </c>
      <c r="F38" s="58"/>
      <c r="G38" s="63"/>
      <c r="H38" s="63"/>
      <c r="I38" s="64"/>
      <c r="K38" s="50"/>
      <c r="L38" s="50"/>
      <c r="N38" s="50"/>
      <c r="O38" s="112"/>
    </row>
    <row r="39" spans="3:17" x14ac:dyDescent="0.15">
      <c r="C39" s="59"/>
      <c r="D39" s="59"/>
      <c r="E39" s="58"/>
      <c r="F39" s="58"/>
      <c r="G39" s="63"/>
      <c r="H39" s="63"/>
      <c r="I39" s="64"/>
      <c r="K39" s="50"/>
      <c r="L39" s="50"/>
      <c r="N39" s="50"/>
      <c r="O39" s="112"/>
    </row>
    <row r="40" spans="3:17" s="108" customFormat="1" ht="20.25" x14ac:dyDescent="0.15">
      <c r="C40" s="107" t="s">
        <v>1751</v>
      </c>
      <c r="E40" s="107"/>
      <c r="F40" s="107"/>
      <c r="K40" s="50"/>
      <c r="L40" s="50"/>
      <c r="N40" s="50"/>
      <c r="O40" s="112"/>
      <c r="Q40" s="109"/>
    </row>
    <row r="41" spans="3:17" s="108" customFormat="1" ht="20.25" x14ac:dyDescent="0.15">
      <c r="C41" s="107" t="s">
        <v>1752</v>
      </c>
      <c r="E41" s="107"/>
      <c r="F41" s="107"/>
      <c r="K41" s="50"/>
      <c r="L41" s="50"/>
      <c r="N41" s="50"/>
      <c r="O41" s="112"/>
      <c r="Q41" s="109"/>
    </row>
    <row r="42" spans="3:17" s="108" customFormat="1" ht="20.25" x14ac:dyDescent="0.15">
      <c r="C42" s="107" t="s">
        <v>1753</v>
      </c>
      <c r="E42" s="107"/>
      <c r="F42" s="107"/>
      <c r="K42" s="50"/>
      <c r="L42" s="50"/>
      <c r="N42" s="50"/>
      <c r="O42" s="112"/>
      <c r="Q42" s="109"/>
    </row>
    <row r="43" spans="3:17" s="108" customFormat="1" ht="20.25" x14ac:dyDescent="0.15">
      <c r="C43" s="107" t="s">
        <v>1754</v>
      </c>
      <c r="E43" s="107"/>
      <c r="F43" s="110"/>
      <c r="K43" s="50"/>
      <c r="L43" s="50"/>
      <c r="N43" s="50"/>
      <c r="O43" s="191"/>
      <c r="Q43" s="109"/>
    </row>
    <row r="44" spans="3:17" x14ac:dyDescent="0.15">
      <c r="N44" s="50"/>
      <c r="O44" s="192"/>
    </row>
  </sheetData>
  <mergeCells count="2">
    <mergeCell ref="D6:E6"/>
    <mergeCell ref="Q8:R8"/>
  </mergeCells>
  <phoneticPr fontId="101" type="noConversion"/>
  <conditionalFormatting sqref="I32:I39">
    <cfRule type="cellIs" dxfId="2" priority="1" operator="notEqual">
      <formula>0</formula>
    </cfRule>
  </conditionalFormatting>
  <pageMargins left="0.47244094488188981" right="3.937007874015748E-2" top="0.74803149606299213" bottom="0.74803149606299213" header="0.31496062992125984" footer="0.31496062992125984"/>
  <pageSetup paperSize="9" scale="6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pageSetUpPr fitToPage="1"/>
  </sheetPr>
  <dimension ref="A1:A3"/>
  <sheetViews>
    <sheetView zoomScaleNormal="100" workbookViewId="0">
      <selection activeCell="D2" sqref="D2"/>
    </sheetView>
  </sheetViews>
  <sheetFormatPr defaultRowHeight="16.5" x14ac:dyDescent="0.3"/>
  <cols>
    <col min="1" max="1" width="126.25" customWidth="1"/>
  </cols>
  <sheetData>
    <row r="1" spans="1:1" ht="409.5" customHeight="1" x14ac:dyDescent="0.3">
      <c r="A1" s="168" t="s">
        <v>2383</v>
      </c>
    </row>
    <row r="2" spans="1:1" ht="213.75" customHeight="1" x14ac:dyDescent="0.3">
      <c r="A2" s="167" t="s">
        <v>2330</v>
      </c>
    </row>
    <row r="3" spans="1:1" ht="213" customHeight="1" x14ac:dyDescent="0.3">
      <c r="A3" s="154" t="s">
        <v>2331</v>
      </c>
    </row>
  </sheetData>
  <phoneticPr fontId="101" type="noConversion"/>
  <pageMargins left="0.7" right="0.7" top="0.75" bottom="0.75" header="0.3" footer="0.3"/>
  <pageSetup paperSize="9" scale="9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FF0000"/>
  </sheetPr>
  <dimension ref="A1:P817"/>
  <sheetViews>
    <sheetView tabSelected="1" zoomScaleNormal="100" workbookViewId="0">
      <pane ySplit="2" topLeftCell="A3" activePane="bottomLeft" state="frozen"/>
      <selection activeCell="A3" sqref="A3:J63"/>
      <selection pane="bottomLeft" activeCell="H10" sqref="H10"/>
    </sheetView>
  </sheetViews>
  <sheetFormatPr defaultColWidth="9" defaultRowHeight="16.5" x14ac:dyDescent="0.3"/>
  <cols>
    <col min="1" max="1" width="5.75" style="5" customWidth="1"/>
    <col min="2" max="2" width="9.25" style="5" bestFit="1" customWidth="1"/>
    <col min="3" max="3" width="11.25" style="5" customWidth="1"/>
    <col min="4" max="4" width="43.625" style="5" customWidth="1"/>
    <col min="5" max="8" width="12.875" style="5" customWidth="1"/>
    <col min="9" max="9" width="13" style="5" customWidth="1"/>
    <col min="10" max="10" width="33.25" style="5" customWidth="1"/>
    <col min="11" max="11" width="9.25" style="166" customWidth="1"/>
    <col min="12" max="12" width="10.625" style="126" hidden="1" customWidth="1"/>
    <col min="13" max="13" width="12.375" style="5" hidden="1" customWidth="1"/>
    <col min="14" max="14" width="9.5" style="5" hidden="1" customWidth="1"/>
    <col min="15" max="15" width="12.75" style="5" hidden="1" customWidth="1"/>
    <col min="16" max="16384" width="9" style="5"/>
  </cols>
  <sheetData>
    <row r="1" spans="1:16" ht="24" customHeight="1" x14ac:dyDescent="0.3">
      <c r="I1" s="11">
        <f ca="1">TODAY()</f>
        <v>46008</v>
      </c>
      <c r="J1" s="11"/>
      <c r="K1" s="5"/>
      <c r="L1" s="94" t="s">
        <v>1741</v>
      </c>
      <c r="N1" s="14">
        <f>100%-N2</f>
        <v>0.25</v>
      </c>
    </row>
    <row r="2" spans="1:16" ht="33" x14ac:dyDescent="0.3">
      <c r="A2" s="96"/>
      <c r="B2" s="96" t="s">
        <v>329</v>
      </c>
      <c r="C2" s="96" t="s">
        <v>1613</v>
      </c>
      <c r="D2" s="96" t="s">
        <v>2290</v>
      </c>
      <c r="E2" s="96" t="s">
        <v>330</v>
      </c>
      <c r="F2" s="96" t="s">
        <v>331</v>
      </c>
      <c r="G2" s="96" t="s">
        <v>332</v>
      </c>
      <c r="H2" s="97" t="s">
        <v>340</v>
      </c>
      <c r="I2" s="96" t="s">
        <v>2547</v>
      </c>
      <c r="J2" s="96" t="s">
        <v>350</v>
      </c>
      <c r="K2" s="98" t="s">
        <v>349</v>
      </c>
      <c r="L2" s="156" t="s">
        <v>2547</v>
      </c>
      <c r="M2" s="5" t="s">
        <v>338</v>
      </c>
      <c r="N2" s="157">
        <v>0.75</v>
      </c>
      <c r="O2" s="5" t="s">
        <v>339</v>
      </c>
    </row>
    <row r="3" spans="1:16" x14ac:dyDescent="0.3">
      <c r="A3" s="10">
        <f t="shared" ref="A3:A34" si="0">ROW()-2</f>
        <v>1</v>
      </c>
      <c r="B3" s="10">
        <v>455</v>
      </c>
      <c r="C3" s="10" t="str">
        <f>VLOOKUP(B:B,재고차이!A:B,2,0)</f>
        <v>CC0455</v>
      </c>
      <c r="D3" s="10" t="str">
        <f>VLOOKUP(C:C,재고차이!B:C,2,0)</f>
        <v>코크제로 레몬 500PET 4X6</v>
      </c>
      <c r="E3" s="200">
        <f>16+7</f>
        <v>23</v>
      </c>
      <c r="F3" s="200"/>
      <c r="G3" s="200"/>
      <c r="H3" s="200"/>
      <c r="I3" s="164">
        <v>46171</v>
      </c>
      <c r="J3" s="199"/>
      <c r="K3" s="165">
        <f t="shared" ref="K3:K34" ca="1" si="1">IF(O3="","",O3-$I$1)</f>
        <v>-110.75</v>
      </c>
      <c r="L3" s="156">
        <f>IF(I3="","",SUMIF(제품등록!B:B,정리표!C:C,제품등록!F:F))</f>
        <v>365</v>
      </c>
      <c r="M3" s="11">
        <f t="shared" ref="M3:M34" si="2">IF(I3=0,"",I3-L3)</f>
        <v>45806</v>
      </c>
      <c r="N3" s="158">
        <f t="shared" ref="N3:N34" si="3">IF(L3="","",L3*상미75)</f>
        <v>91.25</v>
      </c>
      <c r="O3" s="11">
        <f t="shared" ref="O3:O34" si="4">IF(M3="","",M3+N3)</f>
        <v>45897.25</v>
      </c>
      <c r="P3" s="206" t="str">
        <f t="shared" ref="P3" si="5">IF(T3="","",T3-$I$1)</f>
        <v/>
      </c>
    </row>
    <row r="4" spans="1:16" x14ac:dyDescent="0.3">
      <c r="A4" s="10">
        <f t="shared" si="0"/>
        <v>2</v>
      </c>
      <c r="B4" s="24">
        <v>455</v>
      </c>
      <c r="C4" s="10" t="str">
        <f>VLOOKUP(B:B,재고차이!A:B,2,0)</f>
        <v>CC0455</v>
      </c>
      <c r="D4" s="10" t="str">
        <f>VLOOKUP(C:C,재고차이!B:C,2,0)</f>
        <v>코크제로 레몬 500PET 4X6</v>
      </c>
      <c r="E4" s="10"/>
      <c r="F4" s="10"/>
      <c r="G4" s="10">
        <v>18</v>
      </c>
      <c r="H4" s="10"/>
      <c r="I4" s="199">
        <v>46171</v>
      </c>
      <c r="J4" s="199"/>
      <c r="K4" s="165">
        <f t="shared" ca="1" si="1"/>
        <v>-110.75</v>
      </c>
      <c r="L4" s="156">
        <f>IF(I4="","",SUMIF(제품등록!B:B,정리표!C:C,제품등록!F:F))</f>
        <v>365</v>
      </c>
      <c r="M4" s="11">
        <f t="shared" si="2"/>
        <v>45806</v>
      </c>
      <c r="N4" s="158">
        <f t="shared" si="3"/>
        <v>91.25</v>
      </c>
      <c r="O4" s="11">
        <f t="shared" si="4"/>
        <v>45897.25</v>
      </c>
      <c r="P4" s="206" t="str">
        <f t="shared" ref="P4" si="6">IF(T4="","",T4-$I$1)</f>
        <v/>
      </c>
    </row>
    <row r="5" spans="1:16" x14ac:dyDescent="0.3">
      <c r="A5" s="10">
        <f t="shared" si="0"/>
        <v>3</v>
      </c>
      <c r="B5" s="10">
        <v>1000</v>
      </c>
      <c r="C5" s="10" t="str">
        <f>VLOOKUP(B:B,재고차이!A:B,2,0)</f>
        <v>MM1000</v>
      </c>
      <c r="D5" s="10" t="str">
        <f>VLOOKUP(C:C,재고차이!B:C,2,0)</f>
        <v>미닛 허니&amp;유자 280PET 4X6</v>
      </c>
      <c r="E5" s="200">
        <v>3</v>
      </c>
      <c r="F5" s="200"/>
      <c r="G5" s="200"/>
      <c r="H5" s="200"/>
      <c r="I5" s="164">
        <v>46150</v>
      </c>
      <c r="J5" s="164"/>
      <c r="K5" s="165">
        <f t="shared" ca="1" si="1"/>
        <v>-131.75</v>
      </c>
      <c r="L5" s="156">
        <f>IF(I5="","",SUMIF(제품등록!B:B,정리표!C:C,제품등록!F:F))</f>
        <v>365</v>
      </c>
      <c r="M5" s="11">
        <f t="shared" si="2"/>
        <v>45785</v>
      </c>
      <c r="N5" s="158">
        <f t="shared" si="3"/>
        <v>91.25</v>
      </c>
      <c r="O5" s="11">
        <f t="shared" si="4"/>
        <v>45876.25</v>
      </c>
      <c r="P5" s="206" t="str">
        <f t="shared" ref="P5:P6" si="7">IF(T5="","",T5-$I$1)</f>
        <v/>
      </c>
    </row>
    <row r="6" spans="1:16" x14ac:dyDescent="0.3">
      <c r="A6" s="10">
        <f t="shared" si="0"/>
        <v>4</v>
      </c>
      <c r="B6" s="10">
        <v>1000</v>
      </c>
      <c r="C6" s="10" t="str">
        <f>VLOOKUP(B:B,재고차이!A:B,2,0)</f>
        <v>MM1000</v>
      </c>
      <c r="D6" s="10" t="str">
        <f>VLOOKUP(C:C,재고차이!B:C,2,0)</f>
        <v>미닛 허니&amp;유자 280PET 4X6</v>
      </c>
      <c r="E6" s="10"/>
      <c r="F6" s="10"/>
      <c r="G6" s="10">
        <v>24</v>
      </c>
      <c r="H6" s="10"/>
      <c r="I6" s="164">
        <v>46150</v>
      </c>
      <c r="J6" s="164"/>
      <c r="K6" s="165">
        <f t="shared" ca="1" si="1"/>
        <v>-131.75</v>
      </c>
      <c r="L6" s="156">
        <f>IF(I6="","",SUMIF(제품등록!B:B,정리표!C:C,제품등록!F:F))</f>
        <v>365</v>
      </c>
      <c r="M6" s="11">
        <f t="shared" si="2"/>
        <v>45785</v>
      </c>
      <c r="N6" s="158">
        <f t="shared" si="3"/>
        <v>91.25</v>
      </c>
      <c r="O6" s="11">
        <f t="shared" si="4"/>
        <v>45876.25</v>
      </c>
      <c r="P6" s="206" t="str">
        <f t="shared" si="7"/>
        <v/>
      </c>
    </row>
    <row r="7" spans="1:16" x14ac:dyDescent="0.3">
      <c r="A7" s="10">
        <f t="shared" si="0"/>
        <v>5</v>
      </c>
      <c r="B7" s="10">
        <v>1001</v>
      </c>
      <c r="C7" s="10" t="str">
        <f>VLOOKUP(B:B,재고차이!A:B,2,0)</f>
        <v>MM1001</v>
      </c>
      <c r="D7" s="10" t="str">
        <f>VLOOKUP(C:C,재고차이!B:C,2,0)</f>
        <v>미닛 모과&amp;생강 280PET 4X6</v>
      </c>
      <c r="E7" s="200">
        <v>2</v>
      </c>
      <c r="F7" s="200"/>
      <c r="G7" s="200"/>
      <c r="H7" s="200"/>
      <c r="I7" s="164">
        <v>46242</v>
      </c>
      <c r="J7" s="164"/>
      <c r="K7" s="165">
        <f t="shared" ca="1" si="1"/>
        <v>-108.75</v>
      </c>
      <c r="L7" s="156">
        <f>IF(I7="","",SUMIF(제품등록!B:B,정리표!C:C,제품등록!F:F))</f>
        <v>457</v>
      </c>
      <c r="M7" s="11">
        <f t="shared" si="2"/>
        <v>45785</v>
      </c>
      <c r="N7" s="158">
        <f t="shared" si="3"/>
        <v>114.25</v>
      </c>
      <c r="O7" s="11">
        <f t="shared" si="4"/>
        <v>45899.25</v>
      </c>
      <c r="P7" s="206" t="str">
        <f t="shared" ref="P7" si="8">IF(T7="","",T7-$I$1)</f>
        <v/>
      </c>
    </row>
    <row r="8" spans="1:16" x14ac:dyDescent="0.3">
      <c r="A8" s="10">
        <f t="shared" si="0"/>
        <v>6</v>
      </c>
      <c r="B8" s="10">
        <v>1001</v>
      </c>
      <c r="C8" s="10" t="str">
        <f>VLOOKUP(B:B,재고차이!A:B,2,0)</f>
        <v>MM1001</v>
      </c>
      <c r="D8" s="10" t="str">
        <f>VLOOKUP(C:C,재고차이!B:C,2,0)</f>
        <v>미닛 모과&amp;생강 280PET 4X6</v>
      </c>
      <c r="E8" s="10"/>
      <c r="F8" s="10"/>
      <c r="G8" s="10">
        <v>88</v>
      </c>
      <c r="H8" s="10"/>
      <c r="I8" s="199">
        <v>46242</v>
      </c>
      <c r="J8" s="164"/>
      <c r="K8" s="165">
        <f t="shared" ca="1" si="1"/>
        <v>-108.75</v>
      </c>
      <c r="L8" s="156">
        <f>IF(I8="","",SUMIF(제품등록!B:B,정리표!C:C,제품등록!F:F))</f>
        <v>457</v>
      </c>
      <c r="M8" s="11">
        <f t="shared" si="2"/>
        <v>45785</v>
      </c>
      <c r="N8" s="158">
        <f t="shared" si="3"/>
        <v>114.25</v>
      </c>
      <c r="O8" s="11">
        <f t="shared" si="4"/>
        <v>45899.25</v>
      </c>
      <c r="P8" s="206" t="str">
        <f t="shared" ref="P8:P9" si="9">IF(T8="","",T8-$I$1)</f>
        <v/>
      </c>
    </row>
    <row r="9" spans="1:16" x14ac:dyDescent="0.3">
      <c r="A9" s="10">
        <f t="shared" si="0"/>
        <v>7</v>
      </c>
      <c r="B9" s="10">
        <v>1002</v>
      </c>
      <c r="C9" s="10" t="str">
        <f>VLOOKUP(B:B,재고차이!A:B,2,0)</f>
        <v>MM1002</v>
      </c>
      <c r="D9" s="10" t="str">
        <f>VLOOKUP(C:C,재고차이!B:C,2,0)</f>
        <v>미닛 레몬에이드 350PET 4X6</v>
      </c>
      <c r="E9" s="200">
        <v>9</v>
      </c>
      <c r="F9" s="200"/>
      <c r="G9" s="200"/>
      <c r="H9" s="200"/>
      <c r="I9" s="164">
        <v>46089</v>
      </c>
      <c r="J9" s="164"/>
      <c r="K9" s="165">
        <f t="shared" ca="1" si="1"/>
        <v>-121.5</v>
      </c>
      <c r="L9" s="156">
        <f>IF(I9="","",SUMIF(제품등록!B:B,정리표!C:C,제품등록!F:F))</f>
        <v>270</v>
      </c>
      <c r="M9" s="11">
        <f t="shared" si="2"/>
        <v>45819</v>
      </c>
      <c r="N9" s="158">
        <f t="shared" si="3"/>
        <v>67.5</v>
      </c>
      <c r="O9" s="11">
        <f t="shared" si="4"/>
        <v>45886.5</v>
      </c>
      <c r="P9" s="206" t="str">
        <f t="shared" si="9"/>
        <v/>
      </c>
    </row>
    <row r="10" spans="1:16" x14ac:dyDescent="0.3">
      <c r="A10" s="10">
        <f t="shared" si="0"/>
        <v>8</v>
      </c>
      <c r="B10" s="10">
        <v>1002</v>
      </c>
      <c r="C10" s="10" t="str">
        <f>VLOOKUP(B:B,재고차이!A:B,2,0)</f>
        <v>MM1002</v>
      </c>
      <c r="D10" s="10" t="str">
        <f>VLOOKUP(C:C,재고차이!B:C,2,0)</f>
        <v>미닛 레몬에이드 350PET 4X6</v>
      </c>
      <c r="E10" s="200">
        <v>3</v>
      </c>
      <c r="F10" s="200"/>
      <c r="G10" s="200"/>
      <c r="H10" s="200"/>
      <c r="I10" s="164">
        <v>46090</v>
      </c>
      <c r="J10" s="164"/>
      <c r="K10" s="165">
        <f t="shared" ca="1" si="1"/>
        <v>-120.5</v>
      </c>
      <c r="L10" s="156">
        <f>IF(I10="","",SUMIF(제품등록!B:B,정리표!C:C,제품등록!F:F))</f>
        <v>270</v>
      </c>
      <c r="M10" s="11">
        <f t="shared" si="2"/>
        <v>45820</v>
      </c>
      <c r="N10" s="158">
        <f t="shared" si="3"/>
        <v>67.5</v>
      </c>
      <c r="O10" s="11">
        <f t="shared" si="4"/>
        <v>45887.5</v>
      </c>
      <c r="P10" s="206" t="str">
        <f t="shared" ref="P10:P12" si="10">IF(T10="","",T10-$I$1)</f>
        <v/>
      </c>
    </row>
    <row r="11" spans="1:16" x14ac:dyDescent="0.3">
      <c r="A11" s="10">
        <f t="shared" si="0"/>
        <v>9</v>
      </c>
      <c r="B11" s="10">
        <v>1002</v>
      </c>
      <c r="C11" s="10" t="str">
        <f>VLOOKUP(B:B,재고차이!A:B,2,0)</f>
        <v>MM1002</v>
      </c>
      <c r="D11" s="10" t="str">
        <f>VLOOKUP(C:C,재고차이!B:C,2,0)</f>
        <v>미닛 레몬에이드 350PET 4X6</v>
      </c>
      <c r="E11" s="10"/>
      <c r="F11" s="10"/>
      <c r="G11" s="10">
        <v>89</v>
      </c>
      <c r="H11" s="10"/>
      <c r="I11" s="199">
        <v>46089</v>
      </c>
      <c r="J11" s="164"/>
      <c r="K11" s="165">
        <f t="shared" ca="1" si="1"/>
        <v>-121.5</v>
      </c>
      <c r="L11" s="156">
        <f>IF(I11="","",SUMIF(제품등록!B:B,정리표!C:C,제품등록!F:F))</f>
        <v>270</v>
      </c>
      <c r="M11" s="11">
        <f t="shared" si="2"/>
        <v>45819</v>
      </c>
      <c r="N11" s="158">
        <f t="shared" si="3"/>
        <v>67.5</v>
      </c>
      <c r="O11" s="11">
        <f t="shared" si="4"/>
        <v>45886.5</v>
      </c>
      <c r="P11" s="206" t="str">
        <f t="shared" si="10"/>
        <v/>
      </c>
    </row>
    <row r="12" spans="1:16" x14ac:dyDescent="0.3">
      <c r="A12" s="10">
        <f t="shared" si="0"/>
        <v>10</v>
      </c>
      <c r="B12" s="10">
        <v>1007</v>
      </c>
      <c r="C12" s="10" t="str">
        <f>VLOOKUP(B:B,재고차이!A:B,2,0)</f>
        <v>PA1007</v>
      </c>
      <c r="D12" s="10" t="str">
        <f>VLOOKUP(C:C,재고차이!B:C,2,0)</f>
        <v>S)파워 제로 라임향 600PET 4X6</v>
      </c>
      <c r="E12" s="200">
        <f>23+42+46</f>
        <v>111</v>
      </c>
      <c r="F12" s="200"/>
      <c r="G12" s="200"/>
      <c r="H12" s="200"/>
      <c r="I12" s="164">
        <v>46196</v>
      </c>
      <c r="J12" s="164"/>
      <c r="K12" s="165">
        <f t="shared" ca="1" si="1"/>
        <v>-85.75</v>
      </c>
      <c r="L12" s="156">
        <f>IF(I12="","",SUMIF(제품등록!B:B,정리표!C:C,제품등록!F:F))</f>
        <v>365</v>
      </c>
      <c r="M12" s="11">
        <f t="shared" si="2"/>
        <v>45831</v>
      </c>
      <c r="N12" s="158">
        <f t="shared" si="3"/>
        <v>91.25</v>
      </c>
      <c r="O12" s="11">
        <f t="shared" si="4"/>
        <v>45922.25</v>
      </c>
      <c r="P12" s="206" t="str">
        <f t="shared" si="10"/>
        <v/>
      </c>
    </row>
    <row r="13" spans="1:16" x14ac:dyDescent="0.3">
      <c r="A13" s="10">
        <f t="shared" si="0"/>
        <v>11</v>
      </c>
      <c r="B13" s="10">
        <v>1007</v>
      </c>
      <c r="C13" s="10" t="str">
        <f>VLOOKUP(B:B,재고차이!A:B,2,0)</f>
        <v>PA1007</v>
      </c>
      <c r="D13" s="10" t="str">
        <f>VLOOKUP(C:C,재고차이!B:C,2,0)</f>
        <v>S)파워 제로 라임향 600PET 4X6</v>
      </c>
      <c r="E13" s="10"/>
      <c r="F13" s="10"/>
      <c r="G13" s="200">
        <v>9</v>
      </c>
      <c r="H13" s="10"/>
      <c r="I13" s="199">
        <v>46195</v>
      </c>
      <c r="J13" s="199"/>
      <c r="K13" s="165">
        <f t="shared" ca="1" si="1"/>
        <v>-86.75</v>
      </c>
      <c r="L13" s="156">
        <f>IF(I13="","",SUMIF(제품등록!B:B,정리표!C:C,제품등록!F:F))</f>
        <v>365</v>
      </c>
      <c r="M13" s="11">
        <f t="shared" si="2"/>
        <v>45830</v>
      </c>
      <c r="N13" s="158">
        <f t="shared" si="3"/>
        <v>91.25</v>
      </c>
      <c r="O13" s="11">
        <f t="shared" si="4"/>
        <v>45921.25</v>
      </c>
      <c r="P13" s="206" t="str">
        <f t="shared" ref="P13" si="11">IF(T13="","",T13-$I$1)</f>
        <v/>
      </c>
    </row>
    <row r="14" spans="1:16" x14ac:dyDescent="0.3">
      <c r="A14" s="10">
        <f t="shared" si="0"/>
        <v>12</v>
      </c>
      <c r="B14" s="10">
        <v>1300</v>
      </c>
      <c r="C14" s="10" t="str">
        <f>VLOOKUP(B:B,재고차이!A:B,2,0)</f>
        <v>CC1300</v>
      </c>
      <c r="D14" s="10" t="str">
        <f>VLOOKUP(C:C,재고차이!B:C,2,0)</f>
        <v>코카콜라SW 250CAN 5X6</v>
      </c>
      <c r="E14" s="200">
        <f>5+5</f>
        <v>10</v>
      </c>
      <c r="F14" s="200"/>
      <c r="G14" s="200"/>
      <c r="H14" s="200"/>
      <c r="I14" s="164">
        <v>46561</v>
      </c>
      <c r="J14" s="164"/>
      <c r="K14" s="165">
        <f t="shared" ca="1" si="1"/>
        <v>5.5</v>
      </c>
      <c r="L14" s="156">
        <f>IF(I14="","",SUMIF(제품등록!B:B,정리표!C:C,제품등록!F:F))</f>
        <v>730</v>
      </c>
      <c r="M14" s="11">
        <f t="shared" si="2"/>
        <v>45831</v>
      </c>
      <c r="N14" s="158">
        <f t="shared" si="3"/>
        <v>182.5</v>
      </c>
      <c r="O14" s="11">
        <f t="shared" si="4"/>
        <v>46013.5</v>
      </c>
      <c r="P14" s="206" t="str">
        <f t="shared" ref="P14:P16" si="12">IF(T14="","",T14-$I$1)</f>
        <v/>
      </c>
    </row>
    <row r="15" spans="1:16" x14ac:dyDescent="0.3">
      <c r="A15" s="10">
        <f t="shared" si="0"/>
        <v>13</v>
      </c>
      <c r="B15" s="10">
        <v>1300</v>
      </c>
      <c r="C15" s="10" t="str">
        <f>VLOOKUP(B:B,재고차이!A:B,2,0)</f>
        <v>CC1300</v>
      </c>
      <c r="D15" s="10" t="str">
        <f>VLOOKUP(C:C,재고차이!B:C,2,0)</f>
        <v>코카콜라SW 250CAN 5X6</v>
      </c>
      <c r="E15" s="200">
        <v>8</v>
      </c>
      <c r="F15" s="200"/>
      <c r="G15" s="200"/>
      <c r="H15" s="200"/>
      <c r="I15" s="164">
        <v>46562</v>
      </c>
      <c r="J15" s="164"/>
      <c r="K15" s="165">
        <f t="shared" ca="1" si="1"/>
        <v>6.5</v>
      </c>
      <c r="L15" s="156">
        <f>IF(I15="","",SUMIF(제품등록!B:B,정리표!C:C,제품등록!F:F))</f>
        <v>730</v>
      </c>
      <c r="M15" s="11">
        <f t="shared" si="2"/>
        <v>45832</v>
      </c>
      <c r="N15" s="158">
        <f t="shared" si="3"/>
        <v>182.5</v>
      </c>
      <c r="O15" s="11">
        <f t="shared" si="4"/>
        <v>46014.5</v>
      </c>
      <c r="P15" s="206" t="str">
        <f t="shared" si="12"/>
        <v/>
      </c>
    </row>
    <row r="16" spans="1:16" x14ac:dyDescent="0.3">
      <c r="A16" s="10">
        <f t="shared" si="0"/>
        <v>14</v>
      </c>
      <c r="B16" s="10">
        <v>1300</v>
      </c>
      <c r="C16" s="10" t="str">
        <f>VLOOKUP(B:B,재고차이!A:B,2,0)</f>
        <v>CC1300</v>
      </c>
      <c r="D16" s="10" t="str">
        <f>VLOOKUP(C:C,재고차이!B:C,2,0)</f>
        <v>코카콜라SW 250CAN 5X6</v>
      </c>
      <c r="E16" s="10"/>
      <c r="F16" s="10"/>
      <c r="G16" s="10">
        <v>100</v>
      </c>
      <c r="H16" s="10"/>
      <c r="I16" s="164">
        <v>46561</v>
      </c>
      <c r="J16" s="199"/>
      <c r="K16" s="165">
        <f t="shared" ca="1" si="1"/>
        <v>5.5</v>
      </c>
      <c r="L16" s="156">
        <f>IF(I16="","",SUMIF(제품등록!B:B,정리표!C:C,제품등록!F:F))</f>
        <v>730</v>
      </c>
      <c r="M16" s="11">
        <f t="shared" si="2"/>
        <v>45831</v>
      </c>
      <c r="N16" s="158">
        <f t="shared" si="3"/>
        <v>182.5</v>
      </c>
      <c r="O16" s="11">
        <f t="shared" si="4"/>
        <v>46013.5</v>
      </c>
      <c r="P16" s="206" t="str">
        <f t="shared" si="12"/>
        <v/>
      </c>
    </row>
    <row r="17" spans="1:16" x14ac:dyDescent="0.3">
      <c r="A17" s="10">
        <f t="shared" si="0"/>
        <v>15</v>
      </c>
      <c r="B17" s="10">
        <v>2531</v>
      </c>
      <c r="C17" s="10" t="str">
        <f>VLOOKUP(B:B,재고차이!A:B,2,0)</f>
        <v>CC2531</v>
      </c>
      <c r="D17" s="10" t="str">
        <f>VLOOKUP(C:C,재고차이!B:C,2,0)</f>
        <v>코카콜라 350CAN 4X6</v>
      </c>
      <c r="E17" s="10">
        <v>1</v>
      </c>
      <c r="F17" s="10"/>
      <c r="G17" s="200"/>
      <c r="H17" s="200"/>
      <c r="I17" s="199">
        <v>46546</v>
      </c>
      <c r="J17" s="199"/>
      <c r="K17" s="165">
        <f t="shared" ca="1" si="1"/>
        <v>-9.5</v>
      </c>
      <c r="L17" s="156">
        <f>IF(I17="","",SUMIF(제품등록!B:B,정리표!C:C,제품등록!F:F))</f>
        <v>730</v>
      </c>
      <c r="M17" s="11">
        <f t="shared" si="2"/>
        <v>45816</v>
      </c>
      <c r="N17" s="158">
        <f t="shared" si="3"/>
        <v>182.5</v>
      </c>
      <c r="O17" s="11">
        <f t="shared" si="4"/>
        <v>45998.5</v>
      </c>
      <c r="P17" s="206" t="str">
        <f t="shared" ref="P17" si="13">IF(T17="","",T17-$I$1)</f>
        <v/>
      </c>
    </row>
    <row r="18" spans="1:16" x14ac:dyDescent="0.3">
      <c r="A18" s="10">
        <f t="shared" si="0"/>
        <v>16</v>
      </c>
      <c r="B18" s="10">
        <v>2531</v>
      </c>
      <c r="C18" s="10" t="str">
        <f>VLOOKUP(B:B,재고차이!A:B,2,0)</f>
        <v>CC2531</v>
      </c>
      <c r="D18" s="10" t="str">
        <f>VLOOKUP(C:C,재고차이!B:C,2,0)</f>
        <v>코카콜라 350CAN 4X6</v>
      </c>
      <c r="E18" s="10">
        <v>26</v>
      </c>
      <c r="F18" s="10"/>
      <c r="G18" s="200"/>
      <c r="H18" s="200"/>
      <c r="I18" s="199">
        <v>46549</v>
      </c>
      <c r="J18" s="199"/>
      <c r="K18" s="165">
        <f t="shared" ca="1" si="1"/>
        <v>-6.5</v>
      </c>
      <c r="L18" s="156">
        <f>IF(I18="","",SUMIF(제품등록!B:B,정리표!C:C,제품등록!F:F))</f>
        <v>730</v>
      </c>
      <c r="M18" s="11">
        <f t="shared" si="2"/>
        <v>45819</v>
      </c>
      <c r="N18" s="158">
        <f t="shared" si="3"/>
        <v>182.5</v>
      </c>
      <c r="O18" s="11">
        <f t="shared" si="4"/>
        <v>46001.5</v>
      </c>
      <c r="P18" s="206" t="str">
        <f t="shared" ref="P18:P21" si="14">IF(T18="","",T18-$I$1)</f>
        <v/>
      </c>
    </row>
    <row r="19" spans="1:16" x14ac:dyDescent="0.3">
      <c r="A19" s="10">
        <f t="shared" si="0"/>
        <v>17</v>
      </c>
      <c r="B19" s="10">
        <v>2531</v>
      </c>
      <c r="C19" s="10" t="str">
        <f>VLOOKUP(B:B,재고차이!A:B,2,0)</f>
        <v>CC2531</v>
      </c>
      <c r="D19" s="10" t="str">
        <f>VLOOKUP(C:C,재고차이!B:C,2,0)</f>
        <v>코카콜라 350CAN 4X6</v>
      </c>
      <c r="E19" s="10">
        <v>13</v>
      </c>
      <c r="F19" s="10"/>
      <c r="G19" s="200"/>
      <c r="H19" s="200"/>
      <c r="I19" s="199">
        <v>46550</v>
      </c>
      <c r="J19" s="199"/>
      <c r="K19" s="165">
        <f t="shared" ca="1" si="1"/>
        <v>-5.5</v>
      </c>
      <c r="L19" s="156">
        <f>IF(I19="","",SUMIF(제품등록!B:B,정리표!C:C,제품등록!F:F))</f>
        <v>730</v>
      </c>
      <c r="M19" s="11">
        <f t="shared" si="2"/>
        <v>45820</v>
      </c>
      <c r="N19" s="158">
        <f t="shared" si="3"/>
        <v>182.5</v>
      </c>
      <c r="O19" s="11">
        <f t="shared" si="4"/>
        <v>46002.5</v>
      </c>
      <c r="P19" s="206" t="str">
        <f t="shared" si="14"/>
        <v/>
      </c>
    </row>
    <row r="20" spans="1:16" x14ac:dyDescent="0.3">
      <c r="A20" s="10">
        <f t="shared" si="0"/>
        <v>18</v>
      </c>
      <c r="B20" s="10">
        <v>2531</v>
      </c>
      <c r="C20" s="10" t="str">
        <f>VLOOKUP(B:B,재고차이!A:B,2,0)</f>
        <v>CC2531</v>
      </c>
      <c r="D20" s="10" t="str">
        <f>VLOOKUP(C:C,재고차이!B:C,2,0)</f>
        <v>코카콜라 350CAN 4X6</v>
      </c>
      <c r="E20" s="10"/>
      <c r="F20" s="10"/>
      <c r="G20" s="10">
        <f>60+20</f>
        <v>80</v>
      </c>
      <c r="H20" s="10"/>
      <c r="I20" s="164">
        <v>46546</v>
      </c>
      <c r="J20" s="199"/>
      <c r="K20" s="165">
        <f t="shared" ca="1" si="1"/>
        <v>-9.5</v>
      </c>
      <c r="L20" s="156">
        <f>IF(I20="","",SUMIF(제품등록!B:B,정리표!C:C,제품등록!F:F))</f>
        <v>730</v>
      </c>
      <c r="M20" s="11">
        <f t="shared" si="2"/>
        <v>45816</v>
      </c>
      <c r="N20" s="158">
        <f t="shared" si="3"/>
        <v>182.5</v>
      </c>
      <c r="O20" s="11">
        <f t="shared" si="4"/>
        <v>45998.5</v>
      </c>
      <c r="P20" s="206" t="str">
        <f t="shared" si="14"/>
        <v/>
      </c>
    </row>
    <row r="21" spans="1:16" x14ac:dyDescent="0.3">
      <c r="A21" s="10">
        <f t="shared" si="0"/>
        <v>19</v>
      </c>
      <c r="B21" s="10">
        <v>2825</v>
      </c>
      <c r="C21" s="10" t="str">
        <f>VLOOKUP(B:B,재고차이!A:B,2,0)</f>
        <v>KM2825</v>
      </c>
      <c r="D21" s="10" t="str">
        <f>VLOOKUP(C:C,재고차이!B:C,2,0)</f>
        <v>S)갈아만든 배 500PET 4X6</v>
      </c>
      <c r="E21" s="200">
        <v>1</v>
      </c>
      <c r="F21" s="200"/>
      <c r="G21" s="200"/>
      <c r="H21" s="200"/>
      <c r="I21" s="164">
        <v>46123</v>
      </c>
      <c r="J21" s="164"/>
      <c r="K21" s="165">
        <f t="shared" ca="1" si="1"/>
        <v>-113</v>
      </c>
      <c r="L21" s="156">
        <f>IF(I21="","",SUMIF(제품등록!B:B,정리표!C:C,제품등록!F:F))</f>
        <v>304</v>
      </c>
      <c r="M21" s="11">
        <f t="shared" si="2"/>
        <v>45819</v>
      </c>
      <c r="N21" s="158">
        <f t="shared" si="3"/>
        <v>76</v>
      </c>
      <c r="O21" s="11">
        <f t="shared" si="4"/>
        <v>45895</v>
      </c>
      <c r="P21" s="206" t="str">
        <f t="shared" si="14"/>
        <v/>
      </c>
    </row>
    <row r="22" spans="1:16" x14ac:dyDescent="0.3">
      <c r="A22" s="10">
        <f t="shared" si="0"/>
        <v>20</v>
      </c>
      <c r="B22" s="10">
        <v>2825</v>
      </c>
      <c r="C22" s="10" t="str">
        <f>VLOOKUP(B:B,재고차이!A:B,2,0)</f>
        <v>KM2825</v>
      </c>
      <c r="D22" s="10" t="str">
        <f>VLOOKUP(C:C,재고차이!B:C,2,0)</f>
        <v>S)갈아만든 배 500PET 4X6</v>
      </c>
      <c r="E22" s="200"/>
      <c r="F22" s="200"/>
      <c r="G22" s="200">
        <v>60</v>
      </c>
      <c r="H22" s="200"/>
      <c r="I22" s="164">
        <v>46123</v>
      </c>
      <c r="J22" s="164"/>
      <c r="K22" s="165">
        <f t="shared" ca="1" si="1"/>
        <v>-113</v>
      </c>
      <c r="L22" s="156">
        <f>IF(I22="","",SUMIF(제품등록!B:B,정리표!C:C,제품등록!F:F))</f>
        <v>304</v>
      </c>
      <c r="M22" s="11">
        <f t="shared" si="2"/>
        <v>45819</v>
      </c>
      <c r="N22" s="158">
        <f t="shared" si="3"/>
        <v>76</v>
      </c>
      <c r="O22" s="11">
        <f t="shared" si="4"/>
        <v>45895</v>
      </c>
      <c r="P22" s="206" t="str">
        <f t="shared" ref="P22:P25" si="15">IF(T22="","",T22-$I$1)</f>
        <v/>
      </c>
    </row>
    <row r="23" spans="1:16" x14ac:dyDescent="0.3">
      <c r="A23" s="10">
        <f t="shared" si="0"/>
        <v>21</v>
      </c>
      <c r="B23" s="10">
        <v>2826</v>
      </c>
      <c r="C23" s="10" t="str">
        <f>VLOOKUP(B:B,재고차이!A:B,2,0)</f>
        <v>KM2826</v>
      </c>
      <c r="D23" s="10" t="str">
        <f>VLOOKUP(C:C,재고차이!B:C,2,0)</f>
        <v>갈아만든 배 1.5PET X6</v>
      </c>
      <c r="E23" s="200">
        <v>4</v>
      </c>
      <c r="F23" s="200"/>
      <c r="G23" s="200"/>
      <c r="H23" s="200"/>
      <c r="I23" s="164">
        <v>46103</v>
      </c>
      <c r="J23" s="164"/>
      <c r="K23" s="165">
        <f t="shared" ca="1" si="1"/>
        <v>-133</v>
      </c>
      <c r="L23" s="156">
        <f>IF(I23="","",SUMIF(제품등록!B:B,정리표!C:C,제품등록!F:F))</f>
        <v>304</v>
      </c>
      <c r="M23" s="11">
        <f t="shared" si="2"/>
        <v>45799</v>
      </c>
      <c r="N23" s="158">
        <f t="shared" si="3"/>
        <v>76</v>
      </c>
      <c r="O23" s="11">
        <f t="shared" si="4"/>
        <v>45875</v>
      </c>
      <c r="P23" s="206" t="str">
        <f t="shared" si="15"/>
        <v/>
      </c>
    </row>
    <row r="24" spans="1:16" x14ac:dyDescent="0.3">
      <c r="A24" s="10">
        <f t="shared" si="0"/>
        <v>22</v>
      </c>
      <c r="B24" s="10">
        <v>2826</v>
      </c>
      <c r="C24" s="10" t="str">
        <f>VLOOKUP(B:B,재고차이!A:B,2,0)</f>
        <v>KM2826</v>
      </c>
      <c r="D24" s="10" t="str">
        <f>VLOOKUP(C:C,재고차이!B:C,2,0)</f>
        <v>갈아만든 배 1.5PET X6</v>
      </c>
      <c r="E24" s="200"/>
      <c r="F24" s="200"/>
      <c r="G24" s="200">
        <v>1</v>
      </c>
      <c r="H24" s="200"/>
      <c r="I24" s="164">
        <v>46103</v>
      </c>
      <c r="J24" s="164"/>
      <c r="K24" s="165">
        <f t="shared" ca="1" si="1"/>
        <v>-133</v>
      </c>
      <c r="L24" s="156">
        <f>IF(I24="","",SUMIF(제품등록!B:B,정리표!C:C,제품등록!F:F))</f>
        <v>304</v>
      </c>
      <c r="M24" s="11">
        <f t="shared" si="2"/>
        <v>45799</v>
      </c>
      <c r="N24" s="158">
        <f t="shared" si="3"/>
        <v>76</v>
      </c>
      <c r="O24" s="11">
        <f t="shared" si="4"/>
        <v>45875</v>
      </c>
      <c r="P24" s="206" t="str">
        <f t="shared" si="15"/>
        <v/>
      </c>
    </row>
    <row r="25" spans="1:16" x14ac:dyDescent="0.3">
      <c r="A25" s="10">
        <f t="shared" si="0"/>
        <v>23</v>
      </c>
      <c r="B25" s="10">
        <v>4112</v>
      </c>
      <c r="C25" s="10" t="str">
        <f>VLOOKUP(B:B,재고차이!A:B,2,0)</f>
        <v>CP4112</v>
      </c>
      <c r="D25" s="10" t="str">
        <f>VLOOKUP(C:C,재고차이!B:C,2,0)</f>
        <v>S)코코팜 피치핑크 240CAN 5X6</v>
      </c>
      <c r="E25" s="200">
        <v>1</v>
      </c>
      <c r="F25" s="200"/>
      <c r="G25" s="200"/>
      <c r="H25" s="200"/>
      <c r="I25" s="164">
        <v>46141</v>
      </c>
      <c r="J25" s="164"/>
      <c r="K25" s="165">
        <f t="shared" ca="1" si="1"/>
        <v>-140.75</v>
      </c>
      <c r="L25" s="156">
        <f>IF(I25="","",SUMIF(제품등록!B:B,정리표!C:C,제품등록!F:F))</f>
        <v>365</v>
      </c>
      <c r="M25" s="11">
        <f t="shared" si="2"/>
        <v>45776</v>
      </c>
      <c r="N25" s="158">
        <f t="shared" si="3"/>
        <v>91.25</v>
      </c>
      <c r="O25" s="11">
        <f t="shared" si="4"/>
        <v>45867.25</v>
      </c>
      <c r="P25" s="206" t="str">
        <f t="shared" si="15"/>
        <v/>
      </c>
    </row>
    <row r="26" spans="1:16" x14ac:dyDescent="0.3">
      <c r="A26" s="10">
        <f t="shared" si="0"/>
        <v>24</v>
      </c>
      <c r="B26" s="10">
        <v>4112</v>
      </c>
      <c r="C26" s="10" t="str">
        <f>VLOOKUP(B:B,재고차이!A:B,2,0)</f>
        <v>CP4112</v>
      </c>
      <c r="D26" s="10" t="str">
        <f>VLOOKUP(C:C,재고차이!B:C,2,0)</f>
        <v>S)코코팜 피치핑크 240CAN 5X6</v>
      </c>
      <c r="E26" s="200"/>
      <c r="F26" s="200"/>
      <c r="G26" s="200">
        <v>87</v>
      </c>
      <c r="H26" s="200"/>
      <c r="I26" s="164">
        <v>46141</v>
      </c>
      <c r="J26" s="164"/>
      <c r="K26" s="165">
        <f t="shared" ca="1" si="1"/>
        <v>-140.75</v>
      </c>
      <c r="L26" s="156">
        <f>IF(I26="","",SUMIF(제품등록!B:B,정리표!C:C,제품등록!F:F))</f>
        <v>365</v>
      </c>
      <c r="M26" s="11">
        <f t="shared" si="2"/>
        <v>45776</v>
      </c>
      <c r="N26" s="158">
        <f t="shared" si="3"/>
        <v>91.25</v>
      </c>
      <c r="O26" s="11">
        <f t="shared" si="4"/>
        <v>45867.25</v>
      </c>
      <c r="P26" s="206" t="str">
        <f t="shared" ref="P26:P30" si="16">IF(T26="","",T26-$I$1)</f>
        <v/>
      </c>
    </row>
    <row r="27" spans="1:16" x14ac:dyDescent="0.3">
      <c r="A27" s="10">
        <f t="shared" si="0"/>
        <v>25</v>
      </c>
      <c r="B27" s="10">
        <v>4125</v>
      </c>
      <c r="C27" s="10" t="str">
        <f>VLOOKUP(B:B,재고차이!A:B,2,0)</f>
        <v>CP4125</v>
      </c>
      <c r="D27" s="10" t="str">
        <f>VLOOKUP(C:C,재고차이!B:C,2,0)</f>
        <v>S)코코팜 포도 340CAN 4X6</v>
      </c>
      <c r="E27" s="200">
        <v>6</v>
      </c>
      <c r="F27" s="200"/>
      <c r="G27" s="200"/>
      <c r="H27" s="200"/>
      <c r="I27" s="164">
        <v>46485</v>
      </c>
      <c r="J27" s="164"/>
      <c r="K27" s="165">
        <f t="shared" ca="1" si="1"/>
        <v>-70.5</v>
      </c>
      <c r="L27" s="156">
        <f>IF(I27="","",SUMIF(제품등록!B:B,정리표!C:C,제품등록!F:F))</f>
        <v>730</v>
      </c>
      <c r="M27" s="11">
        <f t="shared" si="2"/>
        <v>45755</v>
      </c>
      <c r="N27" s="158">
        <f t="shared" si="3"/>
        <v>182.5</v>
      </c>
      <c r="O27" s="11">
        <f t="shared" si="4"/>
        <v>45937.5</v>
      </c>
      <c r="P27" s="206" t="str">
        <f t="shared" si="16"/>
        <v/>
      </c>
    </row>
    <row r="28" spans="1:16" x14ac:dyDescent="0.3">
      <c r="A28" s="10">
        <f t="shared" si="0"/>
        <v>26</v>
      </c>
      <c r="B28" s="10">
        <v>4125</v>
      </c>
      <c r="C28" s="10" t="str">
        <f>VLOOKUP(B:B,재고차이!A:B,2,0)</f>
        <v>CP4125</v>
      </c>
      <c r="D28" s="10" t="str">
        <f>VLOOKUP(C:C,재고차이!B:C,2,0)</f>
        <v>S)코코팜 포도 340CAN 4X6</v>
      </c>
      <c r="E28" s="200"/>
      <c r="F28" s="200"/>
      <c r="G28" s="200">
        <v>21</v>
      </c>
      <c r="H28" s="200"/>
      <c r="I28" s="164">
        <v>46485</v>
      </c>
      <c r="J28" s="164"/>
      <c r="K28" s="165">
        <f t="shared" ca="1" si="1"/>
        <v>-70.5</v>
      </c>
      <c r="L28" s="156">
        <f>IF(I28="","",SUMIF(제품등록!B:B,정리표!C:C,제품등록!F:F))</f>
        <v>730</v>
      </c>
      <c r="M28" s="11">
        <f t="shared" si="2"/>
        <v>45755</v>
      </c>
      <c r="N28" s="158">
        <f t="shared" si="3"/>
        <v>182.5</v>
      </c>
      <c r="O28" s="11">
        <f t="shared" si="4"/>
        <v>45937.5</v>
      </c>
      <c r="P28" s="206" t="str">
        <f t="shared" si="16"/>
        <v/>
      </c>
    </row>
    <row r="29" spans="1:16" x14ac:dyDescent="0.3">
      <c r="A29" s="10">
        <f t="shared" si="0"/>
        <v>27</v>
      </c>
      <c r="B29" s="10">
        <v>4177</v>
      </c>
      <c r="C29" s="10" t="str">
        <f>VLOOKUP(B:B,재고차이!A:B,2,0)</f>
        <v>FT4177</v>
      </c>
      <c r="D29" s="10" t="str">
        <f>VLOOKUP(C:C,재고차이!B:C,2,0)</f>
        <v>S)환타 오렌지 350CAN 4X6</v>
      </c>
      <c r="E29" s="10"/>
      <c r="F29" s="10"/>
      <c r="G29" s="10">
        <v>36</v>
      </c>
      <c r="H29" s="10"/>
      <c r="I29" s="164">
        <v>46563</v>
      </c>
      <c r="J29" s="199"/>
      <c r="K29" s="165">
        <f t="shared" ca="1" si="1"/>
        <v>7.5</v>
      </c>
      <c r="L29" s="156">
        <f>IF(I29="","",SUMIF(제품등록!B:B,정리표!C:C,제품등록!F:F))</f>
        <v>730</v>
      </c>
      <c r="M29" s="11">
        <f t="shared" si="2"/>
        <v>45833</v>
      </c>
      <c r="N29" s="158">
        <f t="shared" si="3"/>
        <v>182.5</v>
      </c>
      <c r="O29" s="11">
        <f t="shared" si="4"/>
        <v>46015.5</v>
      </c>
      <c r="P29" s="206" t="str">
        <f t="shared" si="16"/>
        <v/>
      </c>
    </row>
    <row r="30" spans="1:16" x14ac:dyDescent="0.3">
      <c r="A30" s="10">
        <f t="shared" si="0"/>
        <v>28</v>
      </c>
      <c r="B30" s="24">
        <v>4179</v>
      </c>
      <c r="C30" s="10" t="str">
        <f>VLOOKUP(B:B,재고차이!A:B,2,0)</f>
        <v>SP4179</v>
      </c>
      <c r="D30" s="10" t="str">
        <f>VLOOKUP(C:C,재고차이!B:C,2,0)</f>
        <v>스프라이트(신350C 4X6</v>
      </c>
      <c r="E30" s="10"/>
      <c r="F30" s="10"/>
      <c r="G30" s="10">
        <v>96</v>
      </c>
      <c r="H30" s="10"/>
      <c r="I30" s="199">
        <v>46541</v>
      </c>
      <c r="J30" s="199"/>
      <c r="K30" s="165">
        <f t="shared" ca="1" si="1"/>
        <v>-14.5</v>
      </c>
      <c r="L30" s="156">
        <f>IF(I30="","",SUMIF(제품등록!B:B,정리표!C:C,제품등록!F:F))</f>
        <v>730</v>
      </c>
      <c r="M30" s="11">
        <f t="shared" si="2"/>
        <v>45811</v>
      </c>
      <c r="N30" s="158">
        <f t="shared" si="3"/>
        <v>182.5</v>
      </c>
      <c r="O30" s="11">
        <f t="shared" si="4"/>
        <v>45993.5</v>
      </c>
      <c r="P30" s="206" t="str">
        <f t="shared" si="16"/>
        <v/>
      </c>
    </row>
    <row r="31" spans="1:16" x14ac:dyDescent="0.3">
      <c r="A31" s="10">
        <f t="shared" si="0"/>
        <v>29</v>
      </c>
      <c r="B31" s="10">
        <v>4182</v>
      </c>
      <c r="C31" s="10" t="str">
        <f>VLOOKUP(B:B,재고차이!A:B,2,0)</f>
        <v>FT4182</v>
      </c>
      <c r="D31" s="10" t="str">
        <f>VLOOKUP(C:C,재고차이!B:C,2,0)</f>
        <v>환타 제로 오렌지 350CAN 4X6</v>
      </c>
      <c r="E31" s="10">
        <f>16+2</f>
        <v>18</v>
      </c>
      <c r="F31" s="10"/>
      <c r="G31" s="200"/>
      <c r="H31" s="200"/>
      <c r="I31" s="199">
        <v>46177</v>
      </c>
      <c r="J31" s="164"/>
      <c r="K31" s="165">
        <f t="shared" ca="1" si="1"/>
        <v>-104.75</v>
      </c>
      <c r="L31" s="156">
        <f>IF(I31="","",SUMIF(제품등록!B:B,정리표!C:C,제품등록!F:F))</f>
        <v>365</v>
      </c>
      <c r="M31" s="11">
        <f t="shared" si="2"/>
        <v>45812</v>
      </c>
      <c r="N31" s="158">
        <f t="shared" si="3"/>
        <v>91.25</v>
      </c>
      <c r="O31" s="11">
        <f t="shared" si="4"/>
        <v>45903.25</v>
      </c>
      <c r="P31" s="206" t="str">
        <f t="shared" ref="P31" si="17">IF(T31="","",T31-$I$1)</f>
        <v/>
      </c>
    </row>
    <row r="32" spans="1:16" x14ac:dyDescent="0.3">
      <c r="A32" s="10">
        <f t="shared" si="0"/>
        <v>30</v>
      </c>
      <c r="B32" s="10">
        <v>4182</v>
      </c>
      <c r="C32" s="10" t="str">
        <f>VLOOKUP(B:B,재고차이!A:B,2,0)</f>
        <v>FT4182</v>
      </c>
      <c r="D32" s="10" t="str">
        <f>VLOOKUP(C:C,재고차이!B:C,2,0)</f>
        <v>환타 제로 오렌지 350CAN 4X6</v>
      </c>
      <c r="E32" s="10"/>
      <c r="F32" s="10"/>
      <c r="G32" s="10">
        <v>8</v>
      </c>
      <c r="H32" s="200"/>
      <c r="I32" s="199">
        <v>46177</v>
      </c>
      <c r="J32" s="164"/>
      <c r="K32" s="165">
        <f t="shared" ca="1" si="1"/>
        <v>-104.75</v>
      </c>
      <c r="L32" s="156">
        <f>IF(I32="","",SUMIF(제품등록!B:B,정리표!C:C,제품등록!F:F))</f>
        <v>365</v>
      </c>
      <c r="M32" s="11">
        <f t="shared" si="2"/>
        <v>45812</v>
      </c>
      <c r="N32" s="158">
        <f t="shared" si="3"/>
        <v>91.25</v>
      </c>
      <c r="O32" s="11">
        <f t="shared" si="4"/>
        <v>45903.25</v>
      </c>
      <c r="P32" s="206" t="str">
        <f t="shared" ref="P32:P34" si="18">IF(T32="","",T32-$I$1)</f>
        <v/>
      </c>
    </row>
    <row r="33" spans="1:16" x14ac:dyDescent="0.3">
      <c r="A33" s="10">
        <f t="shared" si="0"/>
        <v>31</v>
      </c>
      <c r="B33" s="10">
        <v>4183</v>
      </c>
      <c r="C33" s="10" t="str">
        <f>VLOOKUP(B:B,재고차이!A:B,2,0)</f>
        <v>FT4183</v>
      </c>
      <c r="D33" s="10" t="str">
        <f>VLOOKUP(C:C,재고차이!B:C,2,0)</f>
        <v>S)환타 멜론 600PET 4X6</v>
      </c>
      <c r="E33" s="200">
        <f>10+28</f>
        <v>38</v>
      </c>
      <c r="F33" s="200"/>
      <c r="G33" s="200"/>
      <c r="H33" s="200"/>
      <c r="I33" s="164">
        <v>46197</v>
      </c>
      <c r="J33" s="199"/>
      <c r="K33" s="165">
        <f t="shared" ca="1" si="1"/>
        <v>-84.75</v>
      </c>
      <c r="L33" s="156">
        <f>IF(I33="","",SUMIF(제품등록!B:B,정리표!C:C,제품등록!F:F))</f>
        <v>365</v>
      </c>
      <c r="M33" s="11">
        <f t="shared" si="2"/>
        <v>45832</v>
      </c>
      <c r="N33" s="158">
        <f t="shared" si="3"/>
        <v>91.25</v>
      </c>
      <c r="O33" s="11">
        <f t="shared" si="4"/>
        <v>45923.25</v>
      </c>
      <c r="P33" s="206" t="str">
        <f t="shared" si="18"/>
        <v/>
      </c>
    </row>
    <row r="34" spans="1:16" x14ac:dyDescent="0.3">
      <c r="A34" s="10">
        <f t="shared" si="0"/>
        <v>32</v>
      </c>
      <c r="B34" s="10">
        <v>4183</v>
      </c>
      <c r="C34" s="10" t="str">
        <f>VLOOKUP(B:B,재고차이!A:B,2,0)</f>
        <v>FT4183</v>
      </c>
      <c r="D34" s="10" t="str">
        <f>VLOOKUP(C:C,재고차이!B:C,2,0)</f>
        <v>S)환타 멜론 600PET 4X6</v>
      </c>
      <c r="E34" s="10"/>
      <c r="F34" s="10"/>
      <c r="G34" s="10">
        <v>31</v>
      </c>
      <c r="H34" s="10"/>
      <c r="I34" s="199">
        <v>46196</v>
      </c>
      <c r="J34" s="199"/>
      <c r="K34" s="165">
        <f t="shared" ca="1" si="1"/>
        <v>-85.75</v>
      </c>
      <c r="L34" s="156">
        <f>IF(I34="","",SUMIF(제품등록!B:B,정리표!C:C,제품등록!F:F))</f>
        <v>365</v>
      </c>
      <c r="M34" s="11">
        <f t="shared" si="2"/>
        <v>45831</v>
      </c>
      <c r="N34" s="158">
        <f t="shared" si="3"/>
        <v>91.25</v>
      </c>
      <c r="O34" s="11">
        <f t="shared" si="4"/>
        <v>45922.25</v>
      </c>
      <c r="P34" s="206" t="str">
        <f t="shared" si="18"/>
        <v/>
      </c>
    </row>
    <row r="35" spans="1:16" x14ac:dyDescent="0.3">
      <c r="A35" s="10">
        <f t="shared" ref="A35:A66" si="19">ROW()-2</f>
        <v>33</v>
      </c>
      <c r="B35" s="10">
        <v>4184</v>
      </c>
      <c r="C35" s="10" t="str">
        <f>VLOOKUP(B:B,재고차이!A:B,2,0)</f>
        <v>SP4184</v>
      </c>
      <c r="D35" s="10" t="str">
        <f>VLOOKUP(C:C,재고차이!B:C,2,0)</f>
        <v>S)스프제로 칠 아이스블라스트 350CAN 4X6</v>
      </c>
      <c r="E35" s="10">
        <v>2</v>
      </c>
      <c r="F35" s="10"/>
      <c r="G35" s="200"/>
      <c r="H35" s="200"/>
      <c r="I35" s="199">
        <v>46164</v>
      </c>
      <c r="J35" s="199"/>
      <c r="K35" s="165">
        <f t="shared" ref="K35:K66" ca="1" si="20">IF(O35="","",O35-$I$1)</f>
        <v>-117.75</v>
      </c>
      <c r="L35" s="156">
        <f>IF(I35="","",SUMIF(제품등록!B:B,정리표!C:C,제품등록!F:F))</f>
        <v>365</v>
      </c>
      <c r="M35" s="11">
        <f t="shared" ref="M35:M66" si="21">IF(I35=0,"",I35-L35)</f>
        <v>45799</v>
      </c>
      <c r="N35" s="158">
        <f t="shared" ref="N35:N66" si="22">IF(L35="","",L35*상미75)</f>
        <v>91.25</v>
      </c>
      <c r="O35" s="11">
        <f t="shared" ref="O35:O66" si="23">IF(M35="","",M35+N35)</f>
        <v>45890.25</v>
      </c>
      <c r="P35" s="206" t="str">
        <f t="shared" ref="P35" si="24">IF(T35="","",T35-$I$1)</f>
        <v/>
      </c>
    </row>
    <row r="36" spans="1:16" x14ac:dyDescent="0.3">
      <c r="A36" s="10">
        <f t="shared" si="19"/>
        <v>34</v>
      </c>
      <c r="B36" s="10">
        <v>4184</v>
      </c>
      <c r="C36" s="10" t="str">
        <f>VLOOKUP(B:B,재고차이!A:B,2,0)</f>
        <v>SP4184</v>
      </c>
      <c r="D36" s="10" t="str">
        <f>VLOOKUP(C:C,재고차이!B:C,2,0)</f>
        <v>S)스프제로 칠 아이스블라스트 350CAN 4X6</v>
      </c>
      <c r="E36" s="10">
        <f>11+1</f>
        <v>12</v>
      </c>
      <c r="F36" s="10"/>
      <c r="G36" s="200"/>
      <c r="H36" s="200"/>
      <c r="I36" s="199">
        <v>46213</v>
      </c>
      <c r="J36" s="199"/>
      <c r="K36" s="165">
        <f t="shared" ca="1" si="20"/>
        <v>-68.75</v>
      </c>
      <c r="L36" s="156">
        <f>IF(I36="","",SUMIF(제품등록!B:B,정리표!C:C,제품등록!F:F))</f>
        <v>365</v>
      </c>
      <c r="M36" s="11">
        <f t="shared" si="21"/>
        <v>45848</v>
      </c>
      <c r="N36" s="158">
        <f t="shared" si="22"/>
        <v>91.25</v>
      </c>
      <c r="O36" s="11">
        <f t="shared" si="23"/>
        <v>45939.25</v>
      </c>
      <c r="P36" s="206" t="str">
        <f t="shared" ref="P36" si="25">IF(T36="","",T36-$I$1)</f>
        <v/>
      </c>
    </row>
    <row r="37" spans="1:16" x14ac:dyDescent="0.3">
      <c r="A37" s="10">
        <f t="shared" si="19"/>
        <v>35</v>
      </c>
      <c r="B37" s="24">
        <v>4184</v>
      </c>
      <c r="C37" s="10" t="str">
        <f>VLOOKUP(B:B,재고차이!A:B,2,0)</f>
        <v>SP4184</v>
      </c>
      <c r="D37" s="10" t="str">
        <f>VLOOKUP(C:C,재고차이!B:C,2,0)</f>
        <v>S)스프제로 칠 아이스블라스트 350CAN 4X6</v>
      </c>
      <c r="E37" s="10"/>
      <c r="F37" s="10"/>
      <c r="G37" s="10">
        <v>39</v>
      </c>
      <c r="H37" s="10"/>
      <c r="I37" s="199">
        <v>46213</v>
      </c>
      <c r="J37" s="199"/>
      <c r="K37" s="165">
        <f t="shared" ca="1" si="20"/>
        <v>-68.75</v>
      </c>
      <c r="L37" s="156">
        <f>IF(I37="","",SUMIF(제품등록!B:B,정리표!C:C,제품등록!F:F))</f>
        <v>365</v>
      </c>
      <c r="M37" s="11">
        <f t="shared" si="21"/>
        <v>45848</v>
      </c>
      <c r="N37" s="158">
        <f t="shared" si="22"/>
        <v>91.25</v>
      </c>
      <c r="O37" s="11">
        <f t="shared" si="23"/>
        <v>45939.25</v>
      </c>
      <c r="P37" s="206" t="str">
        <f t="shared" ref="P37:P39" si="26">IF(T37="","",T37-$I$1)</f>
        <v/>
      </c>
    </row>
    <row r="38" spans="1:16" x14ac:dyDescent="0.3">
      <c r="A38" s="10">
        <f t="shared" si="19"/>
        <v>36</v>
      </c>
      <c r="B38" s="10">
        <v>4259</v>
      </c>
      <c r="C38" s="10" t="str">
        <f>VLOOKUP(B:B,재고차이!A:B,2,0)</f>
        <v>BB4259</v>
      </c>
      <c r="D38" s="10" t="str">
        <f>VLOOKUP(C:C,재고차이!B:C,2,0)</f>
        <v>S)봉봉 포도 340CAN 4X6</v>
      </c>
      <c r="E38" s="200">
        <v>15</v>
      </c>
      <c r="F38" s="200"/>
      <c r="G38" s="200"/>
      <c r="H38" s="200"/>
      <c r="I38" s="199">
        <v>46555</v>
      </c>
      <c r="J38" s="164"/>
      <c r="K38" s="165">
        <f t="shared" ca="1" si="20"/>
        <v>-0.5</v>
      </c>
      <c r="L38" s="156">
        <f>IF(I38="","",SUMIF(제품등록!B:B,정리표!C:C,제품등록!F:F))</f>
        <v>730</v>
      </c>
      <c r="M38" s="11">
        <f t="shared" si="21"/>
        <v>45825</v>
      </c>
      <c r="N38" s="158">
        <f t="shared" si="22"/>
        <v>182.5</v>
      </c>
      <c r="O38" s="11">
        <f t="shared" si="23"/>
        <v>46007.5</v>
      </c>
      <c r="P38" s="206" t="str">
        <f t="shared" si="26"/>
        <v/>
      </c>
    </row>
    <row r="39" spans="1:16" x14ac:dyDescent="0.3">
      <c r="A39" s="10">
        <f t="shared" si="19"/>
        <v>37</v>
      </c>
      <c r="B39" s="10">
        <v>4259</v>
      </c>
      <c r="C39" s="10" t="str">
        <f>VLOOKUP(B:B,재고차이!A:B,2,0)</f>
        <v>BB4259</v>
      </c>
      <c r="D39" s="10" t="str">
        <f>VLOOKUP(C:C,재고차이!B:C,2,0)</f>
        <v>S)봉봉 포도 340CAN 4X6</v>
      </c>
      <c r="E39" s="200"/>
      <c r="F39" s="200"/>
      <c r="G39" s="200">
        <v>67</v>
      </c>
      <c r="H39" s="200"/>
      <c r="I39" s="199">
        <v>46555</v>
      </c>
      <c r="J39" s="164"/>
      <c r="K39" s="165">
        <f t="shared" ca="1" si="20"/>
        <v>-0.5</v>
      </c>
      <c r="L39" s="156">
        <f>IF(I39="","",SUMIF(제품등록!B:B,정리표!C:C,제품등록!F:F))</f>
        <v>730</v>
      </c>
      <c r="M39" s="11">
        <f t="shared" si="21"/>
        <v>45825</v>
      </c>
      <c r="N39" s="158">
        <f t="shared" si="22"/>
        <v>182.5</v>
      </c>
      <c r="O39" s="11">
        <f t="shared" si="23"/>
        <v>46007.5</v>
      </c>
      <c r="P39" s="206" t="str">
        <f t="shared" si="26"/>
        <v/>
      </c>
    </row>
    <row r="40" spans="1:16" x14ac:dyDescent="0.3">
      <c r="A40" s="10">
        <f t="shared" si="19"/>
        <v>38</v>
      </c>
      <c r="B40" s="10">
        <v>4281</v>
      </c>
      <c r="C40" s="10" t="str">
        <f>VLOOKUP(B:B,재고차이!A:B,2,0)</f>
        <v>CP4281</v>
      </c>
      <c r="D40" s="10" t="str">
        <f>VLOOKUP(C:C,재고차이!B:C,2,0)</f>
        <v>S)코코팜 화이트 240CAN 5X6</v>
      </c>
      <c r="E40" s="200">
        <v>1</v>
      </c>
      <c r="F40" s="200"/>
      <c r="G40" s="200"/>
      <c r="H40" s="200"/>
      <c r="I40" s="234">
        <v>46133</v>
      </c>
      <c r="J40" s="234" t="s">
        <v>2833</v>
      </c>
      <c r="K40" s="165">
        <f t="shared" ca="1" si="20"/>
        <v>-148.75</v>
      </c>
      <c r="L40" s="156">
        <f>IF(I40="","",SUMIF(제품등록!B:B,정리표!C:C,제품등록!F:F))</f>
        <v>365</v>
      </c>
      <c r="M40" s="11">
        <f t="shared" si="21"/>
        <v>45768</v>
      </c>
      <c r="N40" s="158">
        <f t="shared" si="22"/>
        <v>91.25</v>
      </c>
      <c r="O40" s="11">
        <f t="shared" si="23"/>
        <v>45859.25</v>
      </c>
      <c r="P40" s="206" t="str">
        <f t="shared" ref="P40:P47" si="27">IF(T40="","",T40-$I$1)</f>
        <v/>
      </c>
    </row>
    <row r="41" spans="1:16" x14ac:dyDescent="0.3">
      <c r="A41" s="10">
        <f t="shared" si="19"/>
        <v>39</v>
      </c>
      <c r="B41" s="10">
        <v>4281</v>
      </c>
      <c r="C41" s="10" t="str">
        <f>VLOOKUP(B:B,재고차이!A:B,2,0)</f>
        <v>CP4281</v>
      </c>
      <c r="D41" s="10" t="str">
        <f>VLOOKUP(C:C,재고차이!B:C,2,0)</f>
        <v>S)코코팜 화이트 240CAN 5X6</v>
      </c>
      <c r="E41" s="200">
        <v>5</v>
      </c>
      <c r="F41" s="200"/>
      <c r="G41" s="200"/>
      <c r="H41" s="200"/>
      <c r="I41" s="164">
        <v>46140</v>
      </c>
      <c r="J41" s="164"/>
      <c r="K41" s="165">
        <f t="shared" ca="1" si="20"/>
        <v>-141.75</v>
      </c>
      <c r="L41" s="156">
        <f>IF(I41="","",SUMIF(제품등록!B:B,정리표!C:C,제품등록!F:F))</f>
        <v>365</v>
      </c>
      <c r="M41" s="11">
        <f t="shared" si="21"/>
        <v>45775</v>
      </c>
      <c r="N41" s="158">
        <f t="shared" si="22"/>
        <v>91.25</v>
      </c>
      <c r="O41" s="11">
        <f t="shared" si="23"/>
        <v>45866.25</v>
      </c>
      <c r="P41" s="206" t="str">
        <f t="shared" si="27"/>
        <v/>
      </c>
    </row>
    <row r="42" spans="1:16" x14ac:dyDescent="0.3">
      <c r="A42" s="10">
        <f t="shared" si="19"/>
        <v>40</v>
      </c>
      <c r="B42" s="10">
        <v>4281</v>
      </c>
      <c r="C42" s="10" t="str">
        <f>VLOOKUP(B:B,재고차이!A:B,2,0)</f>
        <v>CP4281</v>
      </c>
      <c r="D42" s="10" t="str">
        <f>VLOOKUP(C:C,재고차이!B:C,2,0)</f>
        <v>S)코코팜 화이트 240CAN 5X6</v>
      </c>
      <c r="E42" s="200"/>
      <c r="F42" s="200"/>
      <c r="G42" s="200">
        <v>92</v>
      </c>
      <c r="H42" s="200"/>
      <c r="I42" s="234">
        <v>46134</v>
      </c>
      <c r="J42" s="234" t="s">
        <v>2833</v>
      </c>
      <c r="K42" s="165">
        <f t="shared" ca="1" si="20"/>
        <v>-147.75</v>
      </c>
      <c r="L42" s="156">
        <f>IF(I42="","",SUMIF(제품등록!B:B,정리표!C:C,제품등록!F:F))</f>
        <v>365</v>
      </c>
      <c r="M42" s="11">
        <f t="shared" si="21"/>
        <v>45769</v>
      </c>
      <c r="N42" s="158">
        <f t="shared" si="22"/>
        <v>91.25</v>
      </c>
      <c r="O42" s="11">
        <f t="shared" si="23"/>
        <v>45860.25</v>
      </c>
      <c r="P42" s="206" t="str">
        <f t="shared" si="27"/>
        <v/>
      </c>
    </row>
    <row r="43" spans="1:16" x14ac:dyDescent="0.3">
      <c r="A43" s="10">
        <f t="shared" si="19"/>
        <v>41</v>
      </c>
      <c r="B43" s="10">
        <v>4290</v>
      </c>
      <c r="C43" s="10" t="str">
        <f>VLOOKUP(B:B,재고차이!A:B,2,0)</f>
        <v>KM4290</v>
      </c>
      <c r="D43" s="10" t="str">
        <f>VLOOKUP(C:C,재고차이!B:C,2,0)</f>
        <v>S)갈배 사이다 500PET 4X6</v>
      </c>
      <c r="E43" s="200">
        <v>13</v>
      </c>
      <c r="F43" s="200"/>
      <c r="G43" s="200"/>
      <c r="H43" s="200"/>
      <c r="I43" s="199">
        <v>46161</v>
      </c>
      <c r="J43" s="164"/>
      <c r="K43" s="165">
        <f t="shared" ca="1" si="20"/>
        <v>-120.75</v>
      </c>
      <c r="L43" s="156">
        <f>IF(I43="","",SUMIF(제품등록!B:B,정리표!C:C,제품등록!F:F))</f>
        <v>365</v>
      </c>
      <c r="M43" s="11">
        <f t="shared" si="21"/>
        <v>45796</v>
      </c>
      <c r="N43" s="158">
        <f t="shared" si="22"/>
        <v>91.25</v>
      </c>
      <c r="O43" s="11">
        <f t="shared" si="23"/>
        <v>45887.25</v>
      </c>
      <c r="P43" s="206" t="str">
        <f t="shared" si="27"/>
        <v/>
      </c>
    </row>
    <row r="44" spans="1:16" x14ac:dyDescent="0.3">
      <c r="A44" s="10">
        <f t="shared" si="19"/>
        <v>42</v>
      </c>
      <c r="B44" s="10">
        <v>4290</v>
      </c>
      <c r="C44" s="10" t="str">
        <f>VLOOKUP(B:B,재고차이!A:B,2,0)</f>
        <v>KM4290</v>
      </c>
      <c r="D44" s="10" t="str">
        <f>VLOOKUP(C:C,재고차이!B:C,2,0)</f>
        <v>S)갈배 사이다 500PET 4X6</v>
      </c>
      <c r="E44" s="200"/>
      <c r="F44" s="200"/>
      <c r="G44" s="200">
        <v>4</v>
      </c>
      <c r="H44" s="200"/>
      <c r="I44" s="199">
        <v>46161</v>
      </c>
      <c r="J44" s="164"/>
      <c r="K44" s="165">
        <f t="shared" ca="1" si="20"/>
        <v>-120.75</v>
      </c>
      <c r="L44" s="156">
        <f>IF(I44="","",SUMIF(제품등록!B:B,정리표!C:C,제품등록!F:F))</f>
        <v>365</v>
      </c>
      <c r="M44" s="11">
        <f t="shared" si="21"/>
        <v>45796</v>
      </c>
      <c r="N44" s="158">
        <f t="shared" si="22"/>
        <v>91.25</v>
      </c>
      <c r="O44" s="11">
        <f t="shared" si="23"/>
        <v>45887.25</v>
      </c>
      <c r="P44" s="206" t="str">
        <f t="shared" si="27"/>
        <v/>
      </c>
    </row>
    <row r="45" spans="1:16" x14ac:dyDescent="0.3">
      <c r="A45" s="10">
        <f t="shared" si="19"/>
        <v>43</v>
      </c>
      <c r="B45" s="10">
        <v>4432</v>
      </c>
      <c r="C45" s="10" t="str">
        <f>VLOOKUP(B:B,재고차이!A:B,2,0)</f>
        <v>CC4432</v>
      </c>
      <c r="D45" s="10" t="str">
        <f>VLOOKUP(C:C,재고차이!B:C,2,0)</f>
        <v>S)코크제로 500PET 4X6</v>
      </c>
      <c r="E45" s="200">
        <f>16+3</f>
        <v>19</v>
      </c>
      <c r="F45" s="200"/>
      <c r="G45" s="200"/>
      <c r="H45" s="200"/>
      <c r="I45" s="164">
        <v>46106</v>
      </c>
      <c r="J45" s="199"/>
      <c r="K45" s="165">
        <f t="shared" ca="1" si="20"/>
        <v>-106.75</v>
      </c>
      <c r="L45" s="156">
        <f>IF(I45="","",SUMIF(제품등록!B:B,정리표!C:C,제품등록!F:F))</f>
        <v>273</v>
      </c>
      <c r="M45" s="11">
        <f t="shared" si="21"/>
        <v>45833</v>
      </c>
      <c r="N45" s="158">
        <f t="shared" si="22"/>
        <v>68.25</v>
      </c>
      <c r="O45" s="11">
        <f t="shared" si="23"/>
        <v>45901.25</v>
      </c>
      <c r="P45" s="206" t="str">
        <f t="shared" si="27"/>
        <v/>
      </c>
    </row>
    <row r="46" spans="1:16" x14ac:dyDescent="0.3">
      <c r="A46" s="10">
        <f t="shared" si="19"/>
        <v>44</v>
      </c>
      <c r="B46" s="24">
        <v>4432</v>
      </c>
      <c r="C46" s="10" t="str">
        <f>VLOOKUP(B:B,재고차이!A:B,2,0)</f>
        <v>CC4432</v>
      </c>
      <c r="D46" s="10" t="str">
        <f>VLOOKUP(C:C,재고차이!B:C,2,0)</f>
        <v>S)코크제로 500PET 4X6</v>
      </c>
      <c r="E46" s="10"/>
      <c r="F46" s="10"/>
      <c r="G46" s="10">
        <v>44</v>
      </c>
      <c r="H46" s="10"/>
      <c r="I46" s="199">
        <v>46106</v>
      </c>
      <c r="J46" s="199"/>
      <c r="K46" s="165">
        <f t="shared" ca="1" si="20"/>
        <v>-106.75</v>
      </c>
      <c r="L46" s="156">
        <f>IF(I46="","",SUMIF(제품등록!B:B,정리표!C:C,제품등록!F:F))</f>
        <v>273</v>
      </c>
      <c r="M46" s="11">
        <f t="shared" si="21"/>
        <v>45833</v>
      </c>
      <c r="N46" s="158">
        <f t="shared" si="22"/>
        <v>68.25</v>
      </c>
      <c r="O46" s="11">
        <f t="shared" si="23"/>
        <v>45901.25</v>
      </c>
      <c r="P46" s="206" t="str">
        <f t="shared" si="27"/>
        <v/>
      </c>
    </row>
    <row r="47" spans="1:16" x14ac:dyDescent="0.3">
      <c r="A47" s="10">
        <f t="shared" si="19"/>
        <v>45</v>
      </c>
      <c r="B47" s="10">
        <v>4823</v>
      </c>
      <c r="C47" s="10" t="str">
        <f>VLOOKUP(B:B,재고차이!A:B,2,0)</f>
        <v>FT4823</v>
      </c>
      <c r="D47" s="10" t="str">
        <f>VLOOKUP(C:C,재고차이!B:C,2,0)</f>
        <v>환타오렌지250CAN 5X6 M</v>
      </c>
      <c r="E47" s="200">
        <v>3</v>
      </c>
      <c r="F47" s="200"/>
      <c r="G47" s="200"/>
      <c r="H47" s="200"/>
      <c r="I47" s="164">
        <v>46563</v>
      </c>
      <c r="J47" s="164"/>
      <c r="K47" s="165">
        <f t="shared" ca="1" si="20"/>
        <v>7.5</v>
      </c>
      <c r="L47" s="156">
        <f>IF(I47="","",SUMIF(제품등록!B:B,정리표!C:C,제품등록!F:F))</f>
        <v>730</v>
      </c>
      <c r="M47" s="11">
        <f t="shared" si="21"/>
        <v>45833</v>
      </c>
      <c r="N47" s="158">
        <f t="shared" si="22"/>
        <v>182.5</v>
      </c>
      <c r="O47" s="11">
        <f t="shared" si="23"/>
        <v>46015.5</v>
      </c>
      <c r="P47" s="206" t="str">
        <f t="shared" si="27"/>
        <v/>
      </c>
    </row>
    <row r="48" spans="1:16" x14ac:dyDescent="0.3">
      <c r="A48" s="10">
        <f t="shared" si="19"/>
        <v>46</v>
      </c>
      <c r="B48" s="24">
        <v>4823</v>
      </c>
      <c r="C48" s="10" t="str">
        <f>VLOOKUP(B:B,재고차이!A:B,2,0)</f>
        <v>FT4823</v>
      </c>
      <c r="D48" s="10" t="str">
        <f>VLOOKUP(C:C,재고차이!B:C,2,0)</f>
        <v>환타오렌지250CAN 5X6 M</v>
      </c>
      <c r="E48" s="10"/>
      <c r="F48" s="10"/>
      <c r="G48" s="10">
        <v>92</v>
      </c>
      <c r="H48" s="10"/>
      <c r="I48" s="199">
        <v>46556</v>
      </c>
      <c r="J48" s="199"/>
      <c r="K48" s="165">
        <f t="shared" ca="1" si="20"/>
        <v>0.5</v>
      </c>
      <c r="L48" s="156">
        <f>IF(I48="","",SUMIF(제품등록!B:B,정리표!C:C,제품등록!F:F))</f>
        <v>730</v>
      </c>
      <c r="M48" s="11">
        <f t="shared" si="21"/>
        <v>45826</v>
      </c>
      <c r="N48" s="158">
        <f t="shared" si="22"/>
        <v>182.5</v>
      </c>
      <c r="O48" s="11">
        <f t="shared" si="23"/>
        <v>46008.5</v>
      </c>
      <c r="P48" s="206" t="str">
        <f t="shared" ref="P48" si="28">IF(T48="","",T48-$I$1)</f>
        <v/>
      </c>
    </row>
    <row r="49" spans="1:16" x14ac:dyDescent="0.3">
      <c r="A49" s="10">
        <f t="shared" si="19"/>
        <v>47</v>
      </c>
      <c r="B49" s="24">
        <v>4872</v>
      </c>
      <c r="C49" s="10" t="str">
        <f>VLOOKUP(B:B,재고차이!A:B,2,0)</f>
        <v>GG4872</v>
      </c>
      <c r="D49" s="10" t="str">
        <f>VLOOKUP(C:C,재고차이!B:C,2,0)</f>
        <v>조지아오리지널240C 5X6</v>
      </c>
      <c r="E49" s="10"/>
      <c r="F49" s="10"/>
      <c r="G49" s="10">
        <v>72</v>
      </c>
      <c r="H49" s="10"/>
      <c r="I49" s="199">
        <v>46198</v>
      </c>
      <c r="J49" s="199"/>
      <c r="K49" s="165">
        <f t="shared" ca="1" si="20"/>
        <v>-83.75</v>
      </c>
      <c r="L49" s="156">
        <f>IF(I49="","",SUMIF(제품등록!B:B,정리표!C:C,제품등록!F:F))</f>
        <v>365</v>
      </c>
      <c r="M49" s="11">
        <f t="shared" si="21"/>
        <v>45833</v>
      </c>
      <c r="N49" s="158">
        <f t="shared" si="22"/>
        <v>91.25</v>
      </c>
      <c r="O49" s="11">
        <f t="shared" si="23"/>
        <v>45924.25</v>
      </c>
      <c r="P49" s="206" t="str">
        <f t="shared" ref="P49" si="29">IF(T49="","",T49-$I$1)</f>
        <v/>
      </c>
    </row>
    <row r="50" spans="1:16" x14ac:dyDescent="0.3">
      <c r="A50" s="10">
        <f t="shared" si="19"/>
        <v>48</v>
      </c>
      <c r="B50" s="10">
        <v>4879</v>
      </c>
      <c r="C50" s="10" t="str">
        <f>VLOOKUP(B:B,재고차이!A:B,2,0)</f>
        <v>GG4879</v>
      </c>
      <c r="D50" s="10" t="str">
        <f>VLOOKUP(C:C,재고차이!B:C,2,0)</f>
        <v>조지아카페라테240C 5X6</v>
      </c>
      <c r="E50" s="200">
        <v>1</v>
      </c>
      <c r="F50" s="200"/>
      <c r="G50" s="200"/>
      <c r="H50" s="200"/>
      <c r="I50" s="164">
        <v>46203</v>
      </c>
      <c r="J50" s="164"/>
      <c r="K50" s="165">
        <f t="shared" ca="1" si="20"/>
        <v>-78.75</v>
      </c>
      <c r="L50" s="156">
        <f>IF(I50="","",SUMIF(제품등록!B:B,정리표!C:C,제품등록!F:F))</f>
        <v>365</v>
      </c>
      <c r="M50" s="11">
        <f t="shared" si="21"/>
        <v>45838</v>
      </c>
      <c r="N50" s="158">
        <f t="shared" si="22"/>
        <v>91.25</v>
      </c>
      <c r="O50" s="11">
        <f t="shared" si="23"/>
        <v>45929.25</v>
      </c>
      <c r="P50" s="206" t="str">
        <f t="shared" ref="P50" si="30">IF(T50="","",T50-$I$1)</f>
        <v/>
      </c>
    </row>
    <row r="51" spans="1:16" x14ac:dyDescent="0.3">
      <c r="A51" s="10">
        <f t="shared" si="19"/>
        <v>49</v>
      </c>
      <c r="B51" s="10">
        <v>4879</v>
      </c>
      <c r="C51" s="10" t="str">
        <f>VLOOKUP(B:B,재고차이!A:B,2,0)</f>
        <v>GG4879</v>
      </c>
      <c r="D51" s="10" t="str">
        <f>VLOOKUP(C:C,재고차이!B:C,2,0)</f>
        <v>조지아카페라테240C 5X6</v>
      </c>
      <c r="E51" s="200">
        <v>7</v>
      </c>
      <c r="F51" s="200"/>
      <c r="G51" s="200"/>
      <c r="H51" s="200"/>
      <c r="I51" s="164">
        <v>46204</v>
      </c>
      <c r="J51" s="164"/>
      <c r="K51" s="165">
        <f t="shared" ca="1" si="20"/>
        <v>-77.75</v>
      </c>
      <c r="L51" s="156">
        <f>IF(I51="","",SUMIF(제품등록!B:B,정리표!C:C,제품등록!F:F))</f>
        <v>365</v>
      </c>
      <c r="M51" s="11">
        <f t="shared" si="21"/>
        <v>45839</v>
      </c>
      <c r="N51" s="158">
        <f t="shared" si="22"/>
        <v>91.25</v>
      </c>
      <c r="O51" s="11">
        <f t="shared" si="23"/>
        <v>45930.25</v>
      </c>
    </row>
    <row r="52" spans="1:16" x14ac:dyDescent="0.3">
      <c r="A52" s="10">
        <f t="shared" si="19"/>
        <v>50</v>
      </c>
      <c r="B52" s="24">
        <v>4879</v>
      </c>
      <c r="C52" s="10" t="str">
        <f>VLOOKUP(B:B,재고차이!A:B,2,0)</f>
        <v>GG4879</v>
      </c>
      <c r="D52" s="10" t="str">
        <f>VLOOKUP(C:C,재고차이!B:C,2,0)</f>
        <v>조지아카페라테240C 5X6</v>
      </c>
      <c r="E52" s="10"/>
      <c r="F52" s="10"/>
      <c r="G52" s="10">
        <v>43</v>
      </c>
      <c r="H52" s="10"/>
      <c r="I52" s="199">
        <v>46203</v>
      </c>
      <c r="J52" s="199"/>
      <c r="K52" s="165">
        <f t="shared" ca="1" si="20"/>
        <v>-78.75</v>
      </c>
      <c r="L52" s="156">
        <f>IF(I52="","",SUMIF(제품등록!B:B,정리표!C:C,제품등록!F:F))</f>
        <v>365</v>
      </c>
      <c r="M52" s="11">
        <f t="shared" si="21"/>
        <v>45838</v>
      </c>
      <c r="N52" s="158">
        <f t="shared" si="22"/>
        <v>91.25</v>
      </c>
      <c r="O52" s="11">
        <f t="shared" si="23"/>
        <v>45929.25</v>
      </c>
    </row>
    <row r="53" spans="1:16" x14ac:dyDescent="0.3">
      <c r="A53" s="10">
        <f t="shared" si="19"/>
        <v>51</v>
      </c>
      <c r="B53" s="10">
        <v>4899</v>
      </c>
      <c r="C53" s="10" t="str">
        <f>VLOOKUP(B:B,재고차이!A:B,2,0)</f>
        <v>GG4899</v>
      </c>
      <c r="D53" s="10" t="str">
        <f>VLOOKUP(C:C,재고차이!B:C,2,0)</f>
        <v>조지아맥스 240C 5X6</v>
      </c>
      <c r="E53" s="200">
        <v>10</v>
      </c>
      <c r="F53" s="200"/>
      <c r="G53" s="200"/>
      <c r="H53" s="200"/>
      <c r="I53" s="164">
        <v>46199</v>
      </c>
      <c r="J53" s="164"/>
      <c r="K53" s="165">
        <f t="shared" ca="1" si="20"/>
        <v>-82.75</v>
      </c>
      <c r="L53" s="156">
        <f>IF(I53="","",SUMIF(제품등록!B:B,정리표!C:C,제품등록!F:F))</f>
        <v>365</v>
      </c>
      <c r="M53" s="11">
        <f t="shared" si="21"/>
        <v>45834</v>
      </c>
      <c r="N53" s="158">
        <f t="shared" si="22"/>
        <v>91.25</v>
      </c>
      <c r="O53" s="11">
        <f t="shared" si="23"/>
        <v>45925.25</v>
      </c>
    </row>
    <row r="54" spans="1:16" x14ac:dyDescent="0.3">
      <c r="A54" s="10">
        <f t="shared" si="19"/>
        <v>52</v>
      </c>
      <c r="B54" s="24">
        <v>4899</v>
      </c>
      <c r="C54" s="10" t="str">
        <f>VLOOKUP(B:B,재고차이!A:B,2,0)</f>
        <v>GG4899</v>
      </c>
      <c r="D54" s="10" t="str">
        <f>VLOOKUP(C:C,재고차이!B:C,2,0)</f>
        <v>조지아맥스 240C 5X6</v>
      </c>
      <c r="E54" s="10"/>
      <c r="F54" s="10"/>
      <c r="G54" s="10">
        <v>121</v>
      </c>
      <c r="H54" s="10"/>
      <c r="I54" s="199">
        <v>46199</v>
      </c>
      <c r="J54" s="199"/>
      <c r="K54" s="165">
        <f t="shared" ca="1" si="20"/>
        <v>-82.75</v>
      </c>
      <c r="L54" s="156">
        <f>IF(I54="","",SUMIF(제품등록!B:B,정리표!C:C,제품등록!F:F))</f>
        <v>365</v>
      </c>
      <c r="M54" s="11">
        <f t="shared" si="21"/>
        <v>45834</v>
      </c>
      <c r="N54" s="158">
        <f t="shared" si="22"/>
        <v>91.25</v>
      </c>
      <c r="O54" s="11">
        <f t="shared" si="23"/>
        <v>45925.25</v>
      </c>
    </row>
    <row r="55" spans="1:16" x14ac:dyDescent="0.3">
      <c r="A55" s="10">
        <f t="shared" si="19"/>
        <v>53</v>
      </c>
      <c r="B55" s="10">
        <v>4929</v>
      </c>
      <c r="C55" s="10" t="str">
        <f>VLOOKUP(B:B,재고차이!A:B,2,0)</f>
        <v>KM4929</v>
      </c>
      <c r="D55" s="10" t="str">
        <f>VLOOKUP(C:C,재고차이!B:C,2,0)</f>
        <v>S)갈아만든 배 340CAN 4X6</v>
      </c>
      <c r="E55" s="200">
        <v>1</v>
      </c>
      <c r="F55" s="200"/>
      <c r="G55" s="200"/>
      <c r="H55" s="200"/>
      <c r="I55" s="164">
        <v>46527</v>
      </c>
      <c r="J55" s="164"/>
      <c r="K55" s="165">
        <f t="shared" ca="1" si="20"/>
        <v>-28.5</v>
      </c>
      <c r="L55" s="156">
        <f>IF(I55="","",SUMIF(제품등록!B:B,정리표!C:C,제품등록!F:F))</f>
        <v>730</v>
      </c>
      <c r="M55" s="11">
        <f t="shared" si="21"/>
        <v>45797</v>
      </c>
      <c r="N55" s="158">
        <f t="shared" si="22"/>
        <v>182.5</v>
      </c>
      <c r="O55" s="11">
        <f t="shared" si="23"/>
        <v>45979.5</v>
      </c>
    </row>
    <row r="56" spans="1:16" x14ac:dyDescent="0.3">
      <c r="A56" s="10">
        <f t="shared" si="19"/>
        <v>54</v>
      </c>
      <c r="B56" s="10">
        <v>4929</v>
      </c>
      <c r="C56" s="10" t="str">
        <f>VLOOKUP(B:B,재고차이!A:B,2,0)</f>
        <v>KM4929</v>
      </c>
      <c r="D56" s="10" t="str">
        <f>VLOOKUP(C:C,재고차이!B:C,2,0)</f>
        <v>S)갈아만든 배 340CAN 4X6</v>
      </c>
      <c r="E56" s="200"/>
      <c r="F56" s="200"/>
      <c r="G56" s="200">
        <v>2</v>
      </c>
      <c r="H56" s="200"/>
      <c r="I56" s="164">
        <v>46527</v>
      </c>
      <c r="J56" s="164"/>
      <c r="K56" s="165">
        <f t="shared" ca="1" si="20"/>
        <v>-28.5</v>
      </c>
      <c r="L56" s="156">
        <f>IF(I56="","",SUMIF(제품등록!B:B,정리표!C:C,제품등록!F:F))</f>
        <v>730</v>
      </c>
      <c r="M56" s="11">
        <f t="shared" si="21"/>
        <v>45797</v>
      </c>
      <c r="N56" s="158">
        <f t="shared" si="22"/>
        <v>182.5</v>
      </c>
      <c r="O56" s="11">
        <f t="shared" si="23"/>
        <v>45979.5</v>
      </c>
    </row>
    <row r="57" spans="1:16" x14ac:dyDescent="0.3">
      <c r="A57" s="10">
        <f t="shared" si="19"/>
        <v>55</v>
      </c>
      <c r="B57" s="10">
        <v>4969</v>
      </c>
      <c r="C57" s="10" t="str">
        <f>VLOOKUP(B:B,재고차이!A:B,2,0)</f>
        <v>KC4969</v>
      </c>
      <c r="D57" s="10" t="str">
        <f>VLOOKUP(C:C,재고차이!B:C,2,0)</f>
        <v>S)과일촌 아침에사과 500PET 4X6</v>
      </c>
      <c r="E57" s="200">
        <f>4+16</f>
        <v>20</v>
      </c>
      <c r="F57" s="200"/>
      <c r="G57" s="200"/>
      <c r="H57" s="200"/>
      <c r="I57" s="164">
        <v>46182</v>
      </c>
      <c r="J57" s="164"/>
      <c r="K57" s="165">
        <f t="shared" ca="1" si="20"/>
        <v>-99.75</v>
      </c>
      <c r="L57" s="156">
        <f>IF(I57="","",SUMIF(제품등록!B:B,정리표!C:C,제품등록!F:F))</f>
        <v>365</v>
      </c>
      <c r="M57" s="11">
        <f t="shared" si="21"/>
        <v>45817</v>
      </c>
      <c r="N57" s="158">
        <f t="shared" si="22"/>
        <v>91.25</v>
      </c>
      <c r="O57" s="11">
        <f t="shared" si="23"/>
        <v>45908.25</v>
      </c>
    </row>
    <row r="58" spans="1:16" x14ac:dyDescent="0.3">
      <c r="A58" s="10">
        <f t="shared" si="19"/>
        <v>56</v>
      </c>
      <c r="B58" s="10">
        <v>4969</v>
      </c>
      <c r="C58" s="10" t="str">
        <f>VLOOKUP(B:B,재고차이!A:B,2,0)</f>
        <v>KC4969</v>
      </c>
      <c r="D58" s="10" t="str">
        <f>VLOOKUP(C:C,재고차이!B:C,2,0)</f>
        <v>S)과일촌 아침에사과 500PET 4X6</v>
      </c>
      <c r="E58" s="200"/>
      <c r="F58" s="200"/>
      <c r="G58" s="200">
        <v>64</v>
      </c>
      <c r="H58" s="200"/>
      <c r="I58" s="164">
        <v>46182</v>
      </c>
      <c r="J58" s="164"/>
      <c r="K58" s="165">
        <f t="shared" ca="1" si="20"/>
        <v>-99.75</v>
      </c>
      <c r="L58" s="156">
        <f>IF(I58="","",SUMIF(제품등록!B:B,정리표!C:C,제품등록!F:F))</f>
        <v>365</v>
      </c>
      <c r="M58" s="11">
        <f t="shared" si="21"/>
        <v>45817</v>
      </c>
      <c r="N58" s="158">
        <f t="shared" si="22"/>
        <v>91.25</v>
      </c>
      <c r="O58" s="11">
        <f t="shared" si="23"/>
        <v>45908.25</v>
      </c>
    </row>
    <row r="59" spans="1:16" x14ac:dyDescent="0.3">
      <c r="A59" s="10">
        <f t="shared" si="19"/>
        <v>57</v>
      </c>
      <c r="B59" s="10">
        <v>5191</v>
      </c>
      <c r="C59" s="10" t="str">
        <f>VLOOKUP(B:B,재고차이!A:B,2,0)</f>
        <v>CC5191</v>
      </c>
      <c r="D59" s="10" t="str">
        <f>VLOOKUP(C:C,재고차이!B:C,2,0)</f>
        <v>코카콜라 490CAN 6X4</v>
      </c>
      <c r="E59" s="10">
        <v>1</v>
      </c>
      <c r="F59" s="10"/>
      <c r="G59" s="200"/>
      <c r="H59" s="200"/>
      <c r="I59" s="199">
        <v>46561</v>
      </c>
      <c r="J59" s="199"/>
      <c r="K59" s="165">
        <f t="shared" ca="1" si="20"/>
        <v>5.5</v>
      </c>
      <c r="L59" s="156">
        <f>IF(I59="","",SUMIF(제품등록!B:B,정리표!C:C,제품등록!F:F))</f>
        <v>730</v>
      </c>
      <c r="M59" s="11">
        <f t="shared" si="21"/>
        <v>45831</v>
      </c>
      <c r="N59" s="158">
        <f t="shared" si="22"/>
        <v>182.5</v>
      </c>
      <c r="O59" s="11">
        <f t="shared" si="23"/>
        <v>46013.5</v>
      </c>
    </row>
    <row r="60" spans="1:16" x14ac:dyDescent="0.3">
      <c r="A60" s="10">
        <f t="shared" si="19"/>
        <v>58</v>
      </c>
      <c r="B60" s="10">
        <v>5191</v>
      </c>
      <c r="C60" s="10" t="str">
        <f>VLOOKUP(B:B,재고차이!A:B,2,0)</f>
        <v>CC5191</v>
      </c>
      <c r="D60" s="10" t="str">
        <f>VLOOKUP(C:C,재고차이!B:C,2,0)</f>
        <v>코카콜라 490CAN 6X4</v>
      </c>
      <c r="E60" s="10"/>
      <c r="F60" s="10"/>
      <c r="G60" s="10">
        <v>51</v>
      </c>
      <c r="H60" s="10"/>
      <c r="I60" s="164">
        <v>46560</v>
      </c>
      <c r="J60" s="199"/>
      <c r="K60" s="165">
        <f t="shared" ca="1" si="20"/>
        <v>4.5</v>
      </c>
      <c r="L60" s="156">
        <f>IF(I60="","",SUMIF(제품등록!B:B,정리표!C:C,제품등록!F:F))</f>
        <v>730</v>
      </c>
      <c r="M60" s="11">
        <f t="shared" si="21"/>
        <v>45830</v>
      </c>
      <c r="N60" s="158">
        <f t="shared" si="22"/>
        <v>182.5</v>
      </c>
      <c r="O60" s="11">
        <f t="shared" si="23"/>
        <v>46012.5</v>
      </c>
    </row>
    <row r="61" spans="1:16" x14ac:dyDescent="0.3">
      <c r="A61" s="10">
        <f t="shared" si="19"/>
        <v>59</v>
      </c>
      <c r="B61" s="10">
        <v>5192</v>
      </c>
      <c r="C61" s="10" t="str">
        <f>VLOOKUP(B:B,재고차이!A:B,2,0)</f>
        <v>CC5192</v>
      </c>
      <c r="D61" s="10" t="str">
        <f>VLOOKUP(C:C,재고차이!B:C,2,0)</f>
        <v>코크제로 490ml CAN 6X4</v>
      </c>
      <c r="E61" s="10">
        <v>16</v>
      </c>
      <c r="F61" s="10"/>
      <c r="G61" s="200"/>
      <c r="H61" s="200"/>
      <c r="I61" s="199">
        <v>46526</v>
      </c>
      <c r="J61" s="199"/>
      <c r="K61" s="165">
        <f t="shared" ca="1" si="20"/>
        <v>-29.5</v>
      </c>
      <c r="L61" s="156">
        <f>IF(I61="","",SUMIF(제품등록!B:B,정리표!C:C,제품등록!F:F))</f>
        <v>730</v>
      </c>
      <c r="M61" s="11">
        <f t="shared" si="21"/>
        <v>45796</v>
      </c>
      <c r="N61" s="158">
        <f t="shared" si="22"/>
        <v>182.5</v>
      </c>
      <c r="O61" s="11">
        <f t="shared" si="23"/>
        <v>45978.5</v>
      </c>
    </row>
    <row r="62" spans="1:16" x14ac:dyDescent="0.3">
      <c r="A62" s="10">
        <f t="shared" si="19"/>
        <v>60</v>
      </c>
      <c r="B62" s="10">
        <v>5192</v>
      </c>
      <c r="C62" s="10" t="str">
        <f>VLOOKUP(B:B,재고차이!A:B,2,0)</f>
        <v>CC5192</v>
      </c>
      <c r="D62" s="10" t="str">
        <f>VLOOKUP(C:C,재고차이!B:C,2,0)</f>
        <v>코크제로 490ml CAN 6X4</v>
      </c>
      <c r="E62" s="10"/>
      <c r="F62" s="10"/>
      <c r="G62" s="10">
        <v>2</v>
      </c>
      <c r="H62" s="10"/>
      <c r="I62" s="164">
        <v>46526</v>
      </c>
      <c r="J62" s="199"/>
      <c r="K62" s="165">
        <f t="shared" ca="1" si="20"/>
        <v>-29.5</v>
      </c>
      <c r="L62" s="156">
        <f>IF(I62="","",SUMIF(제품등록!B:B,정리표!C:C,제품등록!F:F))</f>
        <v>730</v>
      </c>
      <c r="M62" s="11">
        <f t="shared" si="21"/>
        <v>45796</v>
      </c>
      <c r="N62" s="158">
        <f t="shared" si="22"/>
        <v>182.5</v>
      </c>
      <c r="O62" s="11">
        <f t="shared" si="23"/>
        <v>45978.5</v>
      </c>
    </row>
    <row r="63" spans="1:16" x14ac:dyDescent="0.3">
      <c r="A63" s="10">
        <f t="shared" si="19"/>
        <v>61</v>
      </c>
      <c r="B63" s="10">
        <v>5194</v>
      </c>
      <c r="C63" s="10" t="str">
        <f>VLOOKUP(B:B,재고차이!A:B,2,0)</f>
        <v>CC5194</v>
      </c>
      <c r="D63" s="10" t="str">
        <f>VLOOKUP(C:C,재고차이!B:C,2,0)</f>
        <v>S)코크제로 레몬 350CAN 4X6</v>
      </c>
      <c r="E63" s="10">
        <v>1</v>
      </c>
      <c r="F63" s="10"/>
      <c r="G63" s="200"/>
      <c r="H63" s="200"/>
      <c r="I63" s="199">
        <v>46355</v>
      </c>
      <c r="J63" s="164"/>
      <c r="K63" s="165">
        <f t="shared" ca="1" si="20"/>
        <v>-64</v>
      </c>
      <c r="L63" s="156">
        <f>IF(I63="","",SUMIF(제품등록!B:B,정리표!C:C,제품등록!F:F))</f>
        <v>548</v>
      </c>
      <c r="M63" s="11">
        <f t="shared" si="21"/>
        <v>45807</v>
      </c>
      <c r="N63" s="158">
        <f t="shared" si="22"/>
        <v>137</v>
      </c>
      <c r="O63" s="11">
        <f t="shared" si="23"/>
        <v>45944</v>
      </c>
    </row>
    <row r="64" spans="1:16" x14ac:dyDescent="0.3">
      <c r="A64" s="10">
        <f t="shared" si="19"/>
        <v>62</v>
      </c>
      <c r="B64" s="10">
        <v>5194</v>
      </c>
      <c r="C64" s="10" t="str">
        <f>VLOOKUP(B:B,재고차이!A:B,2,0)</f>
        <v>CC5194</v>
      </c>
      <c r="D64" s="10" t="str">
        <f>VLOOKUP(C:C,재고차이!B:C,2,0)</f>
        <v>S)코크제로 레몬 350CAN 4X6</v>
      </c>
      <c r="E64" s="10"/>
      <c r="F64" s="10"/>
      <c r="G64" s="10">
        <v>77</v>
      </c>
      <c r="H64" s="200"/>
      <c r="I64" s="199">
        <v>46355</v>
      </c>
      <c r="J64" s="164"/>
      <c r="K64" s="165">
        <f t="shared" ca="1" si="20"/>
        <v>-64</v>
      </c>
      <c r="L64" s="156">
        <f>IF(I64="","",SUMIF(제품등록!B:B,정리표!C:C,제품등록!F:F))</f>
        <v>548</v>
      </c>
      <c r="M64" s="11">
        <f t="shared" si="21"/>
        <v>45807</v>
      </c>
      <c r="N64" s="158">
        <f t="shared" si="22"/>
        <v>137</v>
      </c>
      <c r="O64" s="11">
        <f t="shared" si="23"/>
        <v>45944</v>
      </c>
    </row>
    <row r="65" spans="1:15" x14ac:dyDescent="0.3">
      <c r="A65" s="10">
        <f t="shared" si="19"/>
        <v>63</v>
      </c>
      <c r="B65" s="24">
        <v>5200</v>
      </c>
      <c r="C65" s="10" t="str">
        <f>VLOOKUP(B:B,재고차이!A:B,2,0)</f>
        <v>CC5200</v>
      </c>
      <c r="D65" s="10" t="str">
        <f>VLOOKUP(C:C,재고차이!B:C,2,0)</f>
        <v>코카콜라 900PET 2X6</v>
      </c>
      <c r="E65" s="10"/>
      <c r="F65" s="10"/>
      <c r="G65" s="10">
        <v>49</v>
      </c>
      <c r="H65" s="10"/>
      <c r="I65" s="233">
        <v>46126</v>
      </c>
      <c r="J65" s="233" t="s">
        <v>2833</v>
      </c>
      <c r="K65" s="165">
        <f t="shared" ca="1" si="20"/>
        <v>-155.75</v>
      </c>
      <c r="L65" s="156">
        <f>IF(I65="","",SUMIF(제품등록!B:B,정리표!C:C,제품등록!F:F))</f>
        <v>365</v>
      </c>
      <c r="M65" s="11">
        <f t="shared" si="21"/>
        <v>45761</v>
      </c>
      <c r="N65" s="158">
        <f t="shared" si="22"/>
        <v>91.25</v>
      </c>
      <c r="O65" s="11">
        <f t="shared" si="23"/>
        <v>45852.25</v>
      </c>
    </row>
    <row r="66" spans="1:15" x14ac:dyDescent="0.3">
      <c r="A66" s="10">
        <f t="shared" si="19"/>
        <v>64</v>
      </c>
      <c r="B66" s="10">
        <v>5201</v>
      </c>
      <c r="C66" s="10" t="str">
        <f>VLOOKUP(B:B,재고차이!A:B,2,0)</f>
        <v>CC5201</v>
      </c>
      <c r="D66" s="10" t="str">
        <f>VLOOKUP(C:C,재고차이!B:C,2,0)</f>
        <v>S)코크제로 제로 500PET 4X6</v>
      </c>
      <c r="E66" s="200">
        <v>6</v>
      </c>
      <c r="F66" s="200"/>
      <c r="G66" s="200"/>
      <c r="H66" s="200"/>
      <c r="I66" s="164">
        <v>46197</v>
      </c>
      <c r="J66" s="199"/>
      <c r="K66" s="165">
        <f t="shared" ca="1" si="20"/>
        <v>-84.75</v>
      </c>
      <c r="L66" s="156">
        <f>IF(I66="","",SUMIF(제품등록!B:B,정리표!C:C,제품등록!F:F))</f>
        <v>365</v>
      </c>
      <c r="M66" s="11">
        <f t="shared" si="21"/>
        <v>45832</v>
      </c>
      <c r="N66" s="158">
        <f t="shared" si="22"/>
        <v>91.25</v>
      </c>
      <c r="O66" s="11">
        <f t="shared" si="23"/>
        <v>45923.25</v>
      </c>
    </row>
    <row r="67" spans="1:15" x14ac:dyDescent="0.3">
      <c r="A67" s="10">
        <f t="shared" ref="A67:A87" si="31">ROW()-2</f>
        <v>65</v>
      </c>
      <c r="B67" s="10">
        <v>5201</v>
      </c>
      <c r="C67" s="10" t="str">
        <f>VLOOKUP(B:B,재고차이!A:B,2,0)</f>
        <v>CC5201</v>
      </c>
      <c r="D67" s="10" t="str">
        <f>VLOOKUP(C:C,재고차이!B:C,2,0)</f>
        <v>S)코크제로 제로 500PET 4X6</v>
      </c>
      <c r="E67" s="200">
        <v>8</v>
      </c>
      <c r="F67" s="200"/>
      <c r="G67" s="200"/>
      <c r="H67" s="200"/>
      <c r="I67" s="164">
        <v>46198</v>
      </c>
      <c r="J67" s="199"/>
      <c r="K67" s="165">
        <f t="shared" ref="K67:K98" ca="1" si="32">IF(O67="","",O67-$I$1)</f>
        <v>-83.75</v>
      </c>
      <c r="L67" s="156">
        <f>IF(I67="","",SUMIF(제품등록!B:B,정리표!C:C,제품등록!F:F))</f>
        <v>365</v>
      </c>
      <c r="M67" s="11">
        <f t="shared" ref="M67:M98" si="33">IF(I67=0,"",I67-L67)</f>
        <v>45833</v>
      </c>
      <c r="N67" s="158">
        <f t="shared" ref="N67:N98" si="34">IF(L67="","",L67*상미75)</f>
        <v>91.25</v>
      </c>
      <c r="O67" s="11">
        <f t="shared" ref="O67:O98" si="35">IF(M67="","",M67+N67)</f>
        <v>45924.25</v>
      </c>
    </row>
    <row r="68" spans="1:15" x14ac:dyDescent="0.3">
      <c r="A68" s="10">
        <f t="shared" si="31"/>
        <v>66</v>
      </c>
      <c r="B68" s="24">
        <v>5201</v>
      </c>
      <c r="C68" s="10" t="str">
        <f>VLOOKUP(B:B,재고차이!A:B,2,0)</f>
        <v>CC5201</v>
      </c>
      <c r="D68" s="10" t="str">
        <f>VLOOKUP(C:C,재고차이!B:C,2,0)</f>
        <v>S)코크제로 제로 500PET 4X6</v>
      </c>
      <c r="E68" s="10"/>
      <c r="F68" s="10"/>
      <c r="G68" s="10">
        <v>18</v>
      </c>
      <c r="H68" s="10"/>
      <c r="I68" s="199">
        <v>46197</v>
      </c>
      <c r="J68" s="199"/>
      <c r="K68" s="165">
        <f t="shared" ca="1" si="32"/>
        <v>-84.75</v>
      </c>
      <c r="L68" s="156">
        <f>IF(I68="","",SUMIF(제품등록!B:B,정리표!C:C,제품등록!F:F))</f>
        <v>365</v>
      </c>
      <c r="M68" s="11">
        <f t="shared" si="33"/>
        <v>45832</v>
      </c>
      <c r="N68" s="158">
        <f t="shared" si="34"/>
        <v>91.25</v>
      </c>
      <c r="O68" s="11">
        <f t="shared" si="35"/>
        <v>45923.25</v>
      </c>
    </row>
    <row r="69" spans="1:15" x14ac:dyDescent="0.3">
      <c r="A69" s="10">
        <f t="shared" si="31"/>
        <v>67</v>
      </c>
      <c r="B69" s="10">
        <v>5312</v>
      </c>
      <c r="C69" s="10" t="str">
        <f>VLOOKUP(B:B,재고차이!A:B,2,0)</f>
        <v>FT5312</v>
      </c>
      <c r="D69" s="10" t="str">
        <f>VLOOKUP(C:C,재고차이!B:C,2,0)</f>
        <v>환타 파인 250CAN 5X6</v>
      </c>
      <c r="E69" s="200">
        <v>7</v>
      </c>
      <c r="F69" s="200"/>
      <c r="G69" s="200"/>
      <c r="H69" s="200"/>
      <c r="I69" s="199">
        <v>46547</v>
      </c>
      <c r="J69" s="164"/>
      <c r="K69" s="165">
        <f t="shared" ca="1" si="32"/>
        <v>-8.5</v>
      </c>
      <c r="L69" s="156">
        <f>IF(I69="","",SUMIF(제품등록!B:B,정리표!C:C,제품등록!F:F))</f>
        <v>730</v>
      </c>
      <c r="M69" s="11">
        <f t="shared" si="33"/>
        <v>45817</v>
      </c>
      <c r="N69" s="158">
        <f t="shared" si="34"/>
        <v>182.5</v>
      </c>
      <c r="O69" s="11">
        <f t="shared" si="35"/>
        <v>45999.5</v>
      </c>
    </row>
    <row r="70" spans="1:15" x14ac:dyDescent="0.3">
      <c r="A70" s="10">
        <f t="shared" si="31"/>
        <v>68</v>
      </c>
      <c r="B70" s="24">
        <v>5312</v>
      </c>
      <c r="C70" s="10" t="str">
        <f>VLOOKUP(B:B,재고차이!A:B,2,0)</f>
        <v>FT5312</v>
      </c>
      <c r="D70" s="10" t="str">
        <f>VLOOKUP(C:C,재고차이!B:C,2,0)</f>
        <v>환타 파인 250CAN 5X6</v>
      </c>
      <c r="E70" s="10"/>
      <c r="F70" s="10"/>
      <c r="G70" s="10">
        <v>128</v>
      </c>
      <c r="H70" s="10"/>
      <c r="I70" s="199">
        <v>46520</v>
      </c>
      <c r="J70" s="199"/>
      <c r="K70" s="165">
        <f t="shared" ca="1" si="32"/>
        <v>-35.5</v>
      </c>
      <c r="L70" s="156">
        <f>IF(I70="","",SUMIF(제품등록!B:B,정리표!C:C,제품등록!F:F))</f>
        <v>730</v>
      </c>
      <c r="M70" s="11">
        <f t="shared" si="33"/>
        <v>45790</v>
      </c>
      <c r="N70" s="158">
        <f t="shared" si="34"/>
        <v>182.5</v>
      </c>
      <c r="O70" s="11">
        <f t="shared" si="35"/>
        <v>45972.5</v>
      </c>
    </row>
    <row r="71" spans="1:15" x14ac:dyDescent="0.3">
      <c r="A71" s="10">
        <f t="shared" si="31"/>
        <v>69</v>
      </c>
      <c r="B71" s="10">
        <v>5375</v>
      </c>
      <c r="C71" s="10" t="str">
        <f>VLOOKUP(B:B,재고차이!A:B,2,0)</f>
        <v>GS5375</v>
      </c>
      <c r="D71" s="10" t="str">
        <f>VLOOKUP(C:C,재고차이!B:C,2,0)</f>
        <v>영진 구론산 탄산 오리지날 150NRB 3X10</v>
      </c>
      <c r="E71" s="200">
        <v>10</v>
      </c>
      <c r="F71" s="200"/>
      <c r="G71" s="200"/>
      <c r="H71" s="200"/>
      <c r="I71" s="199">
        <v>46164</v>
      </c>
      <c r="J71" s="164"/>
      <c r="K71" s="165">
        <f t="shared" ca="1" si="32"/>
        <v>-117.75</v>
      </c>
      <c r="L71" s="156">
        <f>IF(I71="","",SUMIF(제품등록!B:B,정리표!C:C,제품등록!F:F))</f>
        <v>365</v>
      </c>
      <c r="M71" s="11">
        <f t="shared" si="33"/>
        <v>45799</v>
      </c>
      <c r="N71" s="158">
        <f t="shared" si="34"/>
        <v>91.25</v>
      </c>
      <c r="O71" s="11">
        <f t="shared" si="35"/>
        <v>45890.25</v>
      </c>
    </row>
    <row r="72" spans="1:15" x14ac:dyDescent="0.3">
      <c r="A72" s="10">
        <f t="shared" si="31"/>
        <v>70</v>
      </c>
      <c r="B72" s="10">
        <v>5375</v>
      </c>
      <c r="C72" s="10" t="str">
        <f>VLOOKUP(B:B,재고차이!A:B,2,0)</f>
        <v>GS5375</v>
      </c>
      <c r="D72" s="10" t="str">
        <f>VLOOKUP(C:C,재고차이!B:C,2,0)</f>
        <v>영진 구론산 탄산 오리지날 150NRB 3X10</v>
      </c>
      <c r="E72" s="200"/>
      <c r="F72" s="200"/>
      <c r="G72" s="200">
        <v>65</v>
      </c>
      <c r="H72" s="200"/>
      <c r="I72" s="199">
        <v>46164</v>
      </c>
      <c r="J72" s="164"/>
      <c r="K72" s="165">
        <f t="shared" ca="1" si="32"/>
        <v>-117.75</v>
      </c>
      <c r="L72" s="156">
        <f>IF(I72="","",SUMIF(제품등록!B:B,정리표!C:C,제품등록!F:F))</f>
        <v>365</v>
      </c>
      <c r="M72" s="11">
        <f t="shared" si="33"/>
        <v>45799</v>
      </c>
      <c r="N72" s="158">
        <f t="shared" si="34"/>
        <v>91.25</v>
      </c>
      <c r="O72" s="11">
        <f t="shared" si="35"/>
        <v>45890.25</v>
      </c>
    </row>
    <row r="73" spans="1:15" x14ac:dyDescent="0.3">
      <c r="A73" s="10">
        <f t="shared" si="31"/>
        <v>71</v>
      </c>
      <c r="B73" s="10">
        <v>5628</v>
      </c>
      <c r="C73" s="10" t="str">
        <f>VLOOKUP(B:B,재고차이!A:B,2,0)</f>
        <v>MO5628</v>
      </c>
      <c r="D73" s="10" t="str">
        <f>VLOOKUP(C:C,재고차이!B:C,2,0)</f>
        <v>몬스터 에너지 제로슈거 355CAN 4X6</v>
      </c>
      <c r="E73" s="200">
        <v>1</v>
      </c>
      <c r="F73" s="200"/>
      <c r="G73" s="200"/>
      <c r="H73" s="200"/>
      <c r="I73" s="164">
        <v>46513</v>
      </c>
      <c r="J73" s="199"/>
      <c r="K73" s="165">
        <f t="shared" ca="1" si="32"/>
        <v>-42.5</v>
      </c>
      <c r="L73" s="156">
        <f>IF(I73="","",SUMIF(제품등록!B:B,정리표!C:C,제품등록!F:F))</f>
        <v>730</v>
      </c>
      <c r="M73" s="11">
        <f t="shared" si="33"/>
        <v>45783</v>
      </c>
      <c r="N73" s="158">
        <f t="shared" si="34"/>
        <v>182.5</v>
      </c>
      <c r="O73" s="11">
        <f t="shared" si="35"/>
        <v>45965.5</v>
      </c>
    </row>
    <row r="74" spans="1:15" x14ac:dyDescent="0.3">
      <c r="A74" s="10">
        <f t="shared" si="31"/>
        <v>72</v>
      </c>
      <c r="B74" s="24">
        <v>5628</v>
      </c>
      <c r="C74" s="10" t="str">
        <f>VLOOKUP(B:B,재고차이!A:B,2,0)</f>
        <v>MO5628</v>
      </c>
      <c r="D74" s="10" t="str">
        <f>VLOOKUP(C:C,재고차이!B:C,2,0)</f>
        <v>몬스터 에너지 제로슈거 355CAN 4X6</v>
      </c>
      <c r="E74" s="10"/>
      <c r="F74" s="10"/>
      <c r="G74" s="10">
        <v>89</v>
      </c>
      <c r="H74" s="10"/>
      <c r="I74" s="199">
        <v>46513</v>
      </c>
      <c r="J74" s="199"/>
      <c r="K74" s="165">
        <f t="shared" ca="1" si="32"/>
        <v>-42.5</v>
      </c>
      <c r="L74" s="156">
        <f>IF(I74="","",SUMIF(제품등록!B:B,정리표!C:C,제품등록!F:F))</f>
        <v>730</v>
      </c>
      <c r="M74" s="11">
        <f t="shared" si="33"/>
        <v>45783</v>
      </c>
      <c r="N74" s="158">
        <f t="shared" si="34"/>
        <v>182.5</v>
      </c>
      <c r="O74" s="11">
        <f t="shared" si="35"/>
        <v>45965.5</v>
      </c>
    </row>
    <row r="75" spans="1:15" x14ac:dyDescent="0.3">
      <c r="A75" s="10">
        <f t="shared" si="31"/>
        <v>73</v>
      </c>
      <c r="B75" s="10">
        <v>5636</v>
      </c>
      <c r="C75" s="10" t="str">
        <f>VLOOKUP(B:B,재고차이!A:B,2,0)</f>
        <v>MO5636</v>
      </c>
      <c r="D75" s="10" t="str">
        <f>VLOOKUP(C:C,재고차이!B:C,2,0)</f>
        <v>몬스터 에너지 펀치 355CAN 4X6</v>
      </c>
      <c r="E75" s="200">
        <f>12+2</f>
        <v>14</v>
      </c>
      <c r="F75" s="200"/>
      <c r="G75" s="200"/>
      <c r="H75" s="200"/>
      <c r="I75" s="164">
        <v>46535</v>
      </c>
      <c r="J75" s="199"/>
      <c r="K75" s="165">
        <f t="shared" ca="1" si="32"/>
        <v>-20.5</v>
      </c>
      <c r="L75" s="156">
        <f>IF(I75="","",SUMIF(제품등록!B:B,정리표!C:C,제품등록!F:F))</f>
        <v>730</v>
      </c>
      <c r="M75" s="11">
        <f t="shared" si="33"/>
        <v>45805</v>
      </c>
      <c r="N75" s="158">
        <f t="shared" si="34"/>
        <v>182.5</v>
      </c>
      <c r="O75" s="11">
        <f t="shared" si="35"/>
        <v>45987.5</v>
      </c>
    </row>
    <row r="76" spans="1:15" x14ac:dyDescent="0.3">
      <c r="A76" s="10">
        <f t="shared" si="31"/>
        <v>74</v>
      </c>
      <c r="B76" s="24">
        <v>5636</v>
      </c>
      <c r="C76" s="10" t="str">
        <f>VLOOKUP(B:B,재고차이!A:B,2,0)</f>
        <v>MO5636</v>
      </c>
      <c r="D76" s="10" t="str">
        <f>VLOOKUP(C:C,재고차이!B:C,2,0)</f>
        <v>몬스터 에너지 펀치 355CAN 4X6</v>
      </c>
      <c r="E76" s="10"/>
      <c r="F76" s="10"/>
      <c r="G76" s="10">
        <v>14</v>
      </c>
      <c r="H76" s="10"/>
      <c r="I76" s="199">
        <v>46535</v>
      </c>
      <c r="J76" s="199"/>
      <c r="K76" s="165">
        <f t="shared" ca="1" si="32"/>
        <v>-20.5</v>
      </c>
      <c r="L76" s="156">
        <f>IF(I76="","",SUMIF(제품등록!B:B,정리표!C:C,제품등록!F:F))</f>
        <v>730</v>
      </c>
      <c r="M76" s="11">
        <f t="shared" si="33"/>
        <v>45805</v>
      </c>
      <c r="N76" s="158">
        <f t="shared" si="34"/>
        <v>182.5</v>
      </c>
      <c r="O76" s="11">
        <f t="shared" si="35"/>
        <v>45987.5</v>
      </c>
    </row>
    <row r="77" spans="1:15" x14ac:dyDescent="0.3">
      <c r="A77" s="10">
        <f t="shared" si="31"/>
        <v>75</v>
      </c>
      <c r="B77" s="10">
        <v>5639</v>
      </c>
      <c r="C77" s="10" t="str">
        <f>VLOOKUP(B:B,재고차이!A:B,2,0)</f>
        <v>MO5639</v>
      </c>
      <c r="D77" s="10" t="str">
        <f>VLOOKUP(C:C,재고차이!B:C,2,0)</f>
        <v>몬스터 에너지 시트라 355CAN 4X6</v>
      </c>
      <c r="E77" s="200">
        <f>16+1</f>
        <v>17</v>
      </c>
      <c r="F77" s="200"/>
      <c r="G77" s="200"/>
      <c r="H77" s="200"/>
      <c r="I77" s="164">
        <v>46553</v>
      </c>
      <c r="J77" s="199"/>
      <c r="K77" s="165">
        <f t="shared" ca="1" si="32"/>
        <v>-2.5</v>
      </c>
      <c r="L77" s="156">
        <f>IF(I77="","",SUMIF(제품등록!B:B,정리표!C:C,제품등록!F:F))</f>
        <v>730</v>
      </c>
      <c r="M77" s="11">
        <f t="shared" si="33"/>
        <v>45823</v>
      </c>
      <c r="N77" s="158">
        <f t="shared" si="34"/>
        <v>182.5</v>
      </c>
      <c r="O77" s="11">
        <f t="shared" si="35"/>
        <v>46005.5</v>
      </c>
    </row>
    <row r="78" spans="1:15" x14ac:dyDescent="0.3">
      <c r="A78" s="10">
        <f t="shared" si="31"/>
        <v>76</v>
      </c>
      <c r="B78" s="10">
        <v>5639</v>
      </c>
      <c r="C78" s="10" t="str">
        <f>VLOOKUP(B:B,재고차이!A:B,2,0)</f>
        <v>MO5639</v>
      </c>
      <c r="D78" s="10" t="str">
        <f>VLOOKUP(C:C,재고차이!B:C,2,0)</f>
        <v>몬스터 에너지 시트라 355CAN 4X6</v>
      </c>
      <c r="E78" s="10"/>
      <c r="F78" s="10"/>
      <c r="G78" s="10">
        <v>6</v>
      </c>
      <c r="H78" s="10"/>
      <c r="I78" s="199">
        <v>46553</v>
      </c>
      <c r="J78" s="199"/>
      <c r="K78" s="165">
        <f t="shared" ca="1" si="32"/>
        <v>-2.5</v>
      </c>
      <c r="L78" s="156">
        <f>IF(I78="","",SUMIF(제품등록!B:B,정리표!C:C,제품등록!F:F))</f>
        <v>730</v>
      </c>
      <c r="M78" s="11">
        <f t="shared" si="33"/>
        <v>45823</v>
      </c>
      <c r="N78" s="158">
        <f t="shared" si="34"/>
        <v>182.5</v>
      </c>
      <c r="O78" s="11">
        <f t="shared" si="35"/>
        <v>46005.5</v>
      </c>
    </row>
    <row r="79" spans="1:15" x14ac:dyDescent="0.3">
      <c r="A79" s="10">
        <f t="shared" si="31"/>
        <v>77</v>
      </c>
      <c r="B79" s="10">
        <v>5641</v>
      </c>
      <c r="C79" s="10" t="str">
        <f>VLOOKUP(B:B,재고차이!A:B,2,0)</f>
        <v>MO5641</v>
      </c>
      <c r="D79" s="10" t="str">
        <f>VLOOKUP(C:C,재고차이!B:C,2,0)</f>
        <v>몬스터에너지그린355C 4X6</v>
      </c>
      <c r="E79" s="10">
        <f>3+8</f>
        <v>11</v>
      </c>
      <c r="F79" s="200"/>
      <c r="G79" s="200"/>
      <c r="H79" s="200"/>
      <c r="I79" s="164">
        <v>46549</v>
      </c>
      <c r="J79" s="199"/>
      <c r="K79" s="165">
        <f t="shared" ca="1" si="32"/>
        <v>-6.5</v>
      </c>
      <c r="L79" s="156">
        <f>IF(I79="","",SUMIF(제품등록!B:B,정리표!C:C,제품등록!F:F))</f>
        <v>730</v>
      </c>
      <c r="M79" s="11">
        <f t="shared" si="33"/>
        <v>45819</v>
      </c>
      <c r="N79" s="158">
        <f t="shared" si="34"/>
        <v>182.5</v>
      </c>
      <c r="O79" s="11">
        <f t="shared" si="35"/>
        <v>46001.5</v>
      </c>
    </row>
    <row r="80" spans="1:15" x14ac:dyDescent="0.3">
      <c r="A80" s="10">
        <f t="shared" si="31"/>
        <v>78</v>
      </c>
      <c r="B80" s="24">
        <v>5641</v>
      </c>
      <c r="C80" s="10" t="str">
        <f>VLOOKUP(B:B,재고차이!A:B,2,0)</f>
        <v>MO5641</v>
      </c>
      <c r="D80" s="10" t="str">
        <f>VLOOKUP(C:C,재고차이!B:C,2,0)</f>
        <v>몬스터에너지그린355C 4X6</v>
      </c>
      <c r="E80" s="10"/>
      <c r="F80" s="10"/>
      <c r="G80" s="10">
        <v>9</v>
      </c>
      <c r="H80" s="10"/>
      <c r="I80" s="199">
        <v>46548</v>
      </c>
      <c r="J80" s="199"/>
      <c r="K80" s="165">
        <f t="shared" ca="1" si="32"/>
        <v>-7.5</v>
      </c>
      <c r="L80" s="156">
        <f>IF(I80="","",SUMIF(제품등록!B:B,정리표!C:C,제품등록!F:F))</f>
        <v>730</v>
      </c>
      <c r="M80" s="11">
        <f t="shared" si="33"/>
        <v>45818</v>
      </c>
      <c r="N80" s="158">
        <f t="shared" si="34"/>
        <v>182.5</v>
      </c>
      <c r="O80" s="11">
        <f t="shared" si="35"/>
        <v>46000.5</v>
      </c>
    </row>
    <row r="81" spans="1:15" x14ac:dyDescent="0.3">
      <c r="A81" s="10">
        <f t="shared" si="31"/>
        <v>79</v>
      </c>
      <c r="B81" s="10">
        <v>5643</v>
      </c>
      <c r="C81" s="10" t="str">
        <f>VLOOKUP(B:B,재고차이!A:B,2,0)</f>
        <v>MO5643</v>
      </c>
      <c r="D81" s="10" t="str">
        <f>VLOOKUP(C:C,재고차이!B:C,2,0)</f>
        <v>몬스터 에너지 울트라 355CAN 4X6</v>
      </c>
      <c r="E81" s="200">
        <v>3</v>
      </c>
      <c r="F81" s="200"/>
      <c r="G81" s="200"/>
      <c r="H81" s="200"/>
      <c r="I81" s="164">
        <v>46548</v>
      </c>
      <c r="J81" s="199"/>
      <c r="K81" s="165">
        <f t="shared" ca="1" si="32"/>
        <v>-7.5</v>
      </c>
      <c r="L81" s="156">
        <f>IF(I81="","",SUMIF(제품등록!B:B,정리표!C:C,제품등록!F:F))</f>
        <v>730</v>
      </c>
      <c r="M81" s="11">
        <f t="shared" si="33"/>
        <v>45818</v>
      </c>
      <c r="N81" s="158">
        <f t="shared" si="34"/>
        <v>182.5</v>
      </c>
      <c r="O81" s="11">
        <f t="shared" si="35"/>
        <v>46000.5</v>
      </c>
    </row>
    <row r="82" spans="1:15" x14ac:dyDescent="0.3">
      <c r="A82" s="10">
        <f t="shared" si="31"/>
        <v>80</v>
      </c>
      <c r="B82" s="10">
        <v>5643</v>
      </c>
      <c r="C82" s="10" t="str">
        <f>VLOOKUP(B:B,재고차이!A:B,2,0)</f>
        <v>MO5643</v>
      </c>
      <c r="D82" s="10" t="str">
        <f>VLOOKUP(C:C,재고차이!B:C,2,0)</f>
        <v>몬스터 에너지 울트라 355CAN 4X6</v>
      </c>
      <c r="E82" s="200">
        <f>9+5</f>
        <v>14</v>
      </c>
      <c r="F82" s="200"/>
      <c r="G82" s="200"/>
      <c r="H82" s="200"/>
      <c r="I82" s="164">
        <v>46556</v>
      </c>
      <c r="J82" s="199"/>
      <c r="K82" s="165">
        <f t="shared" ca="1" si="32"/>
        <v>0.5</v>
      </c>
      <c r="L82" s="156">
        <f>IF(I82="","",SUMIF(제품등록!B:B,정리표!C:C,제품등록!F:F))</f>
        <v>730</v>
      </c>
      <c r="M82" s="11">
        <f t="shared" si="33"/>
        <v>45826</v>
      </c>
      <c r="N82" s="158">
        <f t="shared" si="34"/>
        <v>182.5</v>
      </c>
      <c r="O82" s="11">
        <f t="shared" si="35"/>
        <v>46008.5</v>
      </c>
    </row>
    <row r="83" spans="1:15" x14ac:dyDescent="0.3">
      <c r="A83" s="10">
        <f t="shared" si="31"/>
        <v>81</v>
      </c>
      <c r="B83" s="10">
        <v>5643</v>
      </c>
      <c r="C83" s="10" t="str">
        <f>VLOOKUP(B:B,재고차이!A:B,2,0)</f>
        <v>MO5643</v>
      </c>
      <c r="D83" s="10" t="str">
        <f>VLOOKUP(C:C,재고차이!B:C,2,0)</f>
        <v>몬스터 에너지 울트라 355CAN 4X6</v>
      </c>
      <c r="E83" s="10"/>
      <c r="F83" s="10"/>
      <c r="G83" s="10">
        <v>93</v>
      </c>
      <c r="H83" s="10"/>
      <c r="I83" s="199">
        <v>46556</v>
      </c>
      <c r="J83" s="199"/>
      <c r="K83" s="165">
        <f t="shared" ca="1" si="32"/>
        <v>0.5</v>
      </c>
      <c r="L83" s="156">
        <f>IF(I83="","",SUMIF(제품등록!B:B,정리표!C:C,제품등록!F:F))</f>
        <v>730</v>
      </c>
      <c r="M83" s="11">
        <f t="shared" si="33"/>
        <v>45826</v>
      </c>
      <c r="N83" s="158">
        <f t="shared" si="34"/>
        <v>182.5</v>
      </c>
      <c r="O83" s="11">
        <f t="shared" si="35"/>
        <v>46008.5</v>
      </c>
    </row>
    <row r="84" spans="1:15" x14ac:dyDescent="0.3">
      <c r="A84" s="10">
        <f t="shared" si="31"/>
        <v>82</v>
      </c>
      <c r="B84" s="10">
        <v>5651</v>
      </c>
      <c r="C84" s="10" t="str">
        <f>VLOOKUP(B:B,재고차이!A:B,2,0)</f>
        <v>PC5651</v>
      </c>
      <c r="D84" s="10" t="str">
        <f>VLOOKUP(C:C,재고차이!B:C,2,0)</f>
        <v>강원평창수(올림픽) 500PET X20</v>
      </c>
      <c r="E84" s="200">
        <v>12</v>
      </c>
      <c r="F84" s="200"/>
      <c r="G84" s="200"/>
      <c r="H84" s="200"/>
      <c r="I84" s="164">
        <v>46164</v>
      </c>
      <c r="J84" s="164"/>
      <c r="K84" s="165">
        <f t="shared" ca="1" si="32"/>
        <v>-117.75</v>
      </c>
      <c r="L84" s="156">
        <f>IF(I84="","",SUMIF(제품등록!B:B,정리표!C:C,제품등록!F:F))</f>
        <v>365</v>
      </c>
      <c r="M84" s="11">
        <f t="shared" si="33"/>
        <v>45799</v>
      </c>
      <c r="N84" s="158">
        <f t="shared" si="34"/>
        <v>91.25</v>
      </c>
      <c r="O84" s="11">
        <f t="shared" si="35"/>
        <v>45890.25</v>
      </c>
    </row>
    <row r="85" spans="1:15" x14ac:dyDescent="0.3">
      <c r="A85" s="10">
        <f t="shared" si="31"/>
        <v>83</v>
      </c>
      <c r="B85" s="10">
        <v>5651</v>
      </c>
      <c r="C85" s="10" t="str">
        <f>VLOOKUP(B:B,재고차이!A:B,2,0)</f>
        <v>PC5651</v>
      </c>
      <c r="D85" s="10" t="str">
        <f>VLOOKUP(C:C,재고차이!B:C,2,0)</f>
        <v>강원평창수(올림픽) 500PET X20</v>
      </c>
      <c r="E85" s="200"/>
      <c r="F85" s="200"/>
      <c r="G85" s="200">
        <v>80</v>
      </c>
      <c r="H85" s="200"/>
      <c r="I85" s="164">
        <v>46164</v>
      </c>
      <c r="J85" s="164"/>
      <c r="K85" s="165">
        <f t="shared" ca="1" si="32"/>
        <v>-117.75</v>
      </c>
      <c r="L85" s="156">
        <f>IF(I85="","",SUMIF(제품등록!B:B,정리표!C:C,제품등록!F:F))</f>
        <v>365</v>
      </c>
      <c r="M85" s="11">
        <f t="shared" si="33"/>
        <v>45799</v>
      </c>
      <c r="N85" s="158">
        <f t="shared" si="34"/>
        <v>91.25</v>
      </c>
      <c r="O85" s="11">
        <f t="shared" si="35"/>
        <v>45890.25</v>
      </c>
    </row>
    <row r="86" spans="1:15" x14ac:dyDescent="0.3">
      <c r="A86" s="10">
        <f t="shared" si="31"/>
        <v>84</v>
      </c>
      <c r="B86" s="10">
        <v>5656</v>
      </c>
      <c r="C86" s="10" t="str">
        <f>VLOOKUP(B:B,재고차이!A:B,2,0)</f>
        <v>MO5656</v>
      </c>
      <c r="D86" s="10" t="str">
        <f>VLOOKUP(C:C,재고차이!B:C,2,0)</f>
        <v>몬스터 에너지 망고로코 355CAN 4X6</v>
      </c>
      <c r="E86" s="200">
        <v>4</v>
      </c>
      <c r="F86" s="200"/>
      <c r="G86" s="200"/>
      <c r="H86" s="200"/>
      <c r="I86" s="164">
        <v>46542</v>
      </c>
      <c r="J86" s="199"/>
      <c r="K86" s="165">
        <f t="shared" ca="1" si="32"/>
        <v>-13.5</v>
      </c>
      <c r="L86" s="156">
        <f>IF(I86="","",SUMIF(제품등록!B:B,정리표!C:C,제품등록!F:F))</f>
        <v>730</v>
      </c>
      <c r="M86" s="11">
        <f t="shared" si="33"/>
        <v>45812</v>
      </c>
      <c r="N86" s="158">
        <f t="shared" si="34"/>
        <v>182.5</v>
      </c>
      <c r="O86" s="11">
        <f t="shared" si="35"/>
        <v>45994.5</v>
      </c>
    </row>
    <row r="87" spans="1:15" x14ac:dyDescent="0.3">
      <c r="A87" s="10">
        <f t="shared" si="31"/>
        <v>85</v>
      </c>
      <c r="B87" s="10">
        <v>5656</v>
      </c>
      <c r="C87" s="10" t="str">
        <f>VLOOKUP(B:B,재고차이!A:B,2,0)</f>
        <v>MO5656</v>
      </c>
      <c r="D87" s="10" t="str">
        <f>VLOOKUP(C:C,재고차이!B:C,2,0)</f>
        <v>몬스터 에너지 망고로코 355CAN 4X6</v>
      </c>
      <c r="E87" s="200">
        <v>14</v>
      </c>
      <c r="F87" s="200"/>
      <c r="G87" s="200"/>
      <c r="H87" s="200"/>
      <c r="I87" s="164">
        <v>46543</v>
      </c>
      <c r="J87" s="199"/>
      <c r="K87" s="165">
        <f t="shared" ca="1" si="32"/>
        <v>-12.5</v>
      </c>
      <c r="L87" s="156">
        <f>IF(I87="","",SUMIF(제품등록!B:B,정리표!C:C,제품등록!F:F))</f>
        <v>730</v>
      </c>
      <c r="M87" s="11">
        <f t="shared" si="33"/>
        <v>45813</v>
      </c>
      <c r="N87" s="158">
        <f t="shared" si="34"/>
        <v>182.5</v>
      </c>
      <c r="O87" s="11">
        <f t="shared" si="35"/>
        <v>45995.5</v>
      </c>
    </row>
    <row r="88" spans="1:15" x14ac:dyDescent="0.3">
      <c r="A88" s="10">
        <v>55</v>
      </c>
      <c r="B88" s="10">
        <v>5656</v>
      </c>
      <c r="C88" s="10" t="s">
        <v>2328</v>
      </c>
      <c r="D88" s="10" t="s">
        <v>2329</v>
      </c>
      <c r="E88" s="10"/>
      <c r="F88" s="10"/>
      <c r="G88" s="10">
        <v>4</v>
      </c>
      <c r="H88" s="10"/>
      <c r="I88" s="199">
        <v>46543</v>
      </c>
      <c r="J88" s="199"/>
      <c r="K88" s="165">
        <f t="shared" ca="1" si="32"/>
        <v>-12.5</v>
      </c>
      <c r="L88" s="156">
        <f>IF(I88="","",SUMIF(제품등록!B:B,정리표!C:C,제품등록!F:F))</f>
        <v>730</v>
      </c>
      <c r="M88" s="11">
        <f t="shared" si="33"/>
        <v>45813</v>
      </c>
      <c r="N88" s="158">
        <f t="shared" si="34"/>
        <v>182.5</v>
      </c>
      <c r="O88" s="11">
        <f t="shared" si="35"/>
        <v>45995.5</v>
      </c>
    </row>
    <row r="89" spans="1:15" x14ac:dyDescent="0.3">
      <c r="A89" s="10">
        <f t="shared" ref="A89:A94" si="36">ROW()-2</f>
        <v>87</v>
      </c>
      <c r="B89" s="10">
        <v>5662</v>
      </c>
      <c r="C89" s="10" t="str">
        <f>VLOOKUP(B:B,재고차이!A:B,2,0)</f>
        <v>MO5662</v>
      </c>
      <c r="D89" s="10" t="str">
        <f>VLOOKUP(C:C,재고차이!B:C,2,0)</f>
        <v>몬스터 에너지 선라이즈 355CAN 4X6</v>
      </c>
      <c r="E89" s="200">
        <v>8</v>
      </c>
      <c r="F89" s="200"/>
      <c r="G89" s="200"/>
      <c r="H89" s="200"/>
      <c r="I89" s="164">
        <v>46478</v>
      </c>
      <c r="J89" s="199"/>
      <c r="K89" s="165">
        <f t="shared" ca="1" si="32"/>
        <v>-77.5</v>
      </c>
      <c r="L89" s="156">
        <f>IF(I89="","",SUMIF(제품등록!B:B,정리표!C:C,제품등록!F:F))</f>
        <v>730</v>
      </c>
      <c r="M89" s="11">
        <f t="shared" si="33"/>
        <v>45748</v>
      </c>
      <c r="N89" s="158">
        <f t="shared" si="34"/>
        <v>182.5</v>
      </c>
      <c r="O89" s="11">
        <f t="shared" si="35"/>
        <v>45930.5</v>
      </c>
    </row>
    <row r="90" spans="1:15" x14ac:dyDescent="0.3">
      <c r="A90" s="10">
        <f t="shared" si="36"/>
        <v>88</v>
      </c>
      <c r="B90" s="24">
        <v>5662</v>
      </c>
      <c r="C90" s="10" t="str">
        <f>VLOOKUP(B:B,재고차이!A:B,2,0)</f>
        <v>MO5662</v>
      </c>
      <c r="D90" s="10" t="str">
        <f>VLOOKUP(C:C,재고차이!B:C,2,0)</f>
        <v>몬스터 에너지 선라이즈 355CAN 4X6</v>
      </c>
      <c r="E90" s="10"/>
      <c r="F90" s="10"/>
      <c r="G90" s="10">
        <v>33</v>
      </c>
      <c r="H90" s="10"/>
      <c r="I90" s="199">
        <v>46478</v>
      </c>
      <c r="J90" s="199"/>
      <c r="K90" s="165">
        <f t="shared" ca="1" si="32"/>
        <v>-77.5</v>
      </c>
      <c r="L90" s="156">
        <f>IF(I90="","",SUMIF(제품등록!B:B,정리표!C:C,제품등록!F:F))</f>
        <v>730</v>
      </c>
      <c r="M90" s="11">
        <f t="shared" si="33"/>
        <v>45748</v>
      </c>
      <c r="N90" s="158">
        <f t="shared" si="34"/>
        <v>182.5</v>
      </c>
      <c r="O90" s="11">
        <f t="shared" si="35"/>
        <v>45930.5</v>
      </c>
    </row>
    <row r="91" spans="1:15" x14ac:dyDescent="0.3">
      <c r="A91" s="10">
        <f t="shared" si="36"/>
        <v>89</v>
      </c>
      <c r="B91" s="10">
        <v>5664</v>
      </c>
      <c r="C91" s="10" t="str">
        <f>VLOOKUP(B:B,재고차이!A:B,2,0)</f>
        <v>MO5664</v>
      </c>
      <c r="D91" s="10" t="str">
        <f>VLOOKUP(C:C,재고차이!B:C,2,0)</f>
        <v>몬스터 에너지 피치킨 355CAN 4X6</v>
      </c>
      <c r="E91" s="200">
        <v>16</v>
      </c>
      <c r="F91" s="200"/>
      <c r="G91" s="200"/>
      <c r="H91" s="200"/>
      <c r="I91" s="164">
        <v>46471</v>
      </c>
      <c r="J91" s="199"/>
      <c r="K91" s="165">
        <f t="shared" ca="1" si="32"/>
        <v>-84.5</v>
      </c>
      <c r="L91" s="156">
        <f>IF(I91="","",SUMIF(제품등록!B:B,정리표!C:C,제품등록!F:F))</f>
        <v>730</v>
      </c>
      <c r="M91" s="11">
        <f t="shared" si="33"/>
        <v>45741</v>
      </c>
      <c r="N91" s="158">
        <f t="shared" si="34"/>
        <v>182.5</v>
      </c>
      <c r="O91" s="11">
        <f t="shared" si="35"/>
        <v>45923.5</v>
      </c>
    </row>
    <row r="92" spans="1:15" x14ac:dyDescent="0.3">
      <c r="A92" s="10">
        <f t="shared" si="36"/>
        <v>90</v>
      </c>
      <c r="B92" s="24">
        <v>5664</v>
      </c>
      <c r="C92" s="10" t="str">
        <f>VLOOKUP(B:B,재고차이!A:B,2,0)</f>
        <v>MO5664</v>
      </c>
      <c r="D92" s="10" t="str">
        <f>VLOOKUP(C:C,재고차이!B:C,2,0)</f>
        <v>몬스터 에너지 피치킨 355CAN 4X6</v>
      </c>
      <c r="E92" s="10"/>
      <c r="F92" s="10"/>
      <c r="G92" s="10">
        <v>36</v>
      </c>
      <c r="H92" s="10"/>
      <c r="I92" s="199">
        <v>46471</v>
      </c>
      <c r="J92" s="199"/>
      <c r="K92" s="165">
        <f t="shared" ca="1" si="32"/>
        <v>-84.5</v>
      </c>
      <c r="L92" s="156">
        <f>IF(I92="","",SUMIF(제품등록!B:B,정리표!C:C,제품등록!F:F))</f>
        <v>730</v>
      </c>
      <c r="M92" s="11">
        <f t="shared" si="33"/>
        <v>45741</v>
      </c>
      <c r="N92" s="158">
        <f t="shared" si="34"/>
        <v>182.5</v>
      </c>
      <c r="O92" s="11">
        <f t="shared" si="35"/>
        <v>45923.5</v>
      </c>
    </row>
    <row r="93" spans="1:15" x14ac:dyDescent="0.3">
      <c r="A93" s="10">
        <f t="shared" si="36"/>
        <v>91</v>
      </c>
      <c r="B93" s="10">
        <v>5668</v>
      </c>
      <c r="C93" s="10" t="str">
        <f>VLOOKUP(B:B,재고차이!A:B,2,0)</f>
        <v>MO5668</v>
      </c>
      <c r="D93" s="10" t="str">
        <f>VLOOKUP(C:C,재고차이!B:C,2,0)</f>
        <v>몬스터 오지 레모네이드 355CAN 4X6</v>
      </c>
      <c r="E93" s="200">
        <v>13</v>
      </c>
      <c r="F93" s="200"/>
      <c r="G93" s="200"/>
      <c r="H93" s="200"/>
      <c r="I93" s="164">
        <v>46516</v>
      </c>
      <c r="J93" s="199"/>
      <c r="K93" s="165">
        <f t="shared" ca="1" si="32"/>
        <v>-39.5</v>
      </c>
      <c r="L93" s="156">
        <f>IF(I93="","",SUMIF(제품등록!B:B,정리표!C:C,제품등록!F:F))</f>
        <v>730</v>
      </c>
      <c r="M93" s="11">
        <f t="shared" si="33"/>
        <v>45786</v>
      </c>
      <c r="N93" s="158">
        <f t="shared" si="34"/>
        <v>182.5</v>
      </c>
      <c r="O93" s="11">
        <f t="shared" si="35"/>
        <v>45968.5</v>
      </c>
    </row>
    <row r="94" spans="1:15" x14ac:dyDescent="0.3">
      <c r="A94" s="10">
        <f t="shared" si="36"/>
        <v>92</v>
      </c>
      <c r="B94" s="24">
        <v>5668</v>
      </c>
      <c r="C94" s="10" t="str">
        <f>VLOOKUP(B:B,재고차이!A:B,2,0)</f>
        <v>MO5668</v>
      </c>
      <c r="D94" s="10" t="str">
        <f>VLOOKUP(C:C,재고차이!B:C,2,0)</f>
        <v>몬스터 오지 레모네이드 355CAN 4X6</v>
      </c>
      <c r="E94" s="10"/>
      <c r="F94" s="10"/>
      <c r="G94" s="10">
        <v>34</v>
      </c>
      <c r="H94" s="10"/>
      <c r="I94" s="199">
        <v>46515</v>
      </c>
      <c r="J94" s="199"/>
      <c r="K94" s="165">
        <f t="shared" ca="1" si="32"/>
        <v>-40.5</v>
      </c>
      <c r="L94" s="156">
        <f>IF(I94="","",SUMIF(제품등록!B:B,정리표!C:C,제품등록!F:F))</f>
        <v>730</v>
      </c>
      <c r="M94" s="11">
        <f t="shared" si="33"/>
        <v>45785</v>
      </c>
      <c r="N94" s="158">
        <f t="shared" si="34"/>
        <v>182.5</v>
      </c>
      <c r="O94" s="11">
        <f t="shared" si="35"/>
        <v>45967.5</v>
      </c>
    </row>
    <row r="95" spans="1:15" x14ac:dyDescent="0.3">
      <c r="A95" s="10">
        <v>27</v>
      </c>
      <c r="B95" s="10">
        <v>5672</v>
      </c>
      <c r="C95" s="10" t="str">
        <f>VLOOKUP(B:B,재고차이!A:B,2,0)</f>
        <v>MO5672</v>
      </c>
      <c r="D95" s="10" t="str">
        <f>VLOOKUP(C:C,재고차이!B:C,2,0)</f>
        <v>몬스터 에너지 그린 500CAN 4X6</v>
      </c>
      <c r="E95" s="200">
        <v>7</v>
      </c>
      <c r="F95" s="200"/>
      <c r="G95" s="200"/>
      <c r="H95" s="200"/>
      <c r="I95" s="164">
        <v>46484</v>
      </c>
      <c r="J95" s="199"/>
      <c r="K95" s="165">
        <f t="shared" ca="1" si="32"/>
        <v>-71.5</v>
      </c>
      <c r="L95" s="156">
        <f>IF(I95="","",SUMIF(제품등록!B:B,정리표!C:C,제품등록!F:F))</f>
        <v>730</v>
      </c>
      <c r="M95" s="11">
        <f t="shared" si="33"/>
        <v>45754</v>
      </c>
      <c r="N95" s="158">
        <f t="shared" si="34"/>
        <v>182.5</v>
      </c>
      <c r="O95" s="11">
        <f t="shared" si="35"/>
        <v>45936.5</v>
      </c>
    </row>
    <row r="96" spans="1:15" x14ac:dyDescent="0.3">
      <c r="A96" s="10">
        <f t="shared" ref="A96:A127" si="37">ROW()-2</f>
        <v>94</v>
      </c>
      <c r="B96" s="24">
        <v>5672</v>
      </c>
      <c r="C96" s="10" t="str">
        <f>VLOOKUP(B:B,재고차이!A:B,2,0)</f>
        <v>MO5672</v>
      </c>
      <c r="D96" s="10" t="str">
        <f>VLOOKUP(C:C,재고차이!B:C,2,0)</f>
        <v>몬스터 에너지 그린 500CAN 4X6</v>
      </c>
      <c r="E96" s="10"/>
      <c r="F96" s="10"/>
      <c r="G96" s="10">
        <v>42</v>
      </c>
      <c r="H96" s="10"/>
      <c r="I96" s="199">
        <v>46484</v>
      </c>
      <c r="J96" s="199"/>
      <c r="K96" s="165">
        <f t="shared" ca="1" si="32"/>
        <v>-71.5</v>
      </c>
      <c r="L96" s="156">
        <f>IF(I96="","",SUMIF(제품등록!B:B,정리표!C:C,제품등록!F:F))</f>
        <v>730</v>
      </c>
      <c r="M96" s="11">
        <f t="shared" si="33"/>
        <v>45754</v>
      </c>
      <c r="N96" s="158">
        <f t="shared" si="34"/>
        <v>182.5</v>
      </c>
      <c r="O96" s="11">
        <f t="shared" si="35"/>
        <v>45936.5</v>
      </c>
    </row>
    <row r="97" spans="1:15" x14ac:dyDescent="0.3">
      <c r="A97" s="10">
        <f t="shared" si="37"/>
        <v>95</v>
      </c>
      <c r="B97" s="10">
        <v>5673</v>
      </c>
      <c r="C97" s="10" t="str">
        <f>VLOOKUP(B:B,재고차이!A:B,2,0)</f>
        <v>MO5673</v>
      </c>
      <c r="D97" s="10" t="str">
        <f>VLOOKUP(C:C,재고차이!B:C,2,0)</f>
        <v>몬스터 에너지 울트라 500CAN 4X6</v>
      </c>
      <c r="E97" s="200">
        <v>3</v>
      </c>
      <c r="F97" s="200"/>
      <c r="G97" s="200"/>
      <c r="H97" s="200"/>
      <c r="I97" s="164">
        <v>46485</v>
      </c>
      <c r="J97" s="199"/>
      <c r="K97" s="165">
        <f t="shared" ca="1" si="32"/>
        <v>-70.5</v>
      </c>
      <c r="L97" s="156">
        <f>IF(I97="","",SUMIF(제품등록!B:B,정리표!C:C,제품등록!F:F))</f>
        <v>730</v>
      </c>
      <c r="M97" s="11">
        <f t="shared" si="33"/>
        <v>45755</v>
      </c>
      <c r="N97" s="158">
        <f t="shared" si="34"/>
        <v>182.5</v>
      </c>
      <c r="O97" s="11">
        <f t="shared" si="35"/>
        <v>45937.5</v>
      </c>
    </row>
    <row r="98" spans="1:15" x14ac:dyDescent="0.3">
      <c r="A98" s="10">
        <f t="shared" si="37"/>
        <v>96</v>
      </c>
      <c r="B98" s="24">
        <v>5673</v>
      </c>
      <c r="C98" s="10" t="str">
        <f>VLOOKUP(B:B,재고차이!A:B,2,0)</f>
        <v>MO5673</v>
      </c>
      <c r="D98" s="10" t="str">
        <f>VLOOKUP(C:C,재고차이!B:C,2,0)</f>
        <v>몬스터 에너지 울트라 500CAN 4X6</v>
      </c>
      <c r="E98" s="10"/>
      <c r="F98" s="10"/>
      <c r="G98" s="10">
        <v>60</v>
      </c>
      <c r="H98" s="10"/>
      <c r="I98" s="199">
        <v>46485</v>
      </c>
      <c r="J98" s="199"/>
      <c r="K98" s="165">
        <f t="shared" ca="1" si="32"/>
        <v>-70.5</v>
      </c>
      <c r="L98" s="156">
        <f>IF(I98="","",SUMIF(제품등록!B:B,정리표!C:C,제품등록!F:F))</f>
        <v>730</v>
      </c>
      <c r="M98" s="11">
        <f t="shared" si="33"/>
        <v>45755</v>
      </c>
      <c r="N98" s="158">
        <f t="shared" si="34"/>
        <v>182.5</v>
      </c>
      <c r="O98" s="11">
        <f t="shared" si="35"/>
        <v>45937.5</v>
      </c>
    </row>
    <row r="99" spans="1:15" x14ac:dyDescent="0.3">
      <c r="A99" s="10">
        <f t="shared" si="37"/>
        <v>97</v>
      </c>
      <c r="B99" s="10">
        <v>5676</v>
      </c>
      <c r="C99" s="10" t="str">
        <f>VLOOKUP(B:B,재고차이!A:B,2,0)</f>
        <v>MO5676</v>
      </c>
      <c r="D99" s="10" t="str">
        <f>VLOOKUP(C:C,재고차이!B:C,2,0)</f>
        <v>S)몬스터 스트로베리 드림즈 355CAN 4X6</v>
      </c>
      <c r="E99" s="200">
        <f>11+10</f>
        <v>21</v>
      </c>
      <c r="F99" s="200"/>
      <c r="G99" s="200"/>
      <c r="H99" s="200"/>
      <c r="I99" s="164">
        <v>46487</v>
      </c>
      <c r="J99" s="199"/>
      <c r="K99" s="165">
        <f t="shared" ref="K99:K130" ca="1" si="38">IF(O99="","",O99-$I$1)</f>
        <v>-68.5</v>
      </c>
      <c r="L99" s="156">
        <f>IF(I99="","",SUMIF(제품등록!B:B,정리표!C:C,제품등록!F:F))</f>
        <v>730</v>
      </c>
      <c r="M99" s="11">
        <f t="shared" ref="M99:M130" si="39">IF(I99=0,"",I99-L99)</f>
        <v>45757</v>
      </c>
      <c r="N99" s="158">
        <f t="shared" ref="N99:N130" si="40">IF(L99="","",L99*상미75)</f>
        <v>182.5</v>
      </c>
      <c r="O99" s="11">
        <f t="shared" ref="O99:O130" si="41">IF(M99="","",M99+N99)</f>
        <v>45939.5</v>
      </c>
    </row>
    <row r="100" spans="1:15" x14ac:dyDescent="0.3">
      <c r="A100" s="10">
        <f t="shared" si="37"/>
        <v>98</v>
      </c>
      <c r="B100" s="24">
        <v>5676</v>
      </c>
      <c r="C100" s="10" t="str">
        <f>VLOOKUP(B:B,재고차이!A:B,2,0)</f>
        <v>MO5676</v>
      </c>
      <c r="D100" s="10" t="str">
        <f>VLOOKUP(C:C,재고차이!B:C,2,0)</f>
        <v>S)몬스터 스트로베리 드림즈 355CAN 4X6</v>
      </c>
      <c r="E100" s="10"/>
      <c r="F100" s="10"/>
      <c r="G100" s="10">
        <v>23</v>
      </c>
      <c r="H100" s="10"/>
      <c r="I100" s="199">
        <v>46487</v>
      </c>
      <c r="J100" s="199"/>
      <c r="K100" s="165">
        <f t="shared" ca="1" si="38"/>
        <v>-68.5</v>
      </c>
      <c r="L100" s="156">
        <f>IF(I100="","",SUMIF(제품등록!B:B,정리표!C:C,제품등록!F:F))</f>
        <v>730</v>
      </c>
      <c r="M100" s="11">
        <f t="shared" si="39"/>
        <v>45757</v>
      </c>
      <c r="N100" s="158">
        <f t="shared" si="40"/>
        <v>182.5</v>
      </c>
      <c r="O100" s="11">
        <f t="shared" si="41"/>
        <v>45939.5</v>
      </c>
    </row>
    <row r="101" spans="1:15" x14ac:dyDescent="0.3">
      <c r="A101" s="10">
        <f t="shared" si="37"/>
        <v>99</v>
      </c>
      <c r="B101" s="10">
        <v>5679</v>
      </c>
      <c r="C101" s="10" t="str">
        <f>VLOOKUP(B:B,재고차이!A:B,2,0)</f>
        <v>MO5679</v>
      </c>
      <c r="D101" s="10" t="str">
        <f>VLOOKUP(C:C,재고차이!B:C,2,0)</f>
        <v>S)몬스터 에너지 파피용 355CAN 4X6</v>
      </c>
      <c r="E101" s="200">
        <f>8+29</f>
        <v>37</v>
      </c>
      <c r="F101" s="200"/>
      <c r="G101" s="200"/>
      <c r="H101" s="200"/>
      <c r="I101" s="164">
        <v>46522</v>
      </c>
      <c r="J101" s="199"/>
      <c r="K101" s="165">
        <f t="shared" ca="1" si="38"/>
        <v>-33.5</v>
      </c>
      <c r="L101" s="156">
        <f>IF(I101="","",SUMIF(제품등록!B:B,정리표!C:C,제품등록!F:F))</f>
        <v>730</v>
      </c>
      <c r="M101" s="11">
        <f t="shared" si="39"/>
        <v>45792</v>
      </c>
      <c r="N101" s="158">
        <f t="shared" si="40"/>
        <v>182.5</v>
      </c>
      <c r="O101" s="11">
        <f t="shared" si="41"/>
        <v>45974.5</v>
      </c>
    </row>
    <row r="102" spans="1:15" x14ac:dyDescent="0.3">
      <c r="A102" s="10">
        <f t="shared" si="37"/>
        <v>100</v>
      </c>
      <c r="B102" s="24">
        <v>5679</v>
      </c>
      <c r="C102" s="10" t="str">
        <f>VLOOKUP(B:B,재고차이!A:B,2,0)</f>
        <v>MO5679</v>
      </c>
      <c r="D102" s="10" t="str">
        <f>VLOOKUP(C:C,재고차이!B:C,2,0)</f>
        <v>S)몬스터 에너지 파피용 355CAN 4X6</v>
      </c>
      <c r="E102" s="10"/>
      <c r="F102" s="10"/>
      <c r="G102" s="10">
        <v>27</v>
      </c>
      <c r="H102" s="10"/>
      <c r="I102" s="199">
        <v>46522</v>
      </c>
      <c r="J102" s="199"/>
      <c r="K102" s="165">
        <f t="shared" ca="1" si="38"/>
        <v>-33.5</v>
      </c>
      <c r="L102" s="156">
        <f>IF(I102="","",SUMIF(제품등록!B:B,정리표!C:C,제품등록!F:F))</f>
        <v>730</v>
      </c>
      <c r="M102" s="11">
        <f t="shared" si="39"/>
        <v>45792</v>
      </c>
      <c r="N102" s="158">
        <f t="shared" si="40"/>
        <v>182.5</v>
      </c>
      <c r="O102" s="11">
        <f t="shared" si="41"/>
        <v>45974.5</v>
      </c>
    </row>
    <row r="103" spans="1:15" x14ac:dyDescent="0.3">
      <c r="A103" s="10">
        <f t="shared" si="37"/>
        <v>101</v>
      </c>
      <c r="B103" s="10">
        <v>5748</v>
      </c>
      <c r="C103" s="10" t="str">
        <f>VLOOKUP(B:B,재고차이!A:B,2,0)</f>
        <v>FT5748</v>
      </c>
      <c r="D103" s="10" t="str">
        <f>VLOOKUP(C:C,재고차이!B:C,2,0)</f>
        <v>환타오렌지(S) 600P 4X6</v>
      </c>
      <c r="E103" s="10">
        <f>1+4</f>
        <v>5</v>
      </c>
      <c r="F103" s="200"/>
      <c r="G103" s="200"/>
      <c r="H103" s="200"/>
      <c r="I103" s="164">
        <v>46157</v>
      </c>
      <c r="J103" s="199"/>
      <c r="K103" s="165">
        <f t="shared" ca="1" si="38"/>
        <v>-124.75</v>
      </c>
      <c r="L103" s="156">
        <f>IF(I103="","",SUMIF(제품등록!B:B,정리표!C:C,제품등록!F:F))</f>
        <v>365</v>
      </c>
      <c r="M103" s="11">
        <f t="shared" si="39"/>
        <v>45792</v>
      </c>
      <c r="N103" s="158">
        <f t="shared" si="40"/>
        <v>91.25</v>
      </c>
      <c r="O103" s="11">
        <f t="shared" si="41"/>
        <v>45883.25</v>
      </c>
    </row>
    <row r="104" spans="1:15" x14ac:dyDescent="0.3">
      <c r="A104" s="10">
        <f t="shared" si="37"/>
        <v>102</v>
      </c>
      <c r="B104" s="10">
        <v>5748</v>
      </c>
      <c r="C104" s="10" t="str">
        <f>VLOOKUP(B:B,재고차이!A:B,2,0)</f>
        <v>FT5748</v>
      </c>
      <c r="D104" s="10" t="str">
        <f>VLOOKUP(C:C,재고차이!B:C,2,0)</f>
        <v>환타오렌지(S) 600P 4X6</v>
      </c>
      <c r="E104" s="10"/>
      <c r="F104" s="10"/>
      <c r="G104" s="10">
        <v>29</v>
      </c>
      <c r="H104" s="10"/>
      <c r="I104" s="199">
        <v>46157</v>
      </c>
      <c r="J104" s="199"/>
      <c r="K104" s="165">
        <f t="shared" ca="1" si="38"/>
        <v>-124.75</v>
      </c>
      <c r="L104" s="156">
        <f>IF(I104="","",SUMIF(제품등록!B:B,정리표!C:C,제품등록!F:F))</f>
        <v>365</v>
      </c>
      <c r="M104" s="11">
        <f t="shared" si="39"/>
        <v>45792</v>
      </c>
      <c r="N104" s="158">
        <f t="shared" si="40"/>
        <v>91.25</v>
      </c>
      <c r="O104" s="11">
        <f t="shared" si="41"/>
        <v>45883.25</v>
      </c>
    </row>
    <row r="105" spans="1:15" x14ac:dyDescent="0.3">
      <c r="A105" s="10">
        <f t="shared" si="37"/>
        <v>103</v>
      </c>
      <c r="B105" s="10">
        <v>5749</v>
      </c>
      <c r="C105" s="10" t="str">
        <f>VLOOKUP(B:B,재고차이!A:B,2,0)</f>
        <v>FT5749</v>
      </c>
      <c r="D105" s="10" t="str">
        <f>VLOOKUP(C:C,재고차이!B:C,2,0)</f>
        <v>S)환타 파인 600PET 4X6</v>
      </c>
      <c r="E105" s="200">
        <v>6</v>
      </c>
      <c r="F105" s="200"/>
      <c r="G105" s="200"/>
      <c r="H105" s="200"/>
      <c r="I105" s="234">
        <v>46133</v>
      </c>
      <c r="J105" s="234" t="s">
        <v>2833</v>
      </c>
      <c r="K105" s="165">
        <f t="shared" ca="1" si="38"/>
        <v>-148.75</v>
      </c>
      <c r="L105" s="156">
        <f>IF(I105="","",SUMIF(제품등록!B:B,정리표!C:C,제품등록!F:F))</f>
        <v>365</v>
      </c>
      <c r="M105" s="11">
        <f t="shared" si="39"/>
        <v>45768</v>
      </c>
      <c r="N105" s="158">
        <f t="shared" si="40"/>
        <v>91.25</v>
      </c>
      <c r="O105" s="11">
        <f t="shared" si="41"/>
        <v>45859.25</v>
      </c>
    </row>
    <row r="106" spans="1:15" x14ac:dyDescent="0.3">
      <c r="A106" s="10">
        <f t="shared" si="37"/>
        <v>104</v>
      </c>
      <c r="B106" s="10">
        <v>5749</v>
      </c>
      <c r="C106" s="10" t="str">
        <f>VLOOKUP(B:B,재고차이!A:B,2,0)</f>
        <v>FT5749</v>
      </c>
      <c r="D106" s="10" t="str">
        <f>VLOOKUP(C:C,재고차이!B:C,2,0)</f>
        <v>S)환타 파인 600PET 4X6</v>
      </c>
      <c r="E106" s="200">
        <v>16</v>
      </c>
      <c r="F106" s="200"/>
      <c r="G106" s="200"/>
      <c r="H106" s="200"/>
      <c r="I106" s="164">
        <v>46157</v>
      </c>
      <c r="J106" s="199"/>
      <c r="K106" s="165">
        <f t="shared" ca="1" si="38"/>
        <v>-124.75</v>
      </c>
      <c r="L106" s="156">
        <f>IF(I106="","",SUMIF(제품등록!B:B,정리표!C:C,제품등록!F:F))</f>
        <v>365</v>
      </c>
      <c r="M106" s="11">
        <f t="shared" si="39"/>
        <v>45792</v>
      </c>
      <c r="N106" s="158">
        <f t="shared" si="40"/>
        <v>91.25</v>
      </c>
      <c r="O106" s="11">
        <f t="shared" si="41"/>
        <v>45883.25</v>
      </c>
    </row>
    <row r="107" spans="1:15" x14ac:dyDescent="0.3">
      <c r="A107" s="10">
        <f t="shared" si="37"/>
        <v>105</v>
      </c>
      <c r="B107" s="10">
        <v>5749</v>
      </c>
      <c r="C107" s="10" t="str">
        <f>VLOOKUP(B:B,재고차이!A:B,2,0)</f>
        <v>FT5749</v>
      </c>
      <c r="D107" s="10" t="str">
        <f>VLOOKUP(C:C,재고차이!B:C,2,0)</f>
        <v>S)환타 파인 600PET 4X6</v>
      </c>
      <c r="E107" s="10"/>
      <c r="F107" s="10"/>
      <c r="G107" s="10">
        <v>30</v>
      </c>
      <c r="H107" s="10"/>
      <c r="I107" s="234">
        <v>46133</v>
      </c>
      <c r="J107" s="234" t="s">
        <v>2833</v>
      </c>
      <c r="K107" s="165">
        <f t="shared" ca="1" si="38"/>
        <v>-148.75</v>
      </c>
      <c r="L107" s="156">
        <f>IF(I107="","",SUMIF(제품등록!B:B,정리표!C:C,제품등록!F:F))</f>
        <v>365</v>
      </c>
      <c r="M107" s="11">
        <f t="shared" si="39"/>
        <v>45768</v>
      </c>
      <c r="N107" s="158">
        <f t="shared" si="40"/>
        <v>91.25</v>
      </c>
      <c r="O107" s="11">
        <f t="shared" si="41"/>
        <v>45859.25</v>
      </c>
    </row>
    <row r="108" spans="1:15" x14ac:dyDescent="0.3">
      <c r="A108" s="10">
        <f t="shared" si="37"/>
        <v>106</v>
      </c>
      <c r="B108" s="24">
        <v>5769</v>
      </c>
      <c r="C108" s="10" t="str">
        <f>VLOOKUP(B:B,재고차이!A:B,2,0)</f>
        <v>CC5769</v>
      </c>
      <c r="D108" s="10" t="str">
        <f>VLOOKUP(C:C,재고차이!B:C,2,0)</f>
        <v>코크제로 제로 350CAN 4X6</v>
      </c>
      <c r="E108" s="10"/>
      <c r="F108" s="10"/>
      <c r="G108" s="10">
        <v>50</v>
      </c>
      <c r="H108" s="10"/>
      <c r="I108" s="199">
        <v>46341</v>
      </c>
      <c r="J108" s="199"/>
      <c r="K108" s="165">
        <f t="shared" ca="1" si="38"/>
        <v>-78</v>
      </c>
      <c r="L108" s="156">
        <f>IF(I108="","",SUMIF(제품등록!B:B,정리표!C:C,제품등록!F:F))</f>
        <v>548</v>
      </c>
      <c r="M108" s="11">
        <f t="shared" si="39"/>
        <v>45793</v>
      </c>
      <c r="N108" s="158">
        <f t="shared" si="40"/>
        <v>137</v>
      </c>
      <c r="O108" s="11">
        <f t="shared" si="41"/>
        <v>45930</v>
      </c>
    </row>
    <row r="109" spans="1:15" x14ac:dyDescent="0.3">
      <c r="A109" s="10">
        <f t="shared" si="37"/>
        <v>107</v>
      </c>
      <c r="B109" s="10">
        <v>5771</v>
      </c>
      <c r="C109" s="10" t="str">
        <f>VLOOKUP(B:B,재고차이!A:B,2,0)</f>
        <v>CC5771</v>
      </c>
      <c r="D109" s="10" t="str">
        <f>VLOOKUP(C:C,재고차이!B:C,2,0)</f>
        <v>코크제로 제로 250CAN 5X6</v>
      </c>
      <c r="E109" s="200">
        <v>2</v>
      </c>
      <c r="F109" s="200"/>
      <c r="G109" s="200"/>
      <c r="H109" s="200"/>
      <c r="I109" s="164">
        <v>46365</v>
      </c>
      <c r="J109" s="164"/>
      <c r="K109" s="165">
        <f t="shared" ca="1" si="38"/>
        <v>-54</v>
      </c>
      <c r="L109" s="156">
        <f>IF(I109="","",SUMIF(제품등록!B:B,정리표!C:C,제품등록!F:F))</f>
        <v>548</v>
      </c>
      <c r="M109" s="11">
        <f t="shared" si="39"/>
        <v>45817</v>
      </c>
      <c r="N109" s="158">
        <f t="shared" si="40"/>
        <v>137</v>
      </c>
      <c r="O109" s="11">
        <f t="shared" si="41"/>
        <v>45954</v>
      </c>
    </row>
    <row r="110" spans="1:15" x14ac:dyDescent="0.3">
      <c r="A110" s="10">
        <f t="shared" si="37"/>
        <v>108</v>
      </c>
      <c r="B110" s="10">
        <v>5771</v>
      </c>
      <c r="C110" s="10" t="str">
        <f>VLOOKUP(B:B,재고차이!A:B,2,0)</f>
        <v>CC5771</v>
      </c>
      <c r="D110" s="10" t="str">
        <f>VLOOKUP(C:C,재고차이!B:C,2,0)</f>
        <v>코크제로 제로 250CAN 5X6</v>
      </c>
      <c r="E110" s="200"/>
      <c r="F110" s="200"/>
      <c r="G110" s="200">
        <v>103</v>
      </c>
      <c r="H110" s="200"/>
      <c r="I110" s="164">
        <v>46365</v>
      </c>
      <c r="J110" s="199"/>
      <c r="K110" s="165">
        <f t="shared" ca="1" si="38"/>
        <v>-54</v>
      </c>
      <c r="L110" s="156">
        <f>IF(I110="","",SUMIF(제품등록!B:B,정리표!C:C,제품등록!F:F))</f>
        <v>548</v>
      </c>
      <c r="M110" s="11">
        <f t="shared" si="39"/>
        <v>45817</v>
      </c>
      <c r="N110" s="158">
        <f t="shared" si="40"/>
        <v>137</v>
      </c>
      <c r="O110" s="11">
        <f t="shared" si="41"/>
        <v>45954</v>
      </c>
    </row>
    <row r="111" spans="1:15" x14ac:dyDescent="0.3">
      <c r="A111" s="10">
        <f t="shared" si="37"/>
        <v>109</v>
      </c>
      <c r="B111" s="10">
        <v>5777</v>
      </c>
      <c r="C111" s="10" t="str">
        <f>VLOOKUP(B:B,재고차이!A:B,2,0)</f>
        <v>CC5777</v>
      </c>
      <c r="D111" s="10" t="str">
        <f>VLOOKUP(C:C,재고차이!B:C,2,0)</f>
        <v>코크제로 350CAN 4X6</v>
      </c>
      <c r="E111" s="10">
        <f>4+2</f>
        <v>6</v>
      </c>
      <c r="F111" s="10"/>
      <c r="G111" s="200"/>
      <c r="H111" s="200"/>
      <c r="I111" s="199">
        <v>46549</v>
      </c>
      <c r="J111" s="199"/>
      <c r="K111" s="165">
        <f t="shared" ca="1" si="38"/>
        <v>267.25</v>
      </c>
      <c r="L111" s="156">
        <f>IF(I111="","",SUMIF(제품등록!B:B,정리표!C:C,제품등록!F:F))</f>
        <v>365</v>
      </c>
      <c r="M111" s="11">
        <f t="shared" si="39"/>
        <v>46184</v>
      </c>
      <c r="N111" s="158">
        <f t="shared" si="40"/>
        <v>91.25</v>
      </c>
      <c r="O111" s="11">
        <f t="shared" si="41"/>
        <v>46275.25</v>
      </c>
    </row>
    <row r="112" spans="1:15" x14ac:dyDescent="0.3">
      <c r="A112" s="10">
        <f t="shared" si="37"/>
        <v>110</v>
      </c>
      <c r="B112" s="10">
        <v>5777</v>
      </c>
      <c r="C112" s="10" t="str">
        <f>VLOOKUP(B:B,재고차이!A:B,2,0)</f>
        <v>CC5777</v>
      </c>
      <c r="D112" s="10" t="str">
        <f>VLOOKUP(C:C,재고차이!B:C,2,0)</f>
        <v>코크제로 350CAN 4X6</v>
      </c>
      <c r="E112" s="10"/>
      <c r="F112" s="10"/>
      <c r="G112" s="10">
        <v>74</v>
      </c>
      <c r="H112" s="10"/>
      <c r="I112" s="164">
        <v>46549</v>
      </c>
      <c r="J112" s="199"/>
      <c r="K112" s="165">
        <f t="shared" ca="1" si="38"/>
        <v>267.25</v>
      </c>
      <c r="L112" s="156">
        <f>IF(I112="","",SUMIF(제품등록!B:B,정리표!C:C,제품등록!F:F))</f>
        <v>365</v>
      </c>
      <c r="M112" s="11">
        <f t="shared" si="39"/>
        <v>46184</v>
      </c>
      <c r="N112" s="158">
        <f t="shared" si="40"/>
        <v>91.25</v>
      </c>
      <c r="O112" s="11">
        <f t="shared" si="41"/>
        <v>46275.25</v>
      </c>
    </row>
    <row r="113" spans="1:15" x14ac:dyDescent="0.3">
      <c r="A113" s="10">
        <f t="shared" si="37"/>
        <v>111</v>
      </c>
      <c r="B113" s="10">
        <v>5782</v>
      </c>
      <c r="C113" s="10" t="str">
        <f>VLOOKUP(B:B,재고차이!A:B,2,0)</f>
        <v>CC5782</v>
      </c>
      <c r="D113" s="10" t="str">
        <f>VLOOKUP(C:C,재고차이!B:C,2,0)</f>
        <v>코크제로 체리 500PET 4X6</v>
      </c>
      <c r="E113" s="200">
        <v>13</v>
      </c>
      <c r="F113" s="200"/>
      <c r="G113" s="200"/>
      <c r="H113" s="200"/>
      <c r="I113" s="164">
        <v>46183</v>
      </c>
      <c r="J113" s="199"/>
      <c r="K113" s="165">
        <f t="shared" ca="1" si="38"/>
        <v>-98.75</v>
      </c>
      <c r="L113" s="156">
        <f>IF(I113="","",SUMIF(제품등록!B:B,정리표!C:C,제품등록!F:F))</f>
        <v>365</v>
      </c>
      <c r="M113" s="11">
        <f t="shared" si="39"/>
        <v>45818</v>
      </c>
      <c r="N113" s="158">
        <f t="shared" si="40"/>
        <v>91.25</v>
      </c>
      <c r="O113" s="11">
        <f t="shared" si="41"/>
        <v>45909.25</v>
      </c>
    </row>
    <row r="114" spans="1:15" x14ac:dyDescent="0.3">
      <c r="A114" s="10">
        <f t="shared" si="37"/>
        <v>112</v>
      </c>
      <c r="B114" s="24">
        <v>5782</v>
      </c>
      <c r="C114" s="10" t="str">
        <f>VLOOKUP(B:B,재고차이!A:B,2,0)</f>
        <v>CC5782</v>
      </c>
      <c r="D114" s="10" t="str">
        <f>VLOOKUP(C:C,재고차이!B:C,2,0)</f>
        <v>코크제로 체리 500PET 4X6</v>
      </c>
      <c r="E114" s="10"/>
      <c r="F114" s="10"/>
      <c r="G114" s="10">
        <v>14</v>
      </c>
      <c r="H114" s="10"/>
      <c r="I114" s="199">
        <v>46183</v>
      </c>
      <c r="J114" s="199"/>
      <c r="K114" s="165">
        <f t="shared" ca="1" si="38"/>
        <v>-98.75</v>
      </c>
      <c r="L114" s="156">
        <f>IF(I114="","",SUMIF(제품등록!B:B,정리표!C:C,제품등록!F:F))</f>
        <v>365</v>
      </c>
      <c r="M114" s="11">
        <f t="shared" si="39"/>
        <v>45818</v>
      </c>
      <c r="N114" s="158">
        <f t="shared" si="40"/>
        <v>91.25</v>
      </c>
      <c r="O114" s="11">
        <f t="shared" si="41"/>
        <v>45909.25</v>
      </c>
    </row>
    <row r="115" spans="1:15" x14ac:dyDescent="0.3">
      <c r="A115" s="10">
        <f t="shared" si="37"/>
        <v>113</v>
      </c>
      <c r="B115" s="10">
        <v>6103</v>
      </c>
      <c r="C115" s="10" t="str">
        <f>VLOOKUP(B:B,재고차이!A:B,2,0)</f>
        <v>SP6103</v>
      </c>
      <c r="D115" s="10" t="str">
        <f>VLOOKUP(C:C,재고차이!B:C,2,0)</f>
        <v>S)스프라이트 제로 500PET 4X6</v>
      </c>
      <c r="E115" s="10">
        <f>18+3</f>
        <v>21</v>
      </c>
      <c r="F115" s="10"/>
      <c r="G115" s="200"/>
      <c r="H115" s="200"/>
      <c r="I115" s="199">
        <v>46099</v>
      </c>
      <c r="J115" s="199"/>
      <c r="K115" s="165">
        <f t="shared" ca="1" si="38"/>
        <v>-113.75</v>
      </c>
      <c r="L115" s="156">
        <f>IF(I115="","",SUMIF(제품등록!B:B,정리표!C:C,제품등록!F:F))</f>
        <v>273</v>
      </c>
      <c r="M115" s="11">
        <f t="shared" si="39"/>
        <v>45826</v>
      </c>
      <c r="N115" s="158">
        <f t="shared" si="40"/>
        <v>68.25</v>
      </c>
      <c r="O115" s="11">
        <f t="shared" si="41"/>
        <v>45894.25</v>
      </c>
    </row>
    <row r="116" spans="1:15" x14ac:dyDescent="0.3">
      <c r="A116" s="10">
        <f t="shared" si="37"/>
        <v>114</v>
      </c>
      <c r="B116" s="10">
        <v>6103</v>
      </c>
      <c r="C116" s="10" t="str">
        <f>VLOOKUP(B:B,재고차이!A:B,2,0)</f>
        <v>SP6103</v>
      </c>
      <c r="D116" s="10" t="str">
        <f>VLOOKUP(C:C,재고차이!B:C,2,0)</f>
        <v>S)스프라이트 제로 500PET 4X6</v>
      </c>
      <c r="E116" s="10">
        <v>16</v>
      </c>
      <c r="F116" s="10"/>
      <c r="G116" s="200"/>
      <c r="H116" s="200"/>
      <c r="I116" s="199">
        <v>46105</v>
      </c>
      <c r="J116" s="199"/>
      <c r="K116" s="165">
        <f t="shared" ca="1" si="38"/>
        <v>-107.75</v>
      </c>
      <c r="L116" s="156">
        <f>IF(I116="","",SUMIF(제품등록!B:B,정리표!C:C,제품등록!F:F))</f>
        <v>273</v>
      </c>
      <c r="M116" s="11">
        <f t="shared" si="39"/>
        <v>45832</v>
      </c>
      <c r="N116" s="158">
        <f t="shared" si="40"/>
        <v>68.25</v>
      </c>
      <c r="O116" s="11">
        <f t="shared" si="41"/>
        <v>45900.25</v>
      </c>
    </row>
    <row r="117" spans="1:15" x14ac:dyDescent="0.3">
      <c r="A117" s="10">
        <f t="shared" si="37"/>
        <v>115</v>
      </c>
      <c r="B117" s="24">
        <v>6103</v>
      </c>
      <c r="C117" s="10" t="str">
        <f>VLOOKUP(B:B,재고차이!A:B,2,0)</f>
        <v>SP6103</v>
      </c>
      <c r="D117" s="10" t="str">
        <f>VLOOKUP(C:C,재고차이!B:C,2,0)</f>
        <v>S)스프라이트 제로 500PET 4X6</v>
      </c>
      <c r="E117" s="10"/>
      <c r="F117" s="10"/>
      <c r="G117" s="10">
        <v>51</v>
      </c>
      <c r="H117" s="10"/>
      <c r="I117" s="199">
        <v>46099</v>
      </c>
      <c r="J117" s="199"/>
      <c r="K117" s="165">
        <f t="shared" ca="1" si="38"/>
        <v>-113.75</v>
      </c>
      <c r="L117" s="156">
        <f>IF(I117="","",SUMIF(제품등록!B:B,정리표!C:C,제품등록!F:F))</f>
        <v>273</v>
      </c>
      <c r="M117" s="11">
        <f t="shared" si="39"/>
        <v>45826</v>
      </c>
      <c r="N117" s="158">
        <f t="shared" si="40"/>
        <v>68.25</v>
      </c>
      <c r="O117" s="11">
        <f t="shared" si="41"/>
        <v>45894.25</v>
      </c>
    </row>
    <row r="118" spans="1:15" x14ac:dyDescent="0.3">
      <c r="A118" s="10">
        <f t="shared" si="37"/>
        <v>116</v>
      </c>
      <c r="B118" s="10">
        <v>6117</v>
      </c>
      <c r="C118" s="10" t="str">
        <f>VLOOKUP(B:B,재고차이!A:B,2,0)</f>
        <v>SP6117</v>
      </c>
      <c r="D118" s="10" t="str">
        <f>VLOOKUP(C:C,재고차이!B:C,2,0)</f>
        <v>스프라이트(신500P 4X6</v>
      </c>
      <c r="E118" s="200">
        <f>17+13</f>
        <v>30</v>
      </c>
      <c r="F118" s="200"/>
      <c r="G118" s="200"/>
      <c r="H118" s="200"/>
      <c r="I118" s="164">
        <v>46196</v>
      </c>
      <c r="J118" s="199"/>
      <c r="K118" s="165">
        <f t="shared" ca="1" si="38"/>
        <v>-85.75</v>
      </c>
      <c r="L118" s="156">
        <f>IF(I118="","",SUMIF(제품등록!B:B,정리표!C:C,제품등록!F:F))</f>
        <v>365</v>
      </c>
      <c r="M118" s="11">
        <f t="shared" si="39"/>
        <v>45831</v>
      </c>
      <c r="N118" s="158">
        <f t="shared" si="40"/>
        <v>91.25</v>
      </c>
      <c r="O118" s="11">
        <f t="shared" si="41"/>
        <v>45922.25</v>
      </c>
    </row>
    <row r="119" spans="1:15" x14ac:dyDescent="0.3">
      <c r="A119" s="10">
        <f t="shared" si="37"/>
        <v>117</v>
      </c>
      <c r="B119" s="24">
        <v>6117</v>
      </c>
      <c r="C119" s="10" t="str">
        <f>VLOOKUP(B:B,재고차이!A:B,2,0)</f>
        <v>SP6117</v>
      </c>
      <c r="D119" s="10" t="str">
        <f>VLOOKUP(C:C,재고차이!B:C,2,0)</f>
        <v>스프라이트(신500P 4X6</v>
      </c>
      <c r="E119" s="10"/>
      <c r="F119" s="10"/>
      <c r="G119" s="10">
        <v>22</v>
      </c>
      <c r="H119" s="10"/>
      <c r="I119" s="199">
        <v>46195</v>
      </c>
      <c r="J119" s="199"/>
      <c r="K119" s="165">
        <f t="shared" ca="1" si="38"/>
        <v>-86.75</v>
      </c>
      <c r="L119" s="156">
        <f>IF(I119="","",SUMIF(제품등록!B:B,정리표!C:C,제품등록!F:F))</f>
        <v>365</v>
      </c>
      <c r="M119" s="11">
        <f t="shared" si="39"/>
        <v>45830</v>
      </c>
      <c r="N119" s="158">
        <f t="shared" si="40"/>
        <v>91.25</v>
      </c>
      <c r="O119" s="11">
        <f t="shared" si="41"/>
        <v>45921.25</v>
      </c>
    </row>
    <row r="120" spans="1:15" x14ac:dyDescent="0.3">
      <c r="A120" s="10">
        <f t="shared" si="37"/>
        <v>118</v>
      </c>
      <c r="B120" s="10">
        <v>6120</v>
      </c>
      <c r="C120" s="10" t="str">
        <f>VLOOKUP(B:B,재고차이!A:B,2,0)</f>
        <v>SP6120</v>
      </c>
      <c r="D120" s="10" t="str">
        <f>VLOOKUP(C:C,재고차이!B:C,2,0)</f>
        <v>S스프라이트(신1.5P 2X6</v>
      </c>
      <c r="E120" s="200">
        <v>23</v>
      </c>
      <c r="F120" s="200"/>
      <c r="G120" s="200"/>
      <c r="H120" s="200"/>
      <c r="I120" s="199">
        <v>46182</v>
      </c>
      <c r="J120" s="199"/>
      <c r="K120" s="165">
        <f t="shared" ca="1" si="38"/>
        <v>-99.75</v>
      </c>
      <c r="L120" s="156">
        <f>IF(I120="","",SUMIF(제품등록!B:B,정리표!C:C,제품등록!F:F))</f>
        <v>365</v>
      </c>
      <c r="M120" s="11">
        <f t="shared" si="39"/>
        <v>45817</v>
      </c>
      <c r="N120" s="158">
        <f t="shared" si="40"/>
        <v>91.25</v>
      </c>
      <c r="O120" s="11">
        <f t="shared" si="41"/>
        <v>45908.25</v>
      </c>
    </row>
    <row r="121" spans="1:15" x14ac:dyDescent="0.3">
      <c r="A121" s="10">
        <f t="shared" si="37"/>
        <v>119</v>
      </c>
      <c r="B121" s="24">
        <v>6120</v>
      </c>
      <c r="C121" s="10" t="str">
        <f>VLOOKUP(B:B,재고차이!A:B,2,0)</f>
        <v>SP6120</v>
      </c>
      <c r="D121" s="10" t="str">
        <f>VLOOKUP(C:C,재고차이!B:C,2,0)</f>
        <v>S스프라이트(신1.5P 2X6</v>
      </c>
      <c r="E121" s="10"/>
      <c r="F121" s="10"/>
      <c r="G121" s="10">
        <v>10</v>
      </c>
      <c r="H121" s="10"/>
      <c r="I121" s="199">
        <v>46182</v>
      </c>
      <c r="J121" s="199"/>
      <c r="K121" s="165">
        <f t="shared" ca="1" si="38"/>
        <v>-99.75</v>
      </c>
      <c r="L121" s="156">
        <f>IF(I121="","",SUMIF(제품등록!B:B,정리표!C:C,제품등록!F:F))</f>
        <v>365</v>
      </c>
      <c r="M121" s="11">
        <f t="shared" si="39"/>
        <v>45817</v>
      </c>
      <c r="N121" s="158">
        <f t="shared" si="40"/>
        <v>91.25</v>
      </c>
      <c r="O121" s="11">
        <f t="shared" si="41"/>
        <v>45908.25</v>
      </c>
    </row>
    <row r="122" spans="1:15" x14ac:dyDescent="0.3">
      <c r="A122" s="10">
        <f t="shared" si="37"/>
        <v>120</v>
      </c>
      <c r="B122" s="10">
        <v>6277</v>
      </c>
      <c r="C122" s="10" t="str">
        <f>VLOOKUP(B:B,재고차이!A:B,2,0)</f>
        <v>PA6277</v>
      </c>
      <c r="D122" s="10" t="str">
        <f>VLOOKUP(C:C,재고차이!B:C,2,0)</f>
        <v>파워 퍼플스톰 600PET 4X6</v>
      </c>
      <c r="E122" s="200">
        <f>15+17</f>
        <v>32</v>
      </c>
      <c r="F122" s="200"/>
      <c r="G122" s="200"/>
      <c r="H122" s="200"/>
      <c r="I122" s="164">
        <v>46192</v>
      </c>
      <c r="J122" s="164"/>
      <c r="K122" s="165">
        <f t="shared" ca="1" si="38"/>
        <v>-89.75</v>
      </c>
      <c r="L122" s="156">
        <f>IF(I122="","",SUMIF(제품등록!B:B,정리표!C:C,제품등록!F:F))</f>
        <v>365</v>
      </c>
      <c r="M122" s="11">
        <f t="shared" si="39"/>
        <v>45827</v>
      </c>
      <c r="N122" s="158">
        <f t="shared" si="40"/>
        <v>91.25</v>
      </c>
      <c r="O122" s="11">
        <f t="shared" si="41"/>
        <v>45918.25</v>
      </c>
    </row>
    <row r="123" spans="1:15" x14ac:dyDescent="0.3">
      <c r="A123" s="10">
        <f t="shared" si="37"/>
        <v>121</v>
      </c>
      <c r="B123" s="10">
        <v>6277</v>
      </c>
      <c r="C123" s="10" t="str">
        <f>VLOOKUP(B:B,재고차이!A:B,2,0)</f>
        <v>PA6277</v>
      </c>
      <c r="D123" s="10" t="str">
        <f>VLOOKUP(C:C,재고차이!B:C,2,0)</f>
        <v>파워 퍼플스톰 600PET 4X6</v>
      </c>
      <c r="E123" s="10"/>
      <c r="F123" s="10"/>
      <c r="G123" s="200">
        <v>2</v>
      </c>
      <c r="H123" s="10"/>
      <c r="I123" s="199">
        <v>46192</v>
      </c>
      <c r="J123" s="199"/>
      <c r="K123" s="165">
        <f t="shared" ca="1" si="38"/>
        <v>-89.75</v>
      </c>
      <c r="L123" s="156">
        <f>IF(I123="","",SUMIF(제품등록!B:B,정리표!C:C,제품등록!F:F))</f>
        <v>365</v>
      </c>
      <c r="M123" s="11">
        <f t="shared" si="39"/>
        <v>45827</v>
      </c>
      <c r="N123" s="158">
        <f t="shared" si="40"/>
        <v>91.25</v>
      </c>
      <c r="O123" s="11">
        <f t="shared" si="41"/>
        <v>45918.25</v>
      </c>
    </row>
    <row r="124" spans="1:15" x14ac:dyDescent="0.3">
      <c r="A124" s="10">
        <f t="shared" si="37"/>
        <v>122</v>
      </c>
      <c r="B124" s="10">
        <v>6285</v>
      </c>
      <c r="C124" s="10" t="str">
        <f>VLOOKUP(B:B,재고차이!A:B,2,0)</f>
        <v>PA6285</v>
      </c>
      <c r="D124" s="10" t="str">
        <f>VLOOKUP(C:C,재고차이!B:C,2,0)</f>
        <v>S)파워 스칼렛스톰 600PET 4X6</v>
      </c>
      <c r="E124" s="200">
        <v>1</v>
      </c>
      <c r="F124" s="200"/>
      <c r="G124" s="200"/>
      <c r="H124" s="200"/>
      <c r="I124" s="164">
        <v>46183</v>
      </c>
      <c r="J124" s="164"/>
      <c r="K124" s="165">
        <f t="shared" ca="1" si="38"/>
        <v>-98.75</v>
      </c>
      <c r="L124" s="156">
        <f>IF(I124="","",SUMIF(제품등록!B:B,정리표!C:C,제품등록!F:F))</f>
        <v>365</v>
      </c>
      <c r="M124" s="11">
        <f t="shared" si="39"/>
        <v>45818</v>
      </c>
      <c r="N124" s="158">
        <f t="shared" si="40"/>
        <v>91.25</v>
      </c>
      <c r="O124" s="11">
        <f t="shared" si="41"/>
        <v>45909.25</v>
      </c>
    </row>
    <row r="125" spans="1:15" x14ac:dyDescent="0.3">
      <c r="A125" s="10">
        <f t="shared" si="37"/>
        <v>123</v>
      </c>
      <c r="B125" s="10">
        <v>6285</v>
      </c>
      <c r="C125" s="10" t="str">
        <f>VLOOKUP(B:B,재고차이!A:B,2,0)</f>
        <v>PA6285</v>
      </c>
      <c r="D125" s="10" t="str">
        <f>VLOOKUP(C:C,재고차이!B:C,2,0)</f>
        <v>S)파워 스칼렛스톰 600PET 4X6</v>
      </c>
      <c r="E125" s="200">
        <v>3</v>
      </c>
      <c r="F125" s="200"/>
      <c r="G125" s="200"/>
      <c r="H125" s="200"/>
      <c r="I125" s="164">
        <v>46184</v>
      </c>
      <c r="J125" s="164"/>
      <c r="K125" s="165">
        <f t="shared" ca="1" si="38"/>
        <v>-97.75</v>
      </c>
      <c r="L125" s="156">
        <f>IF(I125="","",SUMIF(제품등록!B:B,정리표!C:C,제품등록!F:F))</f>
        <v>365</v>
      </c>
      <c r="M125" s="11">
        <f t="shared" si="39"/>
        <v>45819</v>
      </c>
      <c r="N125" s="158">
        <f t="shared" si="40"/>
        <v>91.25</v>
      </c>
      <c r="O125" s="11">
        <f t="shared" si="41"/>
        <v>45910.25</v>
      </c>
    </row>
    <row r="126" spans="1:15" x14ac:dyDescent="0.3">
      <c r="A126" s="10">
        <f t="shared" si="37"/>
        <v>124</v>
      </c>
      <c r="B126" s="10">
        <v>6285</v>
      </c>
      <c r="C126" s="10" t="str">
        <f>VLOOKUP(B:B,재고차이!A:B,2,0)</f>
        <v>PA6285</v>
      </c>
      <c r="D126" s="10" t="str">
        <f>VLOOKUP(C:C,재고차이!B:C,2,0)</f>
        <v>S)파워 스칼렛스톰 600PET 4X6</v>
      </c>
      <c r="E126" s="200">
        <f>12+20</f>
        <v>32</v>
      </c>
      <c r="F126" s="200"/>
      <c r="G126" s="200"/>
      <c r="H126" s="200"/>
      <c r="I126" s="164">
        <v>46190</v>
      </c>
      <c r="J126" s="164"/>
      <c r="K126" s="165">
        <f t="shared" ca="1" si="38"/>
        <v>-91.75</v>
      </c>
      <c r="L126" s="156">
        <f>IF(I126="","",SUMIF(제품등록!B:B,정리표!C:C,제품등록!F:F))</f>
        <v>365</v>
      </c>
      <c r="M126" s="11">
        <f t="shared" si="39"/>
        <v>45825</v>
      </c>
      <c r="N126" s="158">
        <f t="shared" si="40"/>
        <v>91.25</v>
      </c>
      <c r="O126" s="11">
        <f t="shared" si="41"/>
        <v>45916.25</v>
      </c>
    </row>
    <row r="127" spans="1:15" x14ac:dyDescent="0.3">
      <c r="A127" s="10">
        <f t="shared" si="37"/>
        <v>125</v>
      </c>
      <c r="B127" s="10">
        <v>6285</v>
      </c>
      <c r="C127" s="10" t="str">
        <f>VLOOKUP(B:B,재고차이!A:B,2,0)</f>
        <v>PA6285</v>
      </c>
      <c r="D127" s="10" t="str">
        <f>VLOOKUP(C:C,재고차이!B:C,2,0)</f>
        <v>S)파워 스칼렛스톰 600PET 4X6</v>
      </c>
      <c r="E127" s="10"/>
      <c r="F127" s="10"/>
      <c r="G127" s="200">
        <v>36</v>
      </c>
      <c r="H127" s="10"/>
      <c r="I127" s="199">
        <v>46191</v>
      </c>
      <c r="J127" s="199"/>
      <c r="K127" s="165">
        <f t="shared" ca="1" si="38"/>
        <v>-90.75</v>
      </c>
      <c r="L127" s="156">
        <f>IF(I127="","",SUMIF(제품등록!B:B,정리표!C:C,제품등록!F:F))</f>
        <v>365</v>
      </c>
      <c r="M127" s="11">
        <f t="shared" si="39"/>
        <v>45826</v>
      </c>
      <c r="N127" s="158">
        <f t="shared" si="40"/>
        <v>91.25</v>
      </c>
      <c r="O127" s="11">
        <f t="shared" si="41"/>
        <v>45917.25</v>
      </c>
    </row>
    <row r="128" spans="1:15" x14ac:dyDescent="0.3">
      <c r="A128" s="10">
        <f t="shared" ref="A128:A159" si="42">ROW()-2</f>
        <v>126</v>
      </c>
      <c r="B128" s="10">
        <v>6349</v>
      </c>
      <c r="C128" s="10" t="str">
        <f>VLOOKUP(B:B,재고차이!A:B,2,0)</f>
        <v>FT6349</v>
      </c>
      <c r="D128" s="10" t="str">
        <f>VLOOKUP(C:C,재고차이!B:C,2,0)</f>
        <v>환타오렌지(S) 1.5P 2X6</v>
      </c>
      <c r="E128" s="200">
        <f>2+15</f>
        <v>17</v>
      </c>
      <c r="F128" s="200"/>
      <c r="G128" s="200"/>
      <c r="H128" s="200"/>
      <c r="I128" s="164">
        <v>46192</v>
      </c>
      <c r="J128" s="199"/>
      <c r="K128" s="165">
        <f t="shared" ca="1" si="38"/>
        <v>-89.75</v>
      </c>
      <c r="L128" s="156">
        <f>IF(I128="","",SUMIF(제품등록!B:B,정리표!C:C,제품등록!F:F))</f>
        <v>365</v>
      </c>
      <c r="M128" s="11">
        <f t="shared" si="39"/>
        <v>45827</v>
      </c>
      <c r="N128" s="158">
        <f t="shared" si="40"/>
        <v>91.25</v>
      </c>
      <c r="O128" s="11">
        <f t="shared" si="41"/>
        <v>45918.25</v>
      </c>
    </row>
    <row r="129" spans="1:15" x14ac:dyDescent="0.3">
      <c r="A129" s="10">
        <f t="shared" si="42"/>
        <v>127</v>
      </c>
      <c r="B129" s="24">
        <v>6349</v>
      </c>
      <c r="C129" s="10" t="str">
        <f>VLOOKUP(B:B,재고차이!A:B,2,0)</f>
        <v>FT6349</v>
      </c>
      <c r="D129" s="10" t="str">
        <f>VLOOKUP(C:C,재고차이!B:C,2,0)</f>
        <v>환타오렌지(S) 1.5P 2X6</v>
      </c>
      <c r="E129" s="10"/>
      <c r="F129" s="10"/>
      <c r="G129" s="10">
        <v>5</v>
      </c>
      <c r="H129" s="10"/>
      <c r="I129" s="199">
        <v>46192</v>
      </c>
      <c r="J129" s="199"/>
      <c r="K129" s="165">
        <f t="shared" ca="1" si="38"/>
        <v>-89.75</v>
      </c>
      <c r="L129" s="156">
        <f>IF(I129="","",SUMIF(제품등록!B:B,정리표!C:C,제품등록!F:F))</f>
        <v>365</v>
      </c>
      <c r="M129" s="11">
        <f t="shared" si="39"/>
        <v>45827</v>
      </c>
      <c r="N129" s="158">
        <f t="shared" si="40"/>
        <v>91.25</v>
      </c>
      <c r="O129" s="11">
        <f t="shared" si="41"/>
        <v>45918.25</v>
      </c>
    </row>
    <row r="130" spans="1:15" x14ac:dyDescent="0.3">
      <c r="A130" s="10">
        <f t="shared" si="42"/>
        <v>128</v>
      </c>
      <c r="B130" s="10">
        <v>6509</v>
      </c>
      <c r="C130" s="10" t="str">
        <f>VLOOKUP(B:B,재고차이!A:B,2,0)</f>
        <v>MM6509</v>
      </c>
      <c r="D130" s="10" t="str">
        <f>VLOOKUP(C:C,재고차이!B:C,2,0)</f>
        <v>S)MM오리지널0R100 1.5P 2X6</v>
      </c>
      <c r="E130" s="200">
        <v>13</v>
      </c>
      <c r="F130" s="200"/>
      <c r="G130" s="200"/>
      <c r="H130" s="200"/>
      <c r="I130" s="164">
        <v>46110</v>
      </c>
      <c r="J130" s="164"/>
      <c r="K130" s="165">
        <f t="shared" ca="1" si="38"/>
        <v>-102.75</v>
      </c>
      <c r="L130" s="156">
        <f>IF(I130="","",SUMIF(제품등록!B:B,정리표!C:C,제품등록!F:F))</f>
        <v>273</v>
      </c>
      <c r="M130" s="11">
        <f t="shared" si="39"/>
        <v>45837</v>
      </c>
      <c r="N130" s="158">
        <f t="shared" si="40"/>
        <v>68.25</v>
      </c>
      <c r="O130" s="11">
        <f t="shared" si="41"/>
        <v>45905.25</v>
      </c>
    </row>
    <row r="131" spans="1:15" x14ac:dyDescent="0.3">
      <c r="A131" s="10">
        <f t="shared" si="42"/>
        <v>129</v>
      </c>
      <c r="B131" s="10">
        <v>6509</v>
      </c>
      <c r="C131" s="10" t="str">
        <f>VLOOKUP(B:B,재고차이!A:B,2,0)</f>
        <v>MM6509</v>
      </c>
      <c r="D131" s="10" t="str">
        <f>VLOOKUP(C:C,재고차이!B:C,2,0)</f>
        <v>S)MM오리지널0R100 1.5P 2X6</v>
      </c>
      <c r="E131" s="10"/>
      <c r="F131" s="10"/>
      <c r="G131" s="200">
        <v>21</v>
      </c>
      <c r="H131" s="10"/>
      <c r="I131" s="199">
        <v>46110</v>
      </c>
      <c r="J131" s="199"/>
      <c r="K131" s="165">
        <f t="shared" ref="K131:K162" ca="1" si="43">IF(O131="","",O131-$I$1)</f>
        <v>-102.75</v>
      </c>
      <c r="L131" s="156">
        <f>IF(I131="","",SUMIF(제품등록!B:B,정리표!C:C,제품등록!F:F))</f>
        <v>273</v>
      </c>
      <c r="M131" s="11">
        <f t="shared" ref="M131:M162" si="44">IF(I131=0,"",I131-L131)</f>
        <v>45837</v>
      </c>
      <c r="N131" s="158">
        <f t="shared" ref="N131:N162" si="45">IF(L131="","",L131*상미75)</f>
        <v>68.25</v>
      </c>
      <c r="O131" s="11">
        <f t="shared" ref="O131:O162" si="46">IF(M131="","",M131+N131)</f>
        <v>45905.25</v>
      </c>
    </row>
    <row r="132" spans="1:15" x14ac:dyDescent="0.3">
      <c r="A132" s="10">
        <f t="shared" si="42"/>
        <v>130</v>
      </c>
      <c r="B132" s="10">
        <v>6676</v>
      </c>
      <c r="C132" s="10" t="str">
        <f>VLOOKUP(B:B,재고차이!A:B,2,0)</f>
        <v>CC6676</v>
      </c>
      <c r="D132" s="10" t="str">
        <f>VLOOKUP(C:C,재고차이!B:C,2,0)</f>
        <v>S)코카콜라 500PET 4X6</v>
      </c>
      <c r="E132" s="200">
        <f>11+12</f>
        <v>23</v>
      </c>
      <c r="F132" s="200"/>
      <c r="G132" s="200"/>
      <c r="H132" s="200"/>
      <c r="I132" s="164">
        <v>46199</v>
      </c>
      <c r="J132" s="199"/>
      <c r="K132" s="165">
        <f t="shared" ca="1" si="43"/>
        <v>-82.75</v>
      </c>
      <c r="L132" s="156">
        <f>IF(I132="","",SUMIF(제품등록!B:B,정리표!C:C,제품등록!F:F))</f>
        <v>365</v>
      </c>
      <c r="M132" s="11">
        <f t="shared" si="44"/>
        <v>45834</v>
      </c>
      <c r="N132" s="158">
        <f t="shared" si="45"/>
        <v>91.25</v>
      </c>
      <c r="O132" s="11">
        <f t="shared" si="46"/>
        <v>45925.25</v>
      </c>
    </row>
    <row r="133" spans="1:15" x14ac:dyDescent="0.3">
      <c r="A133" s="10">
        <f t="shared" si="42"/>
        <v>131</v>
      </c>
      <c r="B133" s="24">
        <v>6676</v>
      </c>
      <c r="C133" s="10" t="str">
        <f>VLOOKUP(B:B,재고차이!A:B,2,0)</f>
        <v>CC6676</v>
      </c>
      <c r="D133" s="10" t="str">
        <f>VLOOKUP(C:C,재고차이!B:C,2,0)</f>
        <v>S)코카콜라 500PET 4X6</v>
      </c>
      <c r="E133" s="10"/>
      <c r="F133" s="10"/>
      <c r="G133" s="10">
        <v>57</v>
      </c>
      <c r="H133" s="10"/>
      <c r="I133" s="199">
        <v>46198</v>
      </c>
      <c r="J133" s="199"/>
      <c r="K133" s="165">
        <f t="shared" ca="1" si="43"/>
        <v>-83.75</v>
      </c>
      <c r="L133" s="156">
        <f>IF(I133="","",SUMIF(제품등록!B:B,정리표!C:C,제품등록!F:F))</f>
        <v>365</v>
      </c>
      <c r="M133" s="11">
        <f t="shared" si="44"/>
        <v>45833</v>
      </c>
      <c r="N133" s="158">
        <f t="shared" si="45"/>
        <v>91.25</v>
      </c>
      <c r="O133" s="11">
        <f t="shared" si="46"/>
        <v>45924.25</v>
      </c>
    </row>
    <row r="134" spans="1:15" x14ac:dyDescent="0.3">
      <c r="A134" s="10">
        <f t="shared" si="42"/>
        <v>132</v>
      </c>
      <c r="B134" s="10">
        <v>6705</v>
      </c>
      <c r="C134" s="10" t="str">
        <f>VLOOKUP(B:B,재고차이!A:B,2,0)</f>
        <v>MM6705</v>
      </c>
      <c r="D134" s="10" t="str">
        <f>VLOOKUP(C:C,재고차이!B:C,2,0)</f>
        <v>S)MM오리지널OR100 350P 4X6</v>
      </c>
      <c r="E134" s="200">
        <v>4</v>
      </c>
      <c r="F134" s="200"/>
      <c r="G134" s="200"/>
      <c r="H134" s="200"/>
      <c r="I134" s="164">
        <v>46075</v>
      </c>
      <c r="J134" s="164"/>
      <c r="K134" s="165">
        <f t="shared" ca="1" si="43"/>
        <v>-137.75</v>
      </c>
      <c r="L134" s="156">
        <f>IF(I134="","",SUMIF(제품등록!B:B,정리표!C:C,제품등록!F:F))</f>
        <v>273</v>
      </c>
      <c r="M134" s="11">
        <f t="shared" si="44"/>
        <v>45802</v>
      </c>
      <c r="N134" s="158">
        <f t="shared" si="45"/>
        <v>68.25</v>
      </c>
      <c r="O134" s="11">
        <f t="shared" si="46"/>
        <v>45870.25</v>
      </c>
    </row>
    <row r="135" spans="1:15" x14ac:dyDescent="0.3">
      <c r="A135" s="10">
        <f t="shared" si="42"/>
        <v>133</v>
      </c>
      <c r="B135" s="10">
        <v>6705</v>
      </c>
      <c r="C135" s="10" t="str">
        <f>VLOOKUP(B:B,재고차이!A:B,2,0)</f>
        <v>MM6705</v>
      </c>
      <c r="D135" s="10" t="str">
        <f>VLOOKUP(C:C,재고차이!B:C,2,0)</f>
        <v>S)MM오리지널OR100 350P 4X6</v>
      </c>
      <c r="E135" s="10"/>
      <c r="F135" s="10"/>
      <c r="G135" s="200">
        <v>36</v>
      </c>
      <c r="H135" s="10"/>
      <c r="I135" s="199">
        <v>46075</v>
      </c>
      <c r="J135" s="199"/>
      <c r="K135" s="165">
        <f t="shared" ca="1" si="43"/>
        <v>-137.75</v>
      </c>
      <c r="L135" s="156">
        <f>IF(I135="","",SUMIF(제품등록!B:B,정리표!C:C,제품등록!F:F))</f>
        <v>273</v>
      </c>
      <c r="M135" s="11">
        <f t="shared" si="44"/>
        <v>45802</v>
      </c>
      <c r="N135" s="158">
        <f t="shared" si="45"/>
        <v>68.25</v>
      </c>
      <c r="O135" s="11">
        <f t="shared" si="46"/>
        <v>45870.25</v>
      </c>
    </row>
    <row r="136" spans="1:15" x14ac:dyDescent="0.3">
      <c r="A136" s="10">
        <f t="shared" si="42"/>
        <v>134</v>
      </c>
      <c r="B136" s="10">
        <v>6871</v>
      </c>
      <c r="C136" s="10" t="str">
        <f>VLOOKUP(B:B,재고차이!A:B,2,0)</f>
        <v>PA6871</v>
      </c>
      <c r="D136" s="10" t="str">
        <f>VLOOKUP(C:C,재고차이!B:C,2,0)</f>
        <v>S)파워 마운틴블라 600PET 4X6</v>
      </c>
      <c r="E136" s="200">
        <f>38+14</f>
        <v>52</v>
      </c>
      <c r="F136" s="200"/>
      <c r="G136" s="200"/>
      <c r="H136" s="200"/>
      <c r="I136" s="164">
        <v>46197</v>
      </c>
      <c r="J136" s="164"/>
      <c r="K136" s="165">
        <f t="shared" ca="1" si="43"/>
        <v>-84.75</v>
      </c>
      <c r="L136" s="156">
        <f>IF(I136="","",SUMIF(제품등록!B:B,정리표!C:C,제품등록!F:F))</f>
        <v>365</v>
      </c>
      <c r="M136" s="11">
        <f t="shared" si="44"/>
        <v>45832</v>
      </c>
      <c r="N136" s="158">
        <f t="shared" si="45"/>
        <v>91.25</v>
      </c>
      <c r="O136" s="11">
        <f t="shared" si="46"/>
        <v>45923.25</v>
      </c>
    </row>
    <row r="137" spans="1:15" x14ac:dyDescent="0.3">
      <c r="A137" s="10">
        <f t="shared" si="42"/>
        <v>135</v>
      </c>
      <c r="B137" s="10">
        <v>6871</v>
      </c>
      <c r="C137" s="10" t="str">
        <f>VLOOKUP(B:B,재고차이!A:B,2,0)</f>
        <v>PA6871</v>
      </c>
      <c r="D137" s="10" t="str">
        <f>VLOOKUP(C:C,재고차이!B:C,2,0)</f>
        <v>S)파워 마운틴블라 600PET 4X6</v>
      </c>
      <c r="E137" s="10"/>
      <c r="F137" s="10"/>
      <c r="G137" s="200">
        <v>39</v>
      </c>
      <c r="H137" s="10"/>
      <c r="I137" s="199">
        <v>46197</v>
      </c>
      <c r="J137" s="199"/>
      <c r="K137" s="165">
        <f t="shared" ca="1" si="43"/>
        <v>-84.75</v>
      </c>
      <c r="L137" s="156">
        <f>IF(I137="","",SUMIF(제품등록!B:B,정리표!C:C,제품등록!F:F))</f>
        <v>365</v>
      </c>
      <c r="M137" s="11">
        <f t="shared" si="44"/>
        <v>45832</v>
      </c>
      <c r="N137" s="158">
        <f t="shared" si="45"/>
        <v>91.25</v>
      </c>
      <c r="O137" s="11">
        <f t="shared" si="46"/>
        <v>45923.25</v>
      </c>
    </row>
    <row r="138" spans="1:15" x14ac:dyDescent="0.3">
      <c r="A138" s="10">
        <f t="shared" si="42"/>
        <v>136</v>
      </c>
      <c r="B138" s="10">
        <v>7923</v>
      </c>
      <c r="C138" s="10" t="str">
        <f>VLOOKUP(B:B,재고차이!A:B,2,0)</f>
        <v>CC7923</v>
      </c>
      <c r="D138" s="10" t="str">
        <f>VLOOKUP(C:C,재고차이!B:C,2,0)</f>
        <v>S)코카-콜라1.5PET 2X6</v>
      </c>
      <c r="E138" s="200">
        <v>20</v>
      </c>
      <c r="F138" s="200"/>
      <c r="G138" s="200"/>
      <c r="H138" s="200"/>
      <c r="I138" s="164">
        <v>46192</v>
      </c>
      <c r="J138" s="199"/>
      <c r="K138" s="165">
        <f t="shared" ca="1" si="43"/>
        <v>-89.75</v>
      </c>
      <c r="L138" s="156">
        <f>IF(I138="","",SUMIF(제품등록!B:B,정리표!C:C,제품등록!F:F))</f>
        <v>365</v>
      </c>
      <c r="M138" s="11">
        <f t="shared" si="44"/>
        <v>45827</v>
      </c>
      <c r="N138" s="158">
        <f t="shared" si="45"/>
        <v>91.25</v>
      </c>
      <c r="O138" s="11">
        <f t="shared" si="46"/>
        <v>45918.25</v>
      </c>
    </row>
    <row r="139" spans="1:15" x14ac:dyDescent="0.3">
      <c r="A139" s="10">
        <f t="shared" si="42"/>
        <v>137</v>
      </c>
      <c r="B139" s="10">
        <v>7923</v>
      </c>
      <c r="C139" s="10" t="str">
        <f>VLOOKUP(B:B,재고차이!A:B,2,0)</f>
        <v>CC7923</v>
      </c>
      <c r="D139" s="10" t="str">
        <f>VLOOKUP(C:C,재고차이!B:C,2,0)</f>
        <v>S)코카-콜라1.5PET 2X6</v>
      </c>
      <c r="E139" s="200">
        <v>10</v>
      </c>
      <c r="F139" s="200"/>
      <c r="G139" s="200"/>
      <c r="H139" s="200"/>
      <c r="I139" s="164">
        <v>46196</v>
      </c>
      <c r="J139" s="199"/>
      <c r="K139" s="165">
        <f t="shared" ca="1" si="43"/>
        <v>-85.75</v>
      </c>
      <c r="L139" s="156">
        <f>IF(I139="","",SUMIF(제품등록!B:B,정리표!C:C,제품등록!F:F))</f>
        <v>365</v>
      </c>
      <c r="M139" s="11">
        <f t="shared" si="44"/>
        <v>45831</v>
      </c>
      <c r="N139" s="158">
        <f t="shared" si="45"/>
        <v>91.25</v>
      </c>
      <c r="O139" s="11">
        <f t="shared" si="46"/>
        <v>45922.25</v>
      </c>
    </row>
    <row r="140" spans="1:15" x14ac:dyDescent="0.3">
      <c r="A140" s="10">
        <f t="shared" si="42"/>
        <v>138</v>
      </c>
      <c r="B140" s="24">
        <v>7923</v>
      </c>
      <c r="C140" s="10" t="str">
        <f>VLOOKUP(B:B,재고차이!A:B,2,0)</f>
        <v>CC7923</v>
      </c>
      <c r="D140" s="10" t="str">
        <f>VLOOKUP(C:C,재고차이!B:C,2,0)</f>
        <v>S)코카-콜라1.5PET 2X6</v>
      </c>
      <c r="E140" s="10"/>
      <c r="F140" s="10"/>
      <c r="G140" s="10">
        <v>14</v>
      </c>
      <c r="H140" s="10"/>
      <c r="I140" s="199">
        <v>46192</v>
      </c>
      <c r="J140" s="199"/>
      <c r="K140" s="165">
        <f t="shared" ca="1" si="43"/>
        <v>-89.75</v>
      </c>
      <c r="L140" s="156">
        <f>IF(I140="","",SUMIF(제품등록!B:B,정리표!C:C,제품등록!F:F))</f>
        <v>365</v>
      </c>
      <c r="M140" s="11">
        <f t="shared" si="44"/>
        <v>45827</v>
      </c>
      <c r="N140" s="158">
        <f t="shared" si="45"/>
        <v>91.25</v>
      </c>
      <c r="O140" s="11">
        <f t="shared" si="46"/>
        <v>45918.25</v>
      </c>
    </row>
    <row r="141" spans="1:15" x14ac:dyDescent="0.3">
      <c r="A141" s="10">
        <f t="shared" si="42"/>
        <v>139</v>
      </c>
      <c r="B141" s="10">
        <v>7949</v>
      </c>
      <c r="C141" s="10" t="str">
        <f>VLOOKUP(B:B,재고차이!A:B,2,0)</f>
        <v>MM7949</v>
      </c>
      <c r="D141" s="10" t="str">
        <f>VLOOKUP(C:C,재고차이!B:C,2,0)</f>
        <v>미닛 오+포+알 180NRB 3X12</v>
      </c>
      <c r="E141" s="10"/>
      <c r="F141" s="10"/>
      <c r="G141" s="200">
        <v>29</v>
      </c>
      <c r="H141" s="10"/>
      <c r="I141" s="199">
        <v>46089</v>
      </c>
      <c r="J141" s="164"/>
      <c r="K141" s="165">
        <f t="shared" ca="1" si="43"/>
        <v>-123.75</v>
      </c>
      <c r="L141" s="156">
        <f>IF(I141="","",SUMIF(제품등록!B:B,정리표!C:C,제품등록!F:F))</f>
        <v>273</v>
      </c>
      <c r="M141" s="11">
        <f t="shared" si="44"/>
        <v>45816</v>
      </c>
      <c r="N141" s="158">
        <f t="shared" si="45"/>
        <v>68.25</v>
      </c>
      <c r="O141" s="11">
        <f t="shared" si="46"/>
        <v>45884.25</v>
      </c>
    </row>
    <row r="142" spans="1:15" x14ac:dyDescent="0.3">
      <c r="A142" s="10">
        <f t="shared" si="42"/>
        <v>140</v>
      </c>
      <c r="B142" s="10">
        <v>7988</v>
      </c>
      <c r="C142" s="10" t="str">
        <f>VLOOKUP(B:B,재고차이!A:B,2,0)</f>
        <v>DP7988</v>
      </c>
      <c r="D142" s="10" t="str">
        <f>VLOOKUP(C:C,재고차이!B:C,2,0)</f>
        <v>닥터페퍼 500PET 4X6</v>
      </c>
      <c r="E142" s="10">
        <v>28</v>
      </c>
      <c r="F142" s="10"/>
      <c r="G142" s="200"/>
      <c r="H142" s="200"/>
      <c r="I142" s="199">
        <v>46181</v>
      </c>
      <c r="J142" s="199"/>
      <c r="K142" s="165">
        <f t="shared" ca="1" si="43"/>
        <v>-100.75</v>
      </c>
      <c r="L142" s="156">
        <f>IF(I142="","",SUMIF(제품등록!B:B,정리표!C:C,제품등록!F:F))</f>
        <v>365</v>
      </c>
      <c r="M142" s="11">
        <f t="shared" si="44"/>
        <v>45816</v>
      </c>
      <c r="N142" s="158">
        <f t="shared" si="45"/>
        <v>91.25</v>
      </c>
      <c r="O142" s="11">
        <f t="shared" si="46"/>
        <v>45907.25</v>
      </c>
    </row>
    <row r="143" spans="1:15" x14ac:dyDescent="0.3">
      <c r="A143" s="10">
        <f t="shared" si="42"/>
        <v>141</v>
      </c>
      <c r="B143" s="24">
        <v>7988</v>
      </c>
      <c r="C143" s="10" t="str">
        <f>VLOOKUP(B:B,재고차이!A:B,2,0)</f>
        <v>DP7988</v>
      </c>
      <c r="D143" s="10" t="str">
        <f>VLOOKUP(C:C,재고차이!B:C,2,0)</f>
        <v>닥터페퍼 500PET 4X6</v>
      </c>
      <c r="E143" s="10"/>
      <c r="F143" s="10"/>
      <c r="G143" s="10">
        <v>28</v>
      </c>
      <c r="H143" s="10"/>
      <c r="I143" s="199">
        <v>46181</v>
      </c>
      <c r="J143" s="199"/>
      <c r="K143" s="165">
        <f t="shared" ca="1" si="43"/>
        <v>-100.75</v>
      </c>
      <c r="L143" s="156">
        <f>IF(I143="","",SUMIF(제품등록!B:B,정리표!C:C,제품등록!F:F))</f>
        <v>365</v>
      </c>
      <c r="M143" s="11">
        <f t="shared" si="44"/>
        <v>45816</v>
      </c>
      <c r="N143" s="158">
        <f t="shared" si="45"/>
        <v>91.25</v>
      </c>
      <c r="O143" s="11">
        <f t="shared" si="46"/>
        <v>45907.25</v>
      </c>
    </row>
    <row r="144" spans="1:15" x14ac:dyDescent="0.3">
      <c r="A144" s="10">
        <f t="shared" si="42"/>
        <v>142</v>
      </c>
      <c r="B144" s="10">
        <v>7994</v>
      </c>
      <c r="C144" s="10" t="str">
        <f>VLOOKUP(B:B,재고차이!A:B,2,0)</f>
        <v>DP7994</v>
      </c>
      <c r="D144" s="10" t="str">
        <f>VLOOKUP(C:C,재고차이!B:C,2,0)</f>
        <v>닥터페퍼 제로 350CAN 4X6</v>
      </c>
      <c r="E144" s="10">
        <v>17</v>
      </c>
      <c r="F144" s="10"/>
      <c r="G144" s="200"/>
      <c r="H144" s="200"/>
      <c r="I144" s="199">
        <v>46192</v>
      </c>
      <c r="J144" s="199"/>
      <c r="K144" s="165">
        <f t="shared" ca="1" si="43"/>
        <v>-89.75</v>
      </c>
      <c r="L144" s="156">
        <f>IF(I144="","",SUMIF(제품등록!B:B,정리표!C:C,제품등록!F:F))</f>
        <v>365</v>
      </c>
      <c r="M144" s="11">
        <f t="shared" si="44"/>
        <v>45827</v>
      </c>
      <c r="N144" s="158">
        <f t="shared" si="45"/>
        <v>91.25</v>
      </c>
      <c r="O144" s="11">
        <f t="shared" si="46"/>
        <v>45918.25</v>
      </c>
    </row>
    <row r="145" spans="1:15" x14ac:dyDescent="0.3">
      <c r="A145" s="10">
        <f t="shared" si="42"/>
        <v>143</v>
      </c>
      <c r="B145" s="24">
        <v>7994</v>
      </c>
      <c r="C145" s="10" t="str">
        <f>VLOOKUP(B:B,재고차이!A:B,2,0)</f>
        <v>DP7994</v>
      </c>
      <c r="D145" s="10" t="str">
        <f>VLOOKUP(C:C,재고차이!B:C,2,0)</f>
        <v>닥터페퍼 제로 350CAN 4X6</v>
      </c>
      <c r="E145" s="10"/>
      <c r="F145" s="10"/>
      <c r="G145" s="10">
        <v>30</v>
      </c>
      <c r="H145" s="10"/>
      <c r="I145" s="199">
        <v>46192</v>
      </c>
      <c r="J145" s="199"/>
      <c r="K145" s="165">
        <f t="shared" ca="1" si="43"/>
        <v>-89.75</v>
      </c>
      <c r="L145" s="156">
        <f>IF(I145="","",SUMIF(제품등록!B:B,정리표!C:C,제품등록!F:F))</f>
        <v>365</v>
      </c>
      <c r="M145" s="11">
        <f t="shared" si="44"/>
        <v>45827</v>
      </c>
      <c r="N145" s="158">
        <f t="shared" si="45"/>
        <v>91.25</v>
      </c>
      <c r="O145" s="11">
        <f t="shared" si="46"/>
        <v>45918.25</v>
      </c>
    </row>
    <row r="146" spans="1:15" x14ac:dyDescent="0.3">
      <c r="A146" s="10">
        <f t="shared" si="42"/>
        <v>144</v>
      </c>
      <c r="B146" s="10">
        <v>8058</v>
      </c>
      <c r="C146" s="10" t="str">
        <f>VLOOKUP(B:B,재고차이!A:B,2,0)</f>
        <v>GG8058</v>
      </c>
      <c r="D146" s="10" t="str">
        <f>VLOOKUP(C:C,재고차이!B:C,2,0)</f>
        <v>조지아 크래프트 스윗블랙 470PET 4X6</v>
      </c>
      <c r="E146" s="200">
        <f>1+8</f>
        <v>9</v>
      </c>
      <c r="F146" s="200"/>
      <c r="G146" s="200"/>
      <c r="H146" s="200"/>
      <c r="I146" s="164">
        <v>46190</v>
      </c>
      <c r="J146" s="164"/>
      <c r="K146" s="165">
        <f t="shared" ca="1" si="43"/>
        <v>-91.75</v>
      </c>
      <c r="L146" s="156">
        <f>IF(I146="","",SUMIF(제품등록!B:B,정리표!C:C,제품등록!F:F))</f>
        <v>365</v>
      </c>
      <c r="M146" s="11">
        <f t="shared" si="44"/>
        <v>45825</v>
      </c>
      <c r="N146" s="158">
        <f t="shared" si="45"/>
        <v>91.25</v>
      </c>
      <c r="O146" s="11">
        <f t="shared" si="46"/>
        <v>45916.25</v>
      </c>
    </row>
    <row r="147" spans="1:15" x14ac:dyDescent="0.3">
      <c r="A147" s="10">
        <f t="shared" si="42"/>
        <v>145</v>
      </c>
      <c r="B147" s="24">
        <v>8058</v>
      </c>
      <c r="C147" s="10" t="str">
        <f>VLOOKUP(B:B,재고차이!A:B,2,0)</f>
        <v>GG8058</v>
      </c>
      <c r="D147" s="10" t="str">
        <f>VLOOKUP(C:C,재고차이!B:C,2,0)</f>
        <v>조지아 크래프트 스윗블랙 470PET 4X6</v>
      </c>
      <c r="E147" s="10"/>
      <c r="F147" s="10"/>
      <c r="G147" s="10">
        <v>1</v>
      </c>
      <c r="H147" s="10"/>
      <c r="I147" s="199">
        <v>46190</v>
      </c>
      <c r="J147" s="199"/>
      <c r="K147" s="165">
        <f t="shared" ca="1" si="43"/>
        <v>-91.75</v>
      </c>
      <c r="L147" s="156">
        <f>IF(I147="","",SUMIF(제품등록!B:B,정리표!C:C,제품등록!F:F))</f>
        <v>365</v>
      </c>
      <c r="M147" s="11">
        <f t="shared" si="44"/>
        <v>45825</v>
      </c>
      <c r="N147" s="158">
        <f t="shared" si="45"/>
        <v>91.25</v>
      </c>
      <c r="O147" s="11">
        <f t="shared" si="46"/>
        <v>45916.25</v>
      </c>
    </row>
    <row r="148" spans="1:15" x14ac:dyDescent="0.3">
      <c r="A148" s="10">
        <f t="shared" si="42"/>
        <v>146</v>
      </c>
      <c r="B148" s="10">
        <v>8065</v>
      </c>
      <c r="C148" s="10" t="str">
        <f>VLOOKUP(B:B,재고차이!A:B,2,0)</f>
        <v>GG8065</v>
      </c>
      <c r="D148" s="10" t="str">
        <f>VLOOKUP(C:C,재고차이!B:C,2,0)</f>
        <v>조지아 크래프트 블랙 470PET 4X6</v>
      </c>
      <c r="E148" s="200">
        <f>14+10</f>
        <v>24</v>
      </c>
      <c r="F148" s="200"/>
      <c r="G148" s="200"/>
      <c r="H148" s="200"/>
      <c r="I148" s="164">
        <v>46191</v>
      </c>
      <c r="J148" s="164"/>
      <c r="K148" s="165">
        <f t="shared" ca="1" si="43"/>
        <v>-90.75</v>
      </c>
      <c r="L148" s="156">
        <f>IF(I148="","",SUMIF(제품등록!B:B,정리표!C:C,제품등록!F:F))</f>
        <v>365</v>
      </c>
      <c r="M148" s="11">
        <f t="shared" si="44"/>
        <v>45826</v>
      </c>
      <c r="N148" s="158">
        <f t="shared" si="45"/>
        <v>91.25</v>
      </c>
      <c r="O148" s="11">
        <f t="shared" si="46"/>
        <v>45917.25</v>
      </c>
    </row>
    <row r="149" spans="1:15" x14ac:dyDescent="0.3">
      <c r="A149" s="10">
        <f t="shared" si="42"/>
        <v>147</v>
      </c>
      <c r="B149" s="24">
        <v>8065</v>
      </c>
      <c r="C149" s="10" t="str">
        <f>VLOOKUP(B:B,재고차이!A:B,2,0)</f>
        <v>GG8065</v>
      </c>
      <c r="D149" s="10" t="str">
        <f>VLOOKUP(C:C,재고차이!B:C,2,0)</f>
        <v>조지아 크래프트 블랙 470PET 4X6</v>
      </c>
      <c r="E149" s="10"/>
      <c r="F149" s="10"/>
      <c r="G149" s="10">
        <v>51</v>
      </c>
      <c r="H149" s="10"/>
      <c r="I149" s="199">
        <v>46192</v>
      </c>
      <c r="J149" s="199"/>
      <c r="K149" s="165">
        <f t="shared" ca="1" si="43"/>
        <v>-89.75</v>
      </c>
      <c r="L149" s="156">
        <f>IF(I149="","",SUMIF(제품등록!B:B,정리표!C:C,제품등록!F:F))</f>
        <v>365</v>
      </c>
      <c r="M149" s="11">
        <f t="shared" si="44"/>
        <v>45827</v>
      </c>
      <c r="N149" s="158">
        <f t="shared" si="45"/>
        <v>91.25</v>
      </c>
      <c r="O149" s="11">
        <f t="shared" si="46"/>
        <v>45918.25</v>
      </c>
    </row>
    <row r="150" spans="1:15" x14ac:dyDescent="0.3">
      <c r="A150" s="10">
        <f t="shared" si="42"/>
        <v>148</v>
      </c>
      <c r="B150" s="10">
        <v>8066</v>
      </c>
      <c r="C150" s="10" t="str">
        <f>VLOOKUP(B:B,재고차이!A:B,2,0)</f>
        <v>GG8066</v>
      </c>
      <c r="D150" s="10" t="str">
        <f>VLOOKUP(C:C,재고차이!B:C,2,0)</f>
        <v>조지아 크래프트 라떼 470PET 4X6</v>
      </c>
      <c r="E150" s="200">
        <v>24</v>
      </c>
      <c r="F150" s="200"/>
      <c r="G150" s="200"/>
      <c r="H150" s="200"/>
      <c r="I150" s="164">
        <v>46144</v>
      </c>
      <c r="J150" s="164"/>
      <c r="K150" s="165">
        <f t="shared" ca="1" si="43"/>
        <v>-92</v>
      </c>
      <c r="L150" s="156">
        <f>IF(I150="","",SUMIF(제품등록!B:B,정리표!C:C,제품등록!F:F))</f>
        <v>304</v>
      </c>
      <c r="M150" s="11">
        <f t="shared" si="44"/>
        <v>45840</v>
      </c>
      <c r="N150" s="158">
        <f t="shared" si="45"/>
        <v>76</v>
      </c>
      <c r="O150" s="11">
        <f t="shared" si="46"/>
        <v>45916</v>
      </c>
    </row>
    <row r="151" spans="1:15" x14ac:dyDescent="0.3">
      <c r="A151" s="10">
        <f t="shared" si="42"/>
        <v>149</v>
      </c>
      <c r="B151" s="24">
        <v>8066</v>
      </c>
      <c r="C151" s="10" t="str">
        <f>VLOOKUP(B:B,재고차이!A:B,2,0)</f>
        <v>GG8066</v>
      </c>
      <c r="D151" s="10" t="str">
        <f>VLOOKUP(C:C,재고차이!B:C,2,0)</f>
        <v>조지아 크래프트 라떼 470PET 4X6</v>
      </c>
      <c r="E151" s="10"/>
      <c r="F151" s="10"/>
      <c r="G151" s="10">
        <v>55</v>
      </c>
      <c r="H151" s="10"/>
      <c r="I151" s="199">
        <v>46144</v>
      </c>
      <c r="J151" s="199"/>
      <c r="K151" s="165">
        <f t="shared" ca="1" si="43"/>
        <v>-92</v>
      </c>
      <c r="L151" s="156">
        <f>IF(I151="","",SUMIF(제품등록!B:B,정리표!C:C,제품등록!F:F))</f>
        <v>304</v>
      </c>
      <c r="M151" s="11">
        <f t="shared" si="44"/>
        <v>45840</v>
      </c>
      <c r="N151" s="158">
        <f t="shared" si="45"/>
        <v>76</v>
      </c>
      <c r="O151" s="11">
        <f t="shared" si="46"/>
        <v>45916</v>
      </c>
    </row>
    <row r="152" spans="1:15" x14ac:dyDescent="0.3">
      <c r="A152" s="10">
        <f t="shared" si="42"/>
        <v>150</v>
      </c>
      <c r="B152" s="10">
        <v>8273</v>
      </c>
      <c r="C152" s="10" t="str">
        <f>VLOOKUP(B:B,재고차이!A:B,2,0)</f>
        <v>CC8273</v>
      </c>
      <c r="D152" s="10" t="str">
        <f>VLOOKUP(C:C,재고차이!B:C,2,0)</f>
        <v>코크 제로 250CAN 5X6</v>
      </c>
      <c r="E152" s="200"/>
      <c r="F152" s="200"/>
      <c r="G152" s="200">
        <v>14</v>
      </c>
      <c r="H152" s="200"/>
      <c r="I152" s="164">
        <v>46563</v>
      </c>
      <c r="J152" s="199"/>
      <c r="K152" s="165">
        <f t="shared" ca="1" si="43"/>
        <v>281.25</v>
      </c>
      <c r="L152" s="156">
        <f>IF(I152="","",SUMIF(제품등록!B:B,정리표!C:C,제품등록!F:F))</f>
        <v>365</v>
      </c>
      <c r="M152" s="11">
        <f t="shared" si="44"/>
        <v>46198</v>
      </c>
      <c r="N152" s="158">
        <f t="shared" si="45"/>
        <v>91.25</v>
      </c>
      <c r="O152" s="11">
        <f t="shared" si="46"/>
        <v>46289.25</v>
      </c>
    </row>
    <row r="153" spans="1:15" x14ac:dyDescent="0.3">
      <c r="A153" s="10">
        <f t="shared" si="42"/>
        <v>151</v>
      </c>
      <c r="B153" s="10">
        <v>8278</v>
      </c>
      <c r="C153" s="10" t="str">
        <f>VLOOKUP(B:B,재고차이!A:B,2,0)</f>
        <v>GG8278</v>
      </c>
      <c r="D153" s="10" t="str">
        <f>VLOOKUP(C:C,재고차이!B:C,2,0)</f>
        <v>조지아 크래프트 저칼로리라떼 470PET 4X6</v>
      </c>
      <c r="E153" s="10">
        <v>14</v>
      </c>
      <c r="F153" s="10"/>
      <c r="G153" s="200"/>
      <c r="H153" s="200"/>
      <c r="I153" s="199">
        <v>46110</v>
      </c>
      <c r="J153" s="164"/>
      <c r="K153" s="165">
        <f t="shared" ca="1" si="43"/>
        <v>-126</v>
      </c>
      <c r="L153" s="156">
        <f>IF(I153="","",SUMIF(제품등록!B:B,정리표!C:C,제품등록!F:F))</f>
        <v>304</v>
      </c>
      <c r="M153" s="11">
        <f t="shared" si="44"/>
        <v>45806</v>
      </c>
      <c r="N153" s="158">
        <f t="shared" si="45"/>
        <v>76</v>
      </c>
      <c r="O153" s="11">
        <f t="shared" si="46"/>
        <v>45882</v>
      </c>
    </row>
    <row r="154" spans="1:15" x14ac:dyDescent="0.3">
      <c r="A154" s="10">
        <f t="shared" si="42"/>
        <v>152</v>
      </c>
      <c r="B154" s="10">
        <v>8278</v>
      </c>
      <c r="C154" s="10" t="str">
        <f>VLOOKUP(B:B,재고차이!A:B,2,0)</f>
        <v>GG8278</v>
      </c>
      <c r="D154" s="10" t="str">
        <f>VLOOKUP(C:C,재고차이!B:C,2,0)</f>
        <v>조지아 크래프트 저칼로리라떼 470PET 4X6</v>
      </c>
      <c r="E154" s="10"/>
      <c r="F154" s="10"/>
      <c r="G154" s="10">
        <v>40</v>
      </c>
      <c r="H154" s="10"/>
      <c r="I154" s="199">
        <v>46110</v>
      </c>
      <c r="J154" s="199"/>
      <c r="K154" s="165">
        <f t="shared" ca="1" si="43"/>
        <v>-126</v>
      </c>
      <c r="L154" s="156">
        <f>IF(I154="","",SUMIF(제품등록!B:B,정리표!C:C,제품등록!F:F))</f>
        <v>304</v>
      </c>
      <c r="M154" s="11">
        <f t="shared" si="44"/>
        <v>45806</v>
      </c>
      <c r="N154" s="158">
        <f t="shared" si="45"/>
        <v>76</v>
      </c>
      <c r="O154" s="11">
        <f t="shared" si="46"/>
        <v>45882</v>
      </c>
    </row>
    <row r="155" spans="1:15" x14ac:dyDescent="0.3">
      <c r="A155" s="10">
        <f t="shared" si="42"/>
        <v>153</v>
      </c>
      <c r="B155" s="10">
        <v>8429</v>
      </c>
      <c r="C155" s="10" t="str">
        <f>VLOOKUP(B:B,재고차이!A:B,2,0)</f>
        <v>CC8429</v>
      </c>
      <c r="D155" s="10" t="str">
        <f>VLOOKUP(C:C,재고차이!B:C,2,0)</f>
        <v>코크제로 1.5PET 2X6</v>
      </c>
      <c r="E155" s="200">
        <f>29+4</f>
        <v>33</v>
      </c>
      <c r="F155" s="200"/>
      <c r="G155" s="200"/>
      <c r="H155" s="200"/>
      <c r="I155" s="199">
        <v>46103</v>
      </c>
      <c r="J155" s="199"/>
      <c r="K155" s="165">
        <f t="shared" ca="1" si="43"/>
        <v>-109.75</v>
      </c>
      <c r="L155" s="156">
        <f>IF(I155="","",SUMIF(제품등록!B:B,정리표!C:C,제품등록!F:F))</f>
        <v>273</v>
      </c>
      <c r="M155" s="11">
        <f t="shared" si="44"/>
        <v>45830</v>
      </c>
      <c r="N155" s="158">
        <f t="shared" si="45"/>
        <v>68.25</v>
      </c>
      <c r="O155" s="11">
        <f t="shared" si="46"/>
        <v>45898.25</v>
      </c>
    </row>
    <row r="156" spans="1:15" x14ac:dyDescent="0.3">
      <c r="A156" s="10">
        <f t="shared" si="42"/>
        <v>154</v>
      </c>
      <c r="B156" s="24">
        <v>8429</v>
      </c>
      <c r="C156" s="10" t="str">
        <f>VLOOKUP(B:B,재고차이!A:B,2,0)</f>
        <v>CC8429</v>
      </c>
      <c r="D156" s="10" t="str">
        <f>VLOOKUP(C:C,재고차이!B:C,2,0)</f>
        <v>코크제로 1.5PET 2X6</v>
      </c>
      <c r="E156" s="10"/>
      <c r="F156" s="10"/>
      <c r="G156" s="10">
        <v>8</v>
      </c>
      <c r="H156" s="10"/>
      <c r="I156" s="199">
        <v>46103</v>
      </c>
      <c r="J156" s="199"/>
      <c r="K156" s="165">
        <f t="shared" ca="1" si="43"/>
        <v>-109.75</v>
      </c>
      <c r="L156" s="156">
        <f>IF(I156="","",SUMIF(제품등록!B:B,정리표!C:C,제품등록!F:F))</f>
        <v>273</v>
      </c>
      <c r="M156" s="11">
        <f t="shared" si="44"/>
        <v>45830</v>
      </c>
      <c r="N156" s="158">
        <f t="shared" si="45"/>
        <v>68.25</v>
      </c>
      <c r="O156" s="11">
        <f t="shared" si="46"/>
        <v>45898.25</v>
      </c>
    </row>
    <row r="157" spans="1:15" x14ac:dyDescent="0.3">
      <c r="A157" s="10">
        <f t="shared" si="42"/>
        <v>155</v>
      </c>
      <c r="B157" s="10">
        <v>8521</v>
      </c>
      <c r="C157" s="10" t="str">
        <f>VLOOKUP(B:B,재고차이!A:B,2,0)</f>
        <v>PA8521</v>
      </c>
      <c r="D157" s="10" t="str">
        <f>VLOOKUP(C:C,재고차이!B:C,2,0)</f>
        <v>파워M/B 240CAN 5X6</v>
      </c>
      <c r="E157" s="200">
        <v>19</v>
      </c>
      <c r="F157" s="200"/>
      <c r="G157" s="200"/>
      <c r="H157" s="200"/>
      <c r="I157" s="164">
        <v>46575</v>
      </c>
      <c r="J157" s="164"/>
      <c r="K157" s="165">
        <f t="shared" ca="1" si="43"/>
        <v>19.5</v>
      </c>
      <c r="L157" s="156">
        <f>IF(I157="","",SUMIF(제품등록!B:B,정리표!C:C,제품등록!F:F))</f>
        <v>730</v>
      </c>
      <c r="M157" s="11">
        <f t="shared" si="44"/>
        <v>45845</v>
      </c>
      <c r="N157" s="158">
        <f t="shared" si="45"/>
        <v>182.5</v>
      </c>
      <c r="O157" s="11">
        <f t="shared" si="46"/>
        <v>46027.5</v>
      </c>
    </row>
    <row r="158" spans="1:15" x14ac:dyDescent="0.3">
      <c r="A158" s="10">
        <f t="shared" si="42"/>
        <v>156</v>
      </c>
      <c r="B158" s="10">
        <v>8521</v>
      </c>
      <c r="C158" s="10" t="str">
        <f>VLOOKUP(B:B,재고차이!A:B,2,0)</f>
        <v>PA8521</v>
      </c>
      <c r="D158" s="10" t="str">
        <f>VLOOKUP(C:C,재고차이!B:C,2,0)</f>
        <v>파워M/B 240CAN 5X6</v>
      </c>
      <c r="E158" s="10"/>
      <c r="F158" s="10"/>
      <c r="G158" s="10">
        <v>45</v>
      </c>
      <c r="H158" s="10"/>
      <c r="I158" s="199">
        <v>46575</v>
      </c>
      <c r="J158" s="199"/>
      <c r="K158" s="165">
        <f t="shared" ca="1" si="43"/>
        <v>19.5</v>
      </c>
      <c r="L158" s="156">
        <f>IF(I158="","",SUMIF(제품등록!B:B,정리표!C:C,제품등록!F:F))</f>
        <v>730</v>
      </c>
      <c r="M158" s="11">
        <f t="shared" si="44"/>
        <v>45845</v>
      </c>
      <c r="N158" s="158">
        <f t="shared" si="45"/>
        <v>182.5</v>
      </c>
      <c r="O158" s="11">
        <f t="shared" si="46"/>
        <v>46027.5</v>
      </c>
    </row>
    <row r="159" spans="1:15" x14ac:dyDescent="0.3">
      <c r="A159" s="10">
        <f t="shared" si="42"/>
        <v>157</v>
      </c>
      <c r="B159" s="10">
        <v>8541</v>
      </c>
      <c r="C159" s="10" t="str">
        <f>VLOOKUP(B:B,재고차이!A:B,2,0)</f>
        <v>PA8541</v>
      </c>
      <c r="D159" s="10" t="str">
        <f>VLOOKUP(C:C,재고차이!B:C,2,0)</f>
        <v>파워마운틴소분1.5P 2X6</v>
      </c>
      <c r="E159" s="200">
        <f>32+5</f>
        <v>37</v>
      </c>
      <c r="F159" s="200"/>
      <c r="G159" s="200"/>
      <c r="H159" s="200"/>
      <c r="I159" s="164">
        <v>46191</v>
      </c>
      <c r="J159" s="164"/>
      <c r="K159" s="165">
        <f t="shared" ca="1" si="43"/>
        <v>-90.75</v>
      </c>
      <c r="L159" s="156">
        <f>IF(I159="","",SUMIF(제품등록!B:B,정리표!C:C,제품등록!F:F))</f>
        <v>365</v>
      </c>
      <c r="M159" s="11">
        <f t="shared" si="44"/>
        <v>45826</v>
      </c>
      <c r="N159" s="158">
        <f t="shared" si="45"/>
        <v>91.25</v>
      </c>
      <c r="O159" s="11">
        <f t="shared" si="46"/>
        <v>45917.25</v>
      </c>
    </row>
    <row r="160" spans="1:15" x14ac:dyDescent="0.3">
      <c r="A160" s="10">
        <f t="shared" ref="A160:A182" si="47">ROW()-2</f>
        <v>158</v>
      </c>
      <c r="B160" s="10">
        <v>8541</v>
      </c>
      <c r="C160" s="10" t="str">
        <f>VLOOKUP(B:B,재고차이!A:B,2,0)</f>
        <v>PA8541</v>
      </c>
      <c r="D160" s="10" t="str">
        <f>VLOOKUP(C:C,재고차이!B:C,2,0)</f>
        <v>파워마운틴소분1.5P 2X6</v>
      </c>
      <c r="E160" s="10"/>
      <c r="F160" s="10"/>
      <c r="G160" s="200">
        <v>6</v>
      </c>
      <c r="H160" s="10"/>
      <c r="I160" s="199">
        <v>46191</v>
      </c>
      <c r="J160" s="199"/>
      <c r="K160" s="165">
        <f t="shared" ca="1" si="43"/>
        <v>-90.75</v>
      </c>
      <c r="L160" s="156">
        <f>IF(I160="","",SUMIF(제품등록!B:B,정리표!C:C,제품등록!F:F))</f>
        <v>365</v>
      </c>
      <c r="M160" s="11">
        <f t="shared" si="44"/>
        <v>45826</v>
      </c>
      <c r="N160" s="158">
        <f t="shared" si="45"/>
        <v>91.25</v>
      </c>
      <c r="O160" s="11">
        <f t="shared" si="46"/>
        <v>45917.25</v>
      </c>
    </row>
    <row r="161" spans="1:15" x14ac:dyDescent="0.3">
      <c r="A161" s="10">
        <f t="shared" si="47"/>
        <v>159</v>
      </c>
      <c r="B161" s="10">
        <v>8560</v>
      </c>
      <c r="C161" s="10" t="str">
        <f>VLOOKUP(B:B,재고차이!A:B,2,0)</f>
        <v>TR8560</v>
      </c>
      <c r="D161" s="10" t="str">
        <f>VLOOKUP(C:C,재고차이!B:C,2,0)</f>
        <v>토레타 240CAN 5X6</v>
      </c>
      <c r="E161" s="200">
        <v>3</v>
      </c>
      <c r="F161" s="200"/>
      <c r="G161" s="200"/>
      <c r="H161" s="200"/>
      <c r="I161" s="164">
        <v>46185</v>
      </c>
      <c r="J161" s="164"/>
      <c r="K161" s="165">
        <f t="shared" ca="1" si="43"/>
        <v>-96.75</v>
      </c>
      <c r="L161" s="156">
        <f>IF(I161="","",SUMIF(제품등록!B:B,정리표!C:C,제품등록!F:F))</f>
        <v>365</v>
      </c>
      <c r="M161" s="11">
        <f t="shared" si="44"/>
        <v>45820</v>
      </c>
      <c r="N161" s="158">
        <f t="shared" si="45"/>
        <v>91.25</v>
      </c>
      <c r="O161" s="11">
        <f t="shared" si="46"/>
        <v>45911.25</v>
      </c>
    </row>
    <row r="162" spans="1:15" x14ac:dyDescent="0.3">
      <c r="A162" s="10">
        <f t="shared" si="47"/>
        <v>160</v>
      </c>
      <c r="B162" s="10">
        <v>8560</v>
      </c>
      <c r="C162" s="10" t="str">
        <f>VLOOKUP(B:B,재고차이!A:B,2,0)</f>
        <v>TR8560</v>
      </c>
      <c r="D162" s="10" t="str">
        <f>VLOOKUP(C:C,재고차이!B:C,2,0)</f>
        <v>토레타 240CAN 5X6</v>
      </c>
      <c r="E162" s="10"/>
      <c r="F162" s="10"/>
      <c r="G162" s="10">
        <v>51</v>
      </c>
      <c r="H162" s="10"/>
      <c r="I162" s="199">
        <v>46161</v>
      </c>
      <c r="J162" s="199"/>
      <c r="K162" s="165">
        <f t="shared" ca="1" si="43"/>
        <v>-120.75</v>
      </c>
      <c r="L162" s="156">
        <f>IF(I162="","",SUMIF(제품등록!B:B,정리표!C:C,제품등록!F:F))</f>
        <v>365</v>
      </c>
      <c r="M162" s="11">
        <f t="shared" si="44"/>
        <v>45796</v>
      </c>
      <c r="N162" s="158">
        <f t="shared" si="45"/>
        <v>91.25</v>
      </c>
      <c r="O162" s="11">
        <f t="shared" si="46"/>
        <v>45887.25</v>
      </c>
    </row>
    <row r="163" spans="1:15" x14ac:dyDescent="0.3">
      <c r="A163" s="10">
        <f t="shared" si="47"/>
        <v>161</v>
      </c>
      <c r="B163" s="10">
        <v>8561</v>
      </c>
      <c r="C163" s="10" t="str">
        <f>VLOOKUP(B:B,재고차이!A:B,2,0)</f>
        <v>TR8561</v>
      </c>
      <c r="D163" s="10" t="str">
        <f>VLOOKUP(C:C,재고차이!B:C,2,0)</f>
        <v>토레타 500ml (소분)</v>
      </c>
      <c r="E163" s="10">
        <f>6+18</f>
        <v>24</v>
      </c>
      <c r="F163" s="10"/>
      <c r="G163" s="200"/>
      <c r="H163" s="200"/>
      <c r="I163" s="164">
        <v>46163</v>
      </c>
      <c r="J163" s="164"/>
      <c r="K163" s="165">
        <f t="shared" ref="K163:K182" ca="1" si="48">IF(O163="","",O163-$I$1)</f>
        <v>-118.75</v>
      </c>
      <c r="L163" s="156">
        <f>IF(I163="","",SUMIF(제품등록!B:B,정리표!C:C,제품등록!F:F))</f>
        <v>365</v>
      </c>
      <c r="M163" s="11">
        <f t="shared" ref="M163:M194" si="49">IF(I163=0,"",I163-L163)</f>
        <v>45798</v>
      </c>
      <c r="N163" s="158">
        <f t="shared" ref="N163:N182" si="50">IF(L163="","",L163*상미75)</f>
        <v>91.25</v>
      </c>
      <c r="O163" s="11">
        <f t="shared" ref="O163:O194" si="51">IF(M163="","",M163+N163)</f>
        <v>45889.25</v>
      </c>
    </row>
    <row r="164" spans="1:15" x14ac:dyDescent="0.3">
      <c r="A164" s="10">
        <f t="shared" si="47"/>
        <v>162</v>
      </c>
      <c r="B164" s="10">
        <v>8561</v>
      </c>
      <c r="C164" s="10" t="str">
        <f>VLOOKUP(B:B,재고차이!A:B,2,0)</f>
        <v>TR8561</v>
      </c>
      <c r="D164" s="10" t="str">
        <f>VLOOKUP(C:C,재고차이!B:C,2,0)</f>
        <v>토레타 500ml (소분)</v>
      </c>
      <c r="E164" s="10">
        <v>28</v>
      </c>
      <c r="F164" s="10"/>
      <c r="G164" s="200"/>
      <c r="H164" s="200"/>
      <c r="I164" s="164">
        <v>46164</v>
      </c>
      <c r="J164" s="164"/>
      <c r="K164" s="165">
        <f t="shared" ca="1" si="48"/>
        <v>-117.75</v>
      </c>
      <c r="L164" s="156">
        <f>IF(I164="","",SUMIF(제품등록!B:B,정리표!C:C,제품등록!F:F))</f>
        <v>365</v>
      </c>
      <c r="M164" s="11">
        <f t="shared" si="49"/>
        <v>45799</v>
      </c>
      <c r="N164" s="158">
        <f t="shared" si="50"/>
        <v>91.25</v>
      </c>
      <c r="O164" s="11">
        <f t="shared" si="51"/>
        <v>45890.25</v>
      </c>
    </row>
    <row r="165" spans="1:15" x14ac:dyDescent="0.3">
      <c r="A165" s="10">
        <f t="shared" si="47"/>
        <v>163</v>
      </c>
      <c r="B165" s="10">
        <v>8561</v>
      </c>
      <c r="C165" s="10" t="str">
        <f>VLOOKUP(B:B,재고차이!A:B,2,0)</f>
        <v>TR8561</v>
      </c>
      <c r="D165" s="10" t="str">
        <f>VLOOKUP(C:C,재고차이!B:C,2,0)</f>
        <v>토레타 500ml (소분)</v>
      </c>
      <c r="E165" s="10"/>
      <c r="F165" s="10"/>
      <c r="G165" s="200">
        <v>51</v>
      </c>
      <c r="H165" s="10"/>
      <c r="I165" s="199">
        <v>46163</v>
      </c>
      <c r="J165" s="199"/>
      <c r="K165" s="165">
        <f t="shared" ca="1" si="48"/>
        <v>-118.75</v>
      </c>
      <c r="L165" s="156">
        <f>IF(I165="","",SUMIF(제품등록!B:B,정리표!C:C,제품등록!F:F))</f>
        <v>365</v>
      </c>
      <c r="M165" s="11">
        <f t="shared" si="49"/>
        <v>45798</v>
      </c>
      <c r="N165" s="158">
        <f t="shared" si="50"/>
        <v>91.25</v>
      </c>
      <c r="O165" s="11">
        <f t="shared" si="51"/>
        <v>45889.25</v>
      </c>
    </row>
    <row r="166" spans="1:15" x14ac:dyDescent="0.3">
      <c r="A166" s="10">
        <f t="shared" si="47"/>
        <v>164</v>
      </c>
      <c r="B166" s="10">
        <v>8590</v>
      </c>
      <c r="C166" s="10" t="str">
        <f>VLOOKUP(B:B,재고차이!A:B,2,0)</f>
        <v>TR8590</v>
      </c>
      <c r="D166" s="10" t="str">
        <f>VLOOKUP(C:C,재고차이!B:C,2,0)</f>
        <v>토레타 제로500PET 4x6</v>
      </c>
      <c r="E166" s="10">
        <f>12+18+34</f>
        <v>64</v>
      </c>
      <c r="F166" s="10"/>
      <c r="G166" s="200"/>
      <c r="H166" s="200"/>
      <c r="I166" s="164">
        <v>46211</v>
      </c>
      <c r="J166" s="164"/>
      <c r="K166" s="165">
        <f t="shared" ca="1" si="48"/>
        <v>-70.75</v>
      </c>
      <c r="L166" s="156">
        <f>IF(I166="","",SUMIF(제품등록!B:B,정리표!C:C,제품등록!F:F))</f>
        <v>365</v>
      </c>
      <c r="M166" s="11">
        <f t="shared" si="49"/>
        <v>45846</v>
      </c>
      <c r="N166" s="158">
        <f t="shared" si="50"/>
        <v>91.25</v>
      </c>
      <c r="O166" s="11">
        <f t="shared" si="51"/>
        <v>45937.25</v>
      </c>
    </row>
    <row r="167" spans="1:15" x14ac:dyDescent="0.3">
      <c r="A167" s="10">
        <f t="shared" si="47"/>
        <v>165</v>
      </c>
      <c r="B167" s="10">
        <v>8590</v>
      </c>
      <c r="C167" s="10" t="str">
        <f>VLOOKUP(B:B,재고차이!A:B,2,0)</f>
        <v>TR8590</v>
      </c>
      <c r="D167" s="10" t="str">
        <f>VLOOKUP(C:C,재고차이!B:C,2,0)</f>
        <v>토레타 제로500PET 4x6</v>
      </c>
      <c r="E167" s="10"/>
      <c r="F167" s="10"/>
      <c r="G167" s="10">
        <v>30</v>
      </c>
      <c r="H167" s="10"/>
      <c r="I167" s="199">
        <v>46211</v>
      </c>
      <c r="J167" s="199"/>
      <c r="K167" s="165">
        <f t="shared" ca="1" si="48"/>
        <v>-70.75</v>
      </c>
      <c r="L167" s="156">
        <f>IF(I167="","",SUMIF(제품등록!B:B,정리표!C:C,제품등록!F:F))</f>
        <v>365</v>
      </c>
      <c r="M167" s="11">
        <f t="shared" si="49"/>
        <v>45846</v>
      </c>
      <c r="N167" s="158">
        <f t="shared" si="50"/>
        <v>91.25</v>
      </c>
      <c r="O167" s="11">
        <f t="shared" si="51"/>
        <v>45937.25</v>
      </c>
    </row>
    <row r="168" spans="1:15" x14ac:dyDescent="0.3">
      <c r="A168" s="10">
        <f t="shared" si="47"/>
        <v>166</v>
      </c>
      <c r="B168" s="10">
        <v>9120</v>
      </c>
      <c r="C168" s="10" t="str">
        <f>VLOOKUP(B:B,재고차이!A:B,2,0)</f>
        <v>MJ9120</v>
      </c>
      <c r="D168" s="10" t="str">
        <f>VLOOKUP(C:C,재고차이!B:C,2,0)</f>
        <v>몸에좋은 Set 음양오행 180NRB 3X10</v>
      </c>
      <c r="E168" s="200">
        <v>3</v>
      </c>
      <c r="F168" s="200"/>
      <c r="G168" s="200"/>
      <c r="H168" s="200"/>
      <c r="I168" s="234">
        <v>46132</v>
      </c>
      <c r="J168" s="234" t="s">
        <v>2833</v>
      </c>
      <c r="K168" s="165">
        <f t="shared" ca="1" si="48"/>
        <v>-149.75</v>
      </c>
      <c r="L168" s="156">
        <f>IF(I168="","",SUMIF(제품등록!B:B,정리표!C:C,제품등록!F:F))</f>
        <v>365</v>
      </c>
      <c r="M168" s="11">
        <f t="shared" si="49"/>
        <v>45767</v>
      </c>
      <c r="N168" s="158">
        <f t="shared" si="50"/>
        <v>91.25</v>
      </c>
      <c r="O168" s="11">
        <f t="shared" si="51"/>
        <v>45858.25</v>
      </c>
    </row>
    <row r="169" spans="1:15" x14ac:dyDescent="0.3">
      <c r="A169" s="10">
        <f t="shared" si="47"/>
        <v>167</v>
      </c>
      <c r="B169" s="10">
        <v>9120</v>
      </c>
      <c r="C169" s="10" t="str">
        <f>VLOOKUP(B:B,재고차이!A:B,2,0)</f>
        <v>MJ9120</v>
      </c>
      <c r="D169" s="10" t="str">
        <f>VLOOKUP(C:C,재고차이!B:C,2,0)</f>
        <v>몸에좋은 Set 음양오행 180NRB 3X10</v>
      </c>
      <c r="E169" s="200"/>
      <c r="F169" s="200"/>
      <c r="G169" s="200">
        <v>63</v>
      </c>
      <c r="H169" s="200"/>
      <c r="I169" s="234">
        <v>46132</v>
      </c>
      <c r="J169" s="234" t="s">
        <v>2833</v>
      </c>
      <c r="K169" s="165">
        <f t="shared" ca="1" si="48"/>
        <v>-149.75</v>
      </c>
      <c r="L169" s="156">
        <f>IF(I169="","",SUMIF(제품등록!B:B,정리표!C:C,제품등록!F:F))</f>
        <v>365</v>
      </c>
      <c r="M169" s="11">
        <f t="shared" si="49"/>
        <v>45767</v>
      </c>
      <c r="N169" s="158">
        <f t="shared" si="50"/>
        <v>91.25</v>
      </c>
      <c r="O169" s="11">
        <f t="shared" si="51"/>
        <v>45858.25</v>
      </c>
    </row>
    <row r="170" spans="1:15" x14ac:dyDescent="0.3">
      <c r="A170" s="10">
        <f t="shared" si="47"/>
        <v>168</v>
      </c>
      <c r="B170" s="10" t="s">
        <v>2691</v>
      </c>
      <c r="C170" s="10" t="str">
        <f>VLOOKUP(B:B,재고차이!A:B,2,0)</f>
        <v>DP0439</v>
      </c>
      <c r="D170" s="10" t="str">
        <f>VLOOKUP(C:C,재고차이!B:C,2,0)</f>
        <v>S)닥터페퍼제로 스트로베리&amp;크림 350CAN4X6</v>
      </c>
      <c r="E170" s="10">
        <f>8+3</f>
        <v>11</v>
      </c>
      <c r="F170" s="10"/>
      <c r="G170" s="200"/>
      <c r="H170" s="200"/>
      <c r="I170" s="199">
        <v>46207</v>
      </c>
      <c r="J170" s="199"/>
      <c r="K170" s="165">
        <f t="shared" ca="1" si="48"/>
        <v>-74.75</v>
      </c>
      <c r="L170" s="156">
        <f>IF(I170="","",SUMIF(제품등록!B:B,정리표!C:C,제품등록!F:F))</f>
        <v>365</v>
      </c>
      <c r="M170" s="11">
        <f t="shared" si="49"/>
        <v>45842</v>
      </c>
      <c r="N170" s="158">
        <f t="shared" si="50"/>
        <v>91.25</v>
      </c>
      <c r="O170" s="11">
        <f t="shared" si="51"/>
        <v>45933.25</v>
      </c>
    </row>
    <row r="171" spans="1:15" x14ac:dyDescent="0.3">
      <c r="A171" s="10">
        <f t="shared" si="47"/>
        <v>169</v>
      </c>
      <c r="B171" s="24" t="s">
        <v>2691</v>
      </c>
      <c r="C171" s="10" t="str">
        <f>VLOOKUP(B:B,재고차이!A:B,2,0)</f>
        <v>DP0439</v>
      </c>
      <c r="D171" s="10" t="str">
        <f>VLOOKUP(C:C,재고차이!B:C,2,0)</f>
        <v>S)닥터페퍼제로 스트로베리&amp;크림 350CAN4X6</v>
      </c>
      <c r="E171" s="10"/>
      <c r="F171" s="10"/>
      <c r="G171" s="10">
        <v>9</v>
      </c>
      <c r="H171" s="10"/>
      <c r="I171" s="199">
        <v>46207</v>
      </c>
      <c r="J171" s="199"/>
      <c r="K171" s="165">
        <f t="shared" ca="1" si="48"/>
        <v>-74.75</v>
      </c>
      <c r="L171" s="156">
        <f>IF(I171="","",SUMIF(제품등록!B:B,정리표!C:C,제품등록!F:F))</f>
        <v>365</v>
      </c>
      <c r="M171" s="11">
        <f t="shared" si="49"/>
        <v>45842</v>
      </c>
      <c r="N171" s="158">
        <f t="shared" si="50"/>
        <v>91.25</v>
      </c>
      <c r="O171" s="11">
        <f t="shared" si="51"/>
        <v>45933.25</v>
      </c>
    </row>
    <row r="172" spans="1:15" x14ac:dyDescent="0.3">
      <c r="A172" s="10">
        <f t="shared" si="47"/>
        <v>170</v>
      </c>
      <c r="B172" s="10" t="s">
        <v>2589</v>
      </c>
      <c r="C172" s="10" t="str">
        <f>VLOOKUP(B:B,재고차이!A:B,2,0)</f>
        <v>FT4181</v>
      </c>
      <c r="D172" s="10" t="str">
        <f>VLOOKUP(C:C,재고차이!B:C,2,0)</f>
        <v>환타 제로 파인 350CAN 4X6</v>
      </c>
      <c r="E172" s="10">
        <f>16+1</f>
        <v>17</v>
      </c>
      <c r="F172" s="10"/>
      <c r="G172" s="200"/>
      <c r="H172" s="200"/>
      <c r="I172" s="199">
        <v>46191</v>
      </c>
      <c r="J172" s="164"/>
      <c r="K172" s="165">
        <f t="shared" ca="1" si="48"/>
        <v>-90.75</v>
      </c>
      <c r="L172" s="156">
        <f>IF(I172="","",SUMIF(제품등록!B:B,정리표!C:C,제품등록!F:F))</f>
        <v>365</v>
      </c>
      <c r="M172" s="11">
        <f t="shared" si="49"/>
        <v>45826</v>
      </c>
      <c r="N172" s="158">
        <f t="shared" si="50"/>
        <v>91.25</v>
      </c>
      <c r="O172" s="11">
        <f t="shared" si="51"/>
        <v>45917.25</v>
      </c>
    </row>
    <row r="173" spans="1:15" x14ac:dyDescent="0.3">
      <c r="A173" s="10">
        <f t="shared" si="47"/>
        <v>171</v>
      </c>
      <c r="B173" s="10" t="s">
        <v>2589</v>
      </c>
      <c r="C173" s="10" t="str">
        <f>VLOOKUP(B:B,재고차이!A:B,2,0)</f>
        <v>FT4181</v>
      </c>
      <c r="D173" s="10" t="str">
        <f>VLOOKUP(C:C,재고차이!B:C,2,0)</f>
        <v>환타 제로 파인 350CAN 4X6</v>
      </c>
      <c r="E173" s="10"/>
      <c r="F173" s="10"/>
      <c r="G173" s="10">
        <v>17</v>
      </c>
      <c r="H173" s="200"/>
      <c r="I173" s="199">
        <v>46191</v>
      </c>
      <c r="J173" s="164"/>
      <c r="K173" s="165">
        <f t="shared" ca="1" si="48"/>
        <v>-90.75</v>
      </c>
      <c r="L173" s="156">
        <f>IF(I173="","",SUMIF(제품등록!B:B,정리표!C:C,제품등록!F:F))</f>
        <v>365</v>
      </c>
      <c r="M173" s="11">
        <f t="shared" si="49"/>
        <v>45826</v>
      </c>
      <c r="N173" s="158">
        <f t="shared" si="50"/>
        <v>91.25</v>
      </c>
      <c r="O173" s="11">
        <f t="shared" si="51"/>
        <v>45917.25</v>
      </c>
    </row>
    <row r="174" spans="1:15" x14ac:dyDescent="0.3">
      <c r="A174" s="10">
        <f t="shared" si="47"/>
        <v>172</v>
      </c>
      <c r="B174" s="10" t="s">
        <v>2613</v>
      </c>
      <c r="C174" s="10" t="str">
        <f>VLOOKUP(B:B,재고차이!A:B,2,0)</f>
        <v>GS0012</v>
      </c>
      <c r="D174" s="10" t="str">
        <f>VLOOKUP(C:C,재고차이!B:C,2,0)</f>
        <v>영진 구론산 오리지날액 150NRB 3X10</v>
      </c>
      <c r="E174" s="200">
        <v>1</v>
      </c>
      <c r="F174" s="200"/>
      <c r="G174" s="200"/>
      <c r="H174" s="200"/>
      <c r="I174" s="164">
        <v>46163</v>
      </c>
      <c r="J174" s="164"/>
      <c r="K174" s="165">
        <f t="shared" ca="1" si="48"/>
        <v>-118.75</v>
      </c>
      <c r="L174" s="156">
        <f>IF(I174="","",SUMIF(제품등록!B:B,정리표!C:C,제품등록!F:F))</f>
        <v>365</v>
      </c>
      <c r="M174" s="11">
        <f t="shared" si="49"/>
        <v>45798</v>
      </c>
      <c r="N174" s="158">
        <f t="shared" si="50"/>
        <v>91.25</v>
      </c>
      <c r="O174" s="11">
        <f t="shared" si="51"/>
        <v>45889.25</v>
      </c>
    </row>
    <row r="175" spans="1:15" x14ac:dyDescent="0.3">
      <c r="A175" s="10">
        <f t="shared" si="47"/>
        <v>173</v>
      </c>
      <c r="B175" s="10" t="s">
        <v>2613</v>
      </c>
      <c r="C175" s="10" t="str">
        <f>VLOOKUP(B:B,재고차이!A:B,2,0)</f>
        <v>GS0012</v>
      </c>
      <c r="D175" s="10" t="str">
        <f>VLOOKUP(C:C,재고차이!B:C,2,0)</f>
        <v>영진 구론산 오리지날액 150NRB 3X10</v>
      </c>
      <c r="E175" s="200"/>
      <c r="F175" s="200"/>
      <c r="G175" s="200">
        <f>12+28</f>
        <v>40</v>
      </c>
      <c r="H175" s="200"/>
      <c r="I175" s="164">
        <v>46163</v>
      </c>
      <c r="J175" s="164"/>
      <c r="K175" s="165">
        <f t="shared" ca="1" si="48"/>
        <v>-118.75</v>
      </c>
      <c r="L175" s="156">
        <f>IF(I175="","",SUMIF(제품등록!B:B,정리표!C:C,제품등록!F:F))</f>
        <v>365</v>
      </c>
      <c r="M175" s="11">
        <f t="shared" si="49"/>
        <v>45798</v>
      </c>
      <c r="N175" s="158">
        <f t="shared" si="50"/>
        <v>91.25</v>
      </c>
      <c r="O175" s="11">
        <f t="shared" si="51"/>
        <v>45889.25</v>
      </c>
    </row>
    <row r="176" spans="1:15" x14ac:dyDescent="0.3">
      <c r="A176" s="10">
        <f t="shared" si="47"/>
        <v>174</v>
      </c>
      <c r="B176" s="10" t="s">
        <v>2687</v>
      </c>
      <c r="C176" s="10" t="str">
        <f>VLOOKUP(B:B,재고차이!A:B,2,0)</f>
        <v>IH0001</v>
      </c>
      <c r="D176" s="10" t="str">
        <f>VLOOKUP(C:C,재고차이!B:C,2,0)</f>
        <v>S)일로하스 피치 540PET 4X6</v>
      </c>
      <c r="E176" s="200">
        <f>4+15</f>
        <v>19</v>
      </c>
      <c r="F176" s="200"/>
      <c r="G176" s="200"/>
      <c r="H176" s="200"/>
      <c r="I176" s="164">
        <v>46156</v>
      </c>
      <c r="J176" s="164"/>
      <c r="K176" s="165">
        <f t="shared" ca="1" si="48"/>
        <v>-125.75</v>
      </c>
      <c r="L176" s="156">
        <f>IF(I176="","",SUMIF(제품등록!B:B,정리표!C:C,제품등록!F:F))</f>
        <v>365</v>
      </c>
      <c r="M176" s="11">
        <f t="shared" si="49"/>
        <v>45791</v>
      </c>
      <c r="N176" s="158">
        <f t="shared" si="50"/>
        <v>91.25</v>
      </c>
      <c r="O176" s="11">
        <f t="shared" si="51"/>
        <v>45882.25</v>
      </c>
    </row>
    <row r="177" spans="1:15" x14ac:dyDescent="0.3">
      <c r="A177" s="10">
        <f t="shared" si="47"/>
        <v>175</v>
      </c>
      <c r="B177" s="10" t="s">
        <v>2687</v>
      </c>
      <c r="C177" s="10" t="str">
        <f>VLOOKUP(B:B,재고차이!A:B,2,0)</f>
        <v>IH0001</v>
      </c>
      <c r="D177" s="10" t="str">
        <f>VLOOKUP(C:C,재고차이!B:C,2,0)</f>
        <v>S)일로하스 피치 540PET 4X6</v>
      </c>
      <c r="E177" s="10"/>
      <c r="F177" s="10"/>
      <c r="G177" s="10">
        <v>26</v>
      </c>
      <c r="H177" s="10"/>
      <c r="I177" s="199">
        <v>46156</v>
      </c>
      <c r="J177" s="199"/>
      <c r="K177" s="165">
        <f t="shared" ca="1" si="48"/>
        <v>-125.75</v>
      </c>
      <c r="L177" s="156">
        <f>IF(I177="","",SUMIF(제품등록!B:B,정리표!C:C,제품등록!F:F))</f>
        <v>365</v>
      </c>
      <c r="M177" s="11">
        <f t="shared" si="49"/>
        <v>45791</v>
      </c>
      <c r="N177" s="158">
        <f t="shared" si="50"/>
        <v>91.25</v>
      </c>
      <c r="O177" s="11">
        <f t="shared" si="51"/>
        <v>45882.25</v>
      </c>
    </row>
    <row r="178" spans="1:15" x14ac:dyDescent="0.3">
      <c r="A178" s="10">
        <f t="shared" si="47"/>
        <v>176</v>
      </c>
      <c r="B178" s="10" t="s">
        <v>2646</v>
      </c>
      <c r="C178" s="10" t="str">
        <f>VLOOKUP(B:B,재고차이!A:B,2,0)</f>
        <v>KC1005</v>
      </c>
      <c r="D178" s="10" t="str">
        <f>VLOOKUP(C:C,재고차이!B:C,2,0)</f>
        <v>과일촌 아침에 오+포+사 180NRB 3X12</v>
      </c>
      <c r="E178" s="200">
        <v>1</v>
      </c>
      <c r="F178" s="200"/>
      <c r="G178" s="200"/>
      <c r="H178" s="200"/>
      <c r="I178" s="199">
        <v>46079</v>
      </c>
      <c r="J178" s="164"/>
      <c r="K178" s="165">
        <f t="shared" ca="1" si="48"/>
        <v>-133.75</v>
      </c>
      <c r="L178" s="156">
        <f>IF(I178="","",SUMIF(제품등록!B:B,정리표!C:C,제품등록!F:F))</f>
        <v>273</v>
      </c>
      <c r="M178" s="11">
        <f t="shared" si="49"/>
        <v>45806</v>
      </c>
      <c r="N178" s="158">
        <f t="shared" si="50"/>
        <v>68.25</v>
      </c>
      <c r="O178" s="11">
        <f t="shared" si="51"/>
        <v>45874.25</v>
      </c>
    </row>
    <row r="179" spans="1:15" x14ac:dyDescent="0.3">
      <c r="A179" s="10">
        <f t="shared" si="47"/>
        <v>177</v>
      </c>
      <c r="B179" s="10" t="s">
        <v>2646</v>
      </c>
      <c r="C179" s="10" t="str">
        <f>VLOOKUP(B:B,재고차이!A:B,2,0)</f>
        <v>KC1005</v>
      </c>
      <c r="D179" s="10" t="str">
        <f>VLOOKUP(C:C,재고차이!B:C,2,0)</f>
        <v>과일촌 아침에 오+포+사 180NRB 3X12</v>
      </c>
      <c r="E179" s="200"/>
      <c r="F179" s="200"/>
      <c r="G179" s="200">
        <v>3</v>
      </c>
      <c r="H179" s="200"/>
      <c r="I179" s="199">
        <v>46079</v>
      </c>
      <c r="J179" s="164"/>
      <c r="K179" s="165">
        <f t="shared" ca="1" si="48"/>
        <v>-133.75</v>
      </c>
      <c r="L179" s="156">
        <f>IF(I179="","",SUMIF(제품등록!B:B,정리표!C:C,제품등록!F:F))</f>
        <v>273</v>
      </c>
      <c r="M179" s="11">
        <f t="shared" si="49"/>
        <v>45806</v>
      </c>
      <c r="N179" s="158">
        <f t="shared" si="50"/>
        <v>68.25</v>
      </c>
      <c r="O179" s="11">
        <f t="shared" si="51"/>
        <v>45874.25</v>
      </c>
    </row>
    <row r="180" spans="1:15" x14ac:dyDescent="0.3">
      <c r="A180" s="10">
        <f t="shared" si="47"/>
        <v>178</v>
      </c>
      <c r="B180" s="10" t="s">
        <v>2490</v>
      </c>
      <c r="C180" s="10" t="str">
        <f>VLOOKUP(B:B,재고차이!A:B,2,0)</f>
        <v>PA0002</v>
      </c>
      <c r="D180" s="10" t="str">
        <f>VLOOKUP(C:C,재고차이!B:C,2,0)</f>
        <v>파워 제로 마운틴블라 600PET 4X6</v>
      </c>
      <c r="E180" s="200">
        <v>3</v>
      </c>
      <c r="F180" s="200"/>
      <c r="G180" s="200"/>
      <c r="H180" s="200"/>
      <c r="I180" s="164">
        <v>46179</v>
      </c>
      <c r="J180" s="164"/>
      <c r="K180" s="165">
        <f t="shared" ca="1" si="48"/>
        <v>-102.75</v>
      </c>
      <c r="L180" s="156">
        <f>IF(I180="","",SUMIF(제품등록!B:B,정리표!C:C,제품등록!F:F))</f>
        <v>365</v>
      </c>
      <c r="M180" s="11">
        <f t="shared" si="49"/>
        <v>45814</v>
      </c>
      <c r="N180" s="158">
        <f t="shared" si="50"/>
        <v>91.25</v>
      </c>
      <c r="O180" s="11">
        <f t="shared" si="51"/>
        <v>45905.25</v>
      </c>
    </row>
    <row r="181" spans="1:15" x14ac:dyDescent="0.3">
      <c r="A181" s="10">
        <f t="shared" si="47"/>
        <v>179</v>
      </c>
      <c r="B181" s="10" t="s">
        <v>2490</v>
      </c>
      <c r="C181" s="10" t="str">
        <f>VLOOKUP(B:B,재고차이!A:B,2,0)</f>
        <v>PA0002</v>
      </c>
      <c r="D181" s="10" t="str">
        <f>VLOOKUP(C:C,재고차이!B:C,2,0)</f>
        <v>파워 제로 마운틴블라 600PET 4X6</v>
      </c>
      <c r="E181" s="200">
        <v>28</v>
      </c>
      <c r="F181" s="200"/>
      <c r="G181" s="200"/>
      <c r="H181" s="200"/>
      <c r="I181" s="164">
        <v>46180</v>
      </c>
      <c r="J181" s="164"/>
      <c r="K181" s="165">
        <f t="shared" ca="1" si="48"/>
        <v>-101.75</v>
      </c>
      <c r="L181" s="156">
        <f>IF(I181="","",SUMIF(제품등록!B:B,정리표!C:C,제품등록!F:F))</f>
        <v>365</v>
      </c>
      <c r="M181" s="11">
        <f t="shared" si="49"/>
        <v>45815</v>
      </c>
      <c r="N181" s="158">
        <f t="shared" si="50"/>
        <v>91.25</v>
      </c>
      <c r="O181" s="11">
        <f t="shared" si="51"/>
        <v>45906.25</v>
      </c>
    </row>
    <row r="182" spans="1:15" x14ac:dyDescent="0.3">
      <c r="A182" s="10">
        <f t="shared" si="47"/>
        <v>180</v>
      </c>
      <c r="B182" s="198" t="s">
        <v>2490</v>
      </c>
      <c r="C182" s="10" t="str">
        <f>VLOOKUP(B:B,재고차이!A:B,2,0)</f>
        <v>PA0002</v>
      </c>
      <c r="D182" s="10" t="str">
        <f>VLOOKUP(C:C,재고차이!B:C,2,0)</f>
        <v>파워 제로 마운틴블라 600PET 4X6</v>
      </c>
      <c r="E182" s="10"/>
      <c r="F182" s="10"/>
      <c r="G182" s="200">
        <v>44</v>
      </c>
      <c r="H182" s="10"/>
      <c r="I182" s="199">
        <v>46179</v>
      </c>
      <c r="J182" s="199"/>
      <c r="K182" s="165">
        <f t="shared" ca="1" si="48"/>
        <v>-102.75</v>
      </c>
      <c r="L182" s="156">
        <f>IF(I182="","",SUMIF(제품등록!B:B,정리표!C:C,제품등록!F:F))</f>
        <v>365</v>
      </c>
      <c r="M182" s="11">
        <f t="shared" si="49"/>
        <v>45814</v>
      </c>
      <c r="N182" s="158">
        <f t="shared" si="50"/>
        <v>91.25</v>
      </c>
      <c r="O182" s="11">
        <f t="shared" si="51"/>
        <v>45905.25</v>
      </c>
    </row>
    <row r="183" spans="1:15" x14ac:dyDescent="0.3">
      <c r="K183" s="5"/>
    </row>
    <row r="184" spans="1:15" x14ac:dyDescent="0.3">
      <c r="K184" s="5"/>
    </row>
    <row r="185" spans="1:15" x14ac:dyDescent="0.3">
      <c r="K185" s="5"/>
    </row>
    <row r="186" spans="1:15" x14ac:dyDescent="0.3">
      <c r="K186" s="5"/>
    </row>
    <row r="187" spans="1:15" x14ac:dyDescent="0.3">
      <c r="K187" s="5"/>
    </row>
    <row r="188" spans="1:15" x14ac:dyDescent="0.3">
      <c r="K188" s="5"/>
    </row>
    <row r="189" spans="1:15" x14ac:dyDescent="0.3">
      <c r="K189" s="5"/>
    </row>
    <row r="190" spans="1:15" x14ac:dyDescent="0.3">
      <c r="K190" s="5"/>
    </row>
    <row r="191" spans="1:15" x14ac:dyDescent="0.3">
      <c r="K191" s="5"/>
    </row>
    <row r="192" spans="1:15" x14ac:dyDescent="0.3">
      <c r="K192" s="5"/>
    </row>
    <row r="193" spans="11:11" x14ac:dyDescent="0.3">
      <c r="K193" s="5"/>
    </row>
    <row r="194" spans="11:11" x14ac:dyDescent="0.3">
      <c r="K194" s="5"/>
    </row>
    <row r="195" spans="11:11" x14ac:dyDescent="0.3">
      <c r="K195" s="5"/>
    </row>
    <row r="196" spans="11:11" x14ac:dyDescent="0.3">
      <c r="K196" s="5"/>
    </row>
    <row r="197" spans="11:11" x14ac:dyDescent="0.3">
      <c r="K197" s="5"/>
    </row>
    <row r="198" spans="11:11" x14ac:dyDescent="0.3">
      <c r="K198" s="5"/>
    </row>
    <row r="199" spans="11:11" x14ac:dyDescent="0.3">
      <c r="K199" s="5"/>
    </row>
    <row r="200" spans="11:11" x14ac:dyDescent="0.3">
      <c r="K200" s="5"/>
    </row>
    <row r="201" spans="11:11" x14ac:dyDescent="0.3">
      <c r="K201" s="5"/>
    </row>
    <row r="202" spans="11:11" x14ac:dyDescent="0.3">
      <c r="K202" s="5"/>
    </row>
    <row r="203" spans="11:11" x14ac:dyDescent="0.3">
      <c r="K203" s="5"/>
    </row>
    <row r="204" spans="11:11" x14ac:dyDescent="0.3">
      <c r="K204" s="5"/>
    </row>
    <row r="205" spans="11:11" x14ac:dyDescent="0.3">
      <c r="K205" s="5"/>
    </row>
    <row r="206" spans="11:11" x14ac:dyDescent="0.3">
      <c r="K206" s="5"/>
    </row>
    <row r="207" spans="11:11" x14ac:dyDescent="0.3">
      <c r="K207" s="5"/>
    </row>
    <row r="208" spans="11:11" x14ac:dyDescent="0.3">
      <c r="K208" s="5"/>
    </row>
    <row r="209" spans="11:11" x14ac:dyDescent="0.3">
      <c r="K209" s="5"/>
    </row>
    <row r="210" spans="11:11" x14ac:dyDescent="0.3">
      <c r="K210" s="5"/>
    </row>
    <row r="211" spans="11:11" x14ac:dyDescent="0.3">
      <c r="K211" s="5"/>
    </row>
    <row r="212" spans="11:11" x14ac:dyDescent="0.3">
      <c r="K212" s="5"/>
    </row>
    <row r="213" spans="11:11" x14ac:dyDescent="0.3">
      <c r="K213" s="5"/>
    </row>
    <row r="214" spans="11:11" x14ac:dyDescent="0.3">
      <c r="K214" s="5"/>
    </row>
    <row r="215" spans="11:11" x14ac:dyDescent="0.3">
      <c r="K215" s="5"/>
    </row>
    <row r="216" spans="11:11" x14ac:dyDescent="0.3">
      <c r="K216" s="5"/>
    </row>
    <row r="217" spans="11:11" x14ac:dyDescent="0.3">
      <c r="K217" s="5"/>
    </row>
    <row r="218" spans="11:11" x14ac:dyDescent="0.3">
      <c r="K218" s="5"/>
    </row>
    <row r="219" spans="11:11" x14ac:dyDescent="0.3">
      <c r="K219" s="5"/>
    </row>
    <row r="220" spans="11:11" x14ac:dyDescent="0.3">
      <c r="K220" s="5"/>
    </row>
    <row r="221" spans="11:11" x14ac:dyDescent="0.3">
      <c r="K221" s="5"/>
    </row>
    <row r="222" spans="11:11" x14ac:dyDescent="0.3">
      <c r="K222" s="5"/>
    </row>
    <row r="223" spans="11:11" x14ac:dyDescent="0.3">
      <c r="K223" s="5"/>
    </row>
    <row r="224" spans="11:11" x14ac:dyDescent="0.3">
      <c r="K224" s="5"/>
    </row>
    <row r="225" spans="11:11" x14ac:dyDescent="0.3">
      <c r="K225" s="5"/>
    </row>
    <row r="226" spans="11:11" x14ac:dyDescent="0.3">
      <c r="K226" s="5"/>
    </row>
    <row r="227" spans="11:11" x14ac:dyDescent="0.3">
      <c r="K227" s="5"/>
    </row>
    <row r="228" spans="11:11" x14ac:dyDescent="0.3">
      <c r="K228" s="5"/>
    </row>
    <row r="229" spans="11:11" x14ac:dyDescent="0.3">
      <c r="K229" s="5"/>
    </row>
    <row r="230" spans="11:11" x14ac:dyDescent="0.3">
      <c r="K230" s="5"/>
    </row>
    <row r="231" spans="11:11" x14ac:dyDescent="0.3">
      <c r="K231" s="5"/>
    </row>
    <row r="232" spans="11:11" x14ac:dyDescent="0.3">
      <c r="K232" s="5"/>
    </row>
    <row r="233" spans="11:11" x14ac:dyDescent="0.3">
      <c r="K233" s="5"/>
    </row>
    <row r="234" spans="11:11" x14ac:dyDescent="0.3">
      <c r="K234" s="5"/>
    </row>
    <row r="235" spans="11:11" x14ac:dyDescent="0.3">
      <c r="K235" s="5"/>
    </row>
    <row r="236" spans="11:11" x14ac:dyDescent="0.3">
      <c r="K236" s="5"/>
    </row>
    <row r="237" spans="11:11" x14ac:dyDescent="0.3">
      <c r="K237" s="5"/>
    </row>
    <row r="238" spans="11:11" x14ac:dyDescent="0.3">
      <c r="K238" s="5"/>
    </row>
    <row r="239" spans="11:11" x14ac:dyDescent="0.3">
      <c r="K239" s="5"/>
    </row>
    <row r="240" spans="11:11" x14ac:dyDescent="0.3">
      <c r="K240" s="5"/>
    </row>
    <row r="241" spans="11:11" x14ac:dyDescent="0.3">
      <c r="K241" s="5"/>
    </row>
    <row r="242" spans="11:11" x14ac:dyDescent="0.3">
      <c r="K242" s="5"/>
    </row>
    <row r="243" spans="11:11" x14ac:dyDescent="0.3">
      <c r="K243" s="5"/>
    </row>
    <row r="244" spans="11:11" x14ac:dyDescent="0.3">
      <c r="K244" s="5"/>
    </row>
    <row r="245" spans="11:11" x14ac:dyDescent="0.3">
      <c r="K245" s="5"/>
    </row>
    <row r="246" spans="11:11" x14ac:dyDescent="0.3">
      <c r="K246" s="5"/>
    </row>
    <row r="247" spans="11:11" x14ac:dyDescent="0.3">
      <c r="K247" s="5"/>
    </row>
    <row r="248" spans="11:11" x14ac:dyDescent="0.3">
      <c r="K248" s="5"/>
    </row>
    <row r="249" spans="11:11" x14ac:dyDescent="0.3">
      <c r="K249" s="5"/>
    </row>
    <row r="250" spans="11:11" x14ac:dyDescent="0.3">
      <c r="K250" s="5"/>
    </row>
    <row r="251" spans="11:11" x14ac:dyDescent="0.3">
      <c r="K251" s="5"/>
    </row>
    <row r="252" spans="11:11" x14ac:dyDescent="0.3">
      <c r="K252" s="5"/>
    </row>
    <row r="253" spans="11:11" x14ac:dyDescent="0.3">
      <c r="K253" s="5"/>
    </row>
    <row r="254" spans="11:11" x14ac:dyDescent="0.3">
      <c r="K254" s="5"/>
    </row>
    <row r="255" spans="11:11" x14ac:dyDescent="0.3">
      <c r="K255" s="5"/>
    </row>
    <row r="256" spans="11:11" x14ac:dyDescent="0.3">
      <c r="K256" s="5"/>
    </row>
    <row r="257" spans="11:11" x14ac:dyDescent="0.3">
      <c r="K257" s="5"/>
    </row>
    <row r="258" spans="11:11" x14ac:dyDescent="0.3">
      <c r="K258" s="5"/>
    </row>
    <row r="259" spans="11:11" x14ac:dyDescent="0.3">
      <c r="K259" s="5"/>
    </row>
    <row r="260" spans="11:11" x14ac:dyDescent="0.3">
      <c r="K260" s="5"/>
    </row>
    <row r="261" spans="11:11" x14ac:dyDescent="0.3">
      <c r="K261" s="5"/>
    </row>
    <row r="262" spans="11:11" x14ac:dyDescent="0.3">
      <c r="K262" s="5"/>
    </row>
    <row r="263" spans="11:11" x14ac:dyDescent="0.3">
      <c r="K263" s="5"/>
    </row>
    <row r="264" spans="11:11" x14ac:dyDescent="0.3">
      <c r="K264" s="5"/>
    </row>
    <row r="265" spans="11:11" x14ac:dyDescent="0.3">
      <c r="K265" s="5"/>
    </row>
    <row r="266" spans="11:11" x14ac:dyDescent="0.3">
      <c r="K266" s="5"/>
    </row>
    <row r="267" spans="11:11" x14ac:dyDescent="0.3">
      <c r="K267" s="5"/>
    </row>
    <row r="268" spans="11:11" x14ac:dyDescent="0.3">
      <c r="K268" s="5"/>
    </row>
    <row r="269" spans="11:11" x14ac:dyDescent="0.3">
      <c r="K269" s="5"/>
    </row>
    <row r="270" spans="11:11" x14ac:dyDescent="0.3">
      <c r="K270" s="5"/>
    </row>
    <row r="271" spans="11:11" x14ac:dyDescent="0.3">
      <c r="K271" s="5"/>
    </row>
    <row r="272" spans="11:11" x14ac:dyDescent="0.3">
      <c r="K272" s="5"/>
    </row>
    <row r="273" spans="11:11" x14ac:dyDescent="0.3">
      <c r="K273" s="5"/>
    </row>
    <row r="274" spans="11:11" x14ac:dyDescent="0.3">
      <c r="K274" s="5"/>
    </row>
    <row r="275" spans="11:11" x14ac:dyDescent="0.3">
      <c r="K275" s="5"/>
    </row>
    <row r="276" spans="11:11" x14ac:dyDescent="0.3">
      <c r="K276" s="5"/>
    </row>
    <row r="277" spans="11:11" x14ac:dyDescent="0.3">
      <c r="K277" s="5"/>
    </row>
    <row r="278" spans="11:11" x14ac:dyDescent="0.3">
      <c r="K278" s="5"/>
    </row>
    <row r="279" spans="11:11" x14ac:dyDescent="0.3">
      <c r="K279" s="5"/>
    </row>
    <row r="280" spans="11:11" x14ac:dyDescent="0.3">
      <c r="K280" s="5"/>
    </row>
    <row r="281" spans="11:11" x14ac:dyDescent="0.3">
      <c r="K281" s="5"/>
    </row>
    <row r="282" spans="11:11" x14ac:dyDescent="0.3">
      <c r="K282" s="5"/>
    </row>
    <row r="283" spans="11:11" x14ac:dyDescent="0.3">
      <c r="K283" s="5"/>
    </row>
    <row r="284" spans="11:11" x14ac:dyDescent="0.3">
      <c r="K284" s="5"/>
    </row>
    <row r="285" spans="11:11" x14ac:dyDescent="0.3">
      <c r="K285" s="5"/>
    </row>
    <row r="286" spans="11:11" x14ac:dyDescent="0.3">
      <c r="K286" s="5"/>
    </row>
    <row r="287" spans="11:11" x14ac:dyDescent="0.3">
      <c r="K287" s="5"/>
    </row>
    <row r="288" spans="11:11" x14ac:dyDescent="0.3">
      <c r="K288" s="5"/>
    </row>
    <row r="289" spans="11:11" x14ac:dyDescent="0.3">
      <c r="K289" s="5"/>
    </row>
    <row r="290" spans="11:11" x14ac:dyDescent="0.3">
      <c r="K290" s="5"/>
    </row>
    <row r="291" spans="11:11" x14ac:dyDescent="0.3">
      <c r="K291" s="5"/>
    </row>
    <row r="292" spans="11:11" x14ac:dyDescent="0.3">
      <c r="K292" s="5"/>
    </row>
    <row r="293" spans="11:11" x14ac:dyDescent="0.3">
      <c r="K293" s="5"/>
    </row>
    <row r="294" spans="11:11" x14ac:dyDescent="0.3">
      <c r="K294" s="5"/>
    </row>
    <row r="295" spans="11:11" x14ac:dyDescent="0.3">
      <c r="K295" s="5"/>
    </row>
    <row r="296" spans="11:11" x14ac:dyDescent="0.3">
      <c r="K296" s="5"/>
    </row>
    <row r="297" spans="11:11" x14ac:dyDescent="0.3">
      <c r="K297" s="5"/>
    </row>
    <row r="298" spans="11:11" x14ac:dyDescent="0.3">
      <c r="K298" s="5"/>
    </row>
    <row r="299" spans="11:11" x14ac:dyDescent="0.3">
      <c r="K299" s="5"/>
    </row>
    <row r="300" spans="11:11" x14ac:dyDescent="0.3">
      <c r="K300" s="5"/>
    </row>
    <row r="301" spans="11:11" x14ac:dyDescent="0.3">
      <c r="K301" s="5"/>
    </row>
    <row r="302" spans="11:11" x14ac:dyDescent="0.3">
      <c r="K302" s="5"/>
    </row>
    <row r="303" spans="11:11" x14ac:dyDescent="0.3">
      <c r="K303" s="5"/>
    </row>
    <row r="304" spans="11:11" x14ac:dyDescent="0.3">
      <c r="K304" s="5"/>
    </row>
    <row r="305" spans="11:11" x14ac:dyDescent="0.3">
      <c r="K305" s="5"/>
    </row>
    <row r="306" spans="11:11" x14ac:dyDescent="0.3">
      <c r="K306" s="5"/>
    </row>
    <row r="307" spans="11:11" x14ac:dyDescent="0.3">
      <c r="K307" s="5"/>
    </row>
    <row r="308" spans="11:11" x14ac:dyDescent="0.3">
      <c r="K308" s="5"/>
    </row>
    <row r="309" spans="11:11" x14ac:dyDescent="0.3">
      <c r="K309" s="5"/>
    </row>
    <row r="310" spans="11:11" x14ac:dyDescent="0.3">
      <c r="K310" s="5"/>
    </row>
    <row r="311" spans="11:11" x14ac:dyDescent="0.3">
      <c r="K311" s="5"/>
    </row>
    <row r="312" spans="11:11" x14ac:dyDescent="0.3">
      <c r="K312" s="5"/>
    </row>
    <row r="313" spans="11:11" x14ac:dyDescent="0.3">
      <c r="K313" s="5"/>
    </row>
    <row r="314" spans="11:11" x14ac:dyDescent="0.3">
      <c r="K314" s="5"/>
    </row>
    <row r="315" spans="11:11" x14ac:dyDescent="0.3">
      <c r="K315" s="5"/>
    </row>
    <row r="316" spans="11:11" x14ac:dyDescent="0.3">
      <c r="K316" s="5"/>
    </row>
    <row r="317" spans="11:11" x14ac:dyDescent="0.3">
      <c r="K317" s="5"/>
    </row>
    <row r="318" spans="11:11" x14ac:dyDescent="0.3">
      <c r="K318" s="5"/>
    </row>
    <row r="319" spans="11:11" x14ac:dyDescent="0.3">
      <c r="K319" s="5"/>
    </row>
    <row r="320" spans="11:11" x14ac:dyDescent="0.3">
      <c r="K320" s="5"/>
    </row>
    <row r="321" spans="11:11" x14ac:dyDescent="0.3">
      <c r="K321" s="5"/>
    </row>
    <row r="322" spans="11:11" x14ac:dyDescent="0.3">
      <c r="K322" s="5"/>
    </row>
    <row r="323" spans="11:11" x14ac:dyDescent="0.3">
      <c r="K323" s="5"/>
    </row>
    <row r="324" spans="11:11" x14ac:dyDescent="0.3">
      <c r="K324" s="5"/>
    </row>
    <row r="325" spans="11:11" x14ac:dyDescent="0.3">
      <c r="K325" s="5"/>
    </row>
    <row r="326" spans="11:11" x14ac:dyDescent="0.3">
      <c r="K326" s="5"/>
    </row>
    <row r="327" spans="11:11" x14ac:dyDescent="0.3">
      <c r="K327" s="5"/>
    </row>
    <row r="328" spans="11:11" x14ac:dyDescent="0.3">
      <c r="K328" s="5"/>
    </row>
    <row r="329" spans="11:11" x14ac:dyDescent="0.3">
      <c r="K329" s="5"/>
    </row>
    <row r="330" spans="11:11" x14ac:dyDescent="0.3">
      <c r="K330" s="5"/>
    </row>
    <row r="331" spans="11:11" x14ac:dyDescent="0.3">
      <c r="K331" s="5"/>
    </row>
    <row r="332" spans="11:11" x14ac:dyDescent="0.3">
      <c r="K332" s="5"/>
    </row>
    <row r="333" spans="11:11" x14ac:dyDescent="0.3">
      <c r="K333" s="5"/>
    </row>
    <row r="334" spans="11:11" x14ac:dyDescent="0.3">
      <c r="K334" s="5"/>
    </row>
    <row r="335" spans="11:11" x14ac:dyDescent="0.3">
      <c r="K335" s="5"/>
    </row>
    <row r="336" spans="11:11" x14ac:dyDescent="0.3">
      <c r="K336" s="5"/>
    </row>
    <row r="337" spans="11:11" x14ac:dyDescent="0.3">
      <c r="K337" s="5"/>
    </row>
    <row r="338" spans="11:11" x14ac:dyDescent="0.3">
      <c r="K338" s="5"/>
    </row>
    <row r="339" spans="11:11" x14ac:dyDescent="0.3">
      <c r="K339" s="5"/>
    </row>
    <row r="340" spans="11:11" x14ac:dyDescent="0.3">
      <c r="K340" s="5"/>
    </row>
    <row r="341" spans="11:11" x14ac:dyDescent="0.3">
      <c r="K341" s="5"/>
    </row>
    <row r="342" spans="11:11" x14ac:dyDescent="0.3">
      <c r="K342" s="5"/>
    </row>
    <row r="343" spans="11:11" x14ac:dyDescent="0.3">
      <c r="K343" s="5"/>
    </row>
    <row r="344" spans="11:11" x14ac:dyDescent="0.3">
      <c r="K344" s="5"/>
    </row>
    <row r="345" spans="11:11" x14ac:dyDescent="0.3">
      <c r="K345" s="5"/>
    </row>
    <row r="346" spans="11:11" x14ac:dyDescent="0.3">
      <c r="K346" s="5"/>
    </row>
    <row r="347" spans="11:11" x14ac:dyDescent="0.3">
      <c r="K347" s="5"/>
    </row>
    <row r="348" spans="11:11" x14ac:dyDescent="0.3">
      <c r="K348" s="5"/>
    </row>
    <row r="349" spans="11:11" x14ac:dyDescent="0.3">
      <c r="K349" s="5"/>
    </row>
    <row r="350" spans="11:11" x14ac:dyDescent="0.3">
      <c r="K350" s="5"/>
    </row>
    <row r="351" spans="11:11" x14ac:dyDescent="0.3">
      <c r="K351" s="5"/>
    </row>
    <row r="352" spans="11:11" x14ac:dyDescent="0.3">
      <c r="K352" s="5"/>
    </row>
    <row r="353" spans="11:11" x14ac:dyDescent="0.3">
      <c r="K353" s="5"/>
    </row>
    <row r="354" spans="11:11" x14ac:dyDescent="0.3">
      <c r="K354" s="5"/>
    </row>
    <row r="355" spans="11:11" x14ac:dyDescent="0.3">
      <c r="K355" s="5"/>
    </row>
    <row r="356" spans="11:11" x14ac:dyDescent="0.3">
      <c r="K356" s="5"/>
    </row>
    <row r="357" spans="11:11" x14ac:dyDescent="0.3">
      <c r="K357" s="5"/>
    </row>
    <row r="358" spans="11:11" x14ac:dyDescent="0.3">
      <c r="K358" s="5"/>
    </row>
    <row r="359" spans="11:11" x14ac:dyDescent="0.3">
      <c r="K359" s="5"/>
    </row>
    <row r="360" spans="11:11" x14ac:dyDescent="0.3">
      <c r="K360" s="5"/>
    </row>
    <row r="361" spans="11:11" x14ac:dyDescent="0.3">
      <c r="K361" s="5"/>
    </row>
    <row r="362" spans="11:11" x14ac:dyDescent="0.3">
      <c r="K362" s="5"/>
    </row>
    <row r="363" spans="11:11" x14ac:dyDescent="0.3">
      <c r="K363" s="5"/>
    </row>
    <row r="364" spans="11:11" x14ac:dyDescent="0.3">
      <c r="K364" s="5"/>
    </row>
    <row r="365" spans="11:11" x14ac:dyDescent="0.3">
      <c r="K365" s="5"/>
    </row>
    <row r="366" spans="11:11" x14ac:dyDescent="0.3">
      <c r="K366" s="5"/>
    </row>
    <row r="367" spans="11:11" x14ac:dyDescent="0.3">
      <c r="K367" s="5"/>
    </row>
    <row r="368" spans="11:11" x14ac:dyDescent="0.3">
      <c r="K368" s="5"/>
    </row>
    <row r="369" spans="11:11" x14ac:dyDescent="0.3">
      <c r="K369" s="5"/>
    </row>
    <row r="370" spans="11:11" x14ac:dyDescent="0.3">
      <c r="K370" s="5"/>
    </row>
    <row r="371" spans="11:11" x14ac:dyDescent="0.3">
      <c r="K371" s="5"/>
    </row>
    <row r="372" spans="11:11" x14ac:dyDescent="0.3">
      <c r="K372" s="5"/>
    </row>
    <row r="373" spans="11:11" x14ac:dyDescent="0.3">
      <c r="K373" s="5"/>
    </row>
    <row r="374" spans="11:11" x14ac:dyDescent="0.3">
      <c r="K374" s="5"/>
    </row>
    <row r="375" spans="11:11" x14ac:dyDescent="0.3">
      <c r="K375" s="5"/>
    </row>
    <row r="376" spans="11:11" x14ac:dyDescent="0.3">
      <c r="K376" s="5"/>
    </row>
    <row r="377" spans="11:11" x14ac:dyDescent="0.3">
      <c r="K377" s="5"/>
    </row>
    <row r="378" spans="11:11" x14ac:dyDescent="0.3">
      <c r="K378" s="5"/>
    </row>
    <row r="379" spans="11:11" x14ac:dyDescent="0.3">
      <c r="K379" s="5"/>
    </row>
    <row r="380" spans="11:11" x14ac:dyDescent="0.3">
      <c r="K380" s="5"/>
    </row>
    <row r="381" spans="11:11" x14ac:dyDescent="0.3">
      <c r="K381" s="5"/>
    </row>
    <row r="382" spans="11:11" x14ac:dyDescent="0.3">
      <c r="K382" s="5"/>
    </row>
    <row r="383" spans="11:11" x14ac:dyDescent="0.3">
      <c r="K383" s="5"/>
    </row>
    <row r="384" spans="11:11" x14ac:dyDescent="0.3">
      <c r="K384" s="5"/>
    </row>
    <row r="385" spans="11:11" x14ac:dyDescent="0.3">
      <c r="K385" s="5"/>
    </row>
    <row r="386" spans="11:11" x14ac:dyDescent="0.3">
      <c r="K386" s="5"/>
    </row>
    <row r="387" spans="11:11" x14ac:dyDescent="0.3">
      <c r="K387" s="5"/>
    </row>
    <row r="388" spans="11:11" x14ac:dyDescent="0.3">
      <c r="K388" s="5"/>
    </row>
    <row r="389" spans="11:11" x14ac:dyDescent="0.3">
      <c r="K389" s="5"/>
    </row>
    <row r="390" spans="11:11" x14ac:dyDescent="0.3">
      <c r="K390" s="5"/>
    </row>
    <row r="391" spans="11:11" x14ac:dyDescent="0.3">
      <c r="K391" s="5"/>
    </row>
    <row r="392" spans="11:11" x14ac:dyDescent="0.3">
      <c r="K392" s="5"/>
    </row>
    <row r="393" spans="11:11" x14ac:dyDescent="0.3">
      <c r="K393" s="5"/>
    </row>
    <row r="394" spans="11:11" x14ac:dyDescent="0.3">
      <c r="K394" s="5"/>
    </row>
    <row r="395" spans="11:11" x14ac:dyDescent="0.3">
      <c r="K395" s="5"/>
    </row>
    <row r="396" spans="11:11" x14ac:dyDescent="0.3">
      <c r="K396" s="5"/>
    </row>
    <row r="397" spans="11:11" x14ac:dyDescent="0.3">
      <c r="K397" s="5"/>
    </row>
    <row r="398" spans="11:11" x14ac:dyDescent="0.3">
      <c r="K398" s="5"/>
    </row>
    <row r="399" spans="11:11" x14ac:dyDescent="0.3">
      <c r="K399" s="5"/>
    </row>
    <row r="400" spans="11:11" x14ac:dyDescent="0.3">
      <c r="K400" s="5"/>
    </row>
    <row r="401" spans="11:11" x14ac:dyDescent="0.3">
      <c r="K401" s="5"/>
    </row>
    <row r="402" spans="11:11" x14ac:dyDescent="0.3">
      <c r="K402" s="5"/>
    </row>
    <row r="403" spans="11:11" x14ac:dyDescent="0.3">
      <c r="K403" s="5"/>
    </row>
    <row r="404" spans="11:11" x14ac:dyDescent="0.3">
      <c r="K404" s="5"/>
    </row>
    <row r="405" spans="11:11" x14ac:dyDescent="0.3">
      <c r="K405" s="5"/>
    </row>
    <row r="406" spans="11:11" x14ac:dyDescent="0.3">
      <c r="K406" s="5"/>
    </row>
    <row r="407" spans="11:11" x14ac:dyDescent="0.3">
      <c r="K407" s="5"/>
    </row>
    <row r="408" spans="11:11" x14ac:dyDescent="0.3">
      <c r="K408" s="5"/>
    </row>
    <row r="409" spans="11:11" x14ac:dyDescent="0.3">
      <c r="K409" s="5"/>
    </row>
    <row r="410" spans="11:11" x14ac:dyDescent="0.3">
      <c r="K410" s="5"/>
    </row>
    <row r="411" spans="11:11" x14ac:dyDescent="0.3">
      <c r="K411" s="5"/>
    </row>
    <row r="412" spans="11:11" x14ac:dyDescent="0.3">
      <c r="K412" s="5"/>
    </row>
    <row r="413" spans="11:11" x14ac:dyDescent="0.3">
      <c r="K413" s="5"/>
    </row>
    <row r="414" spans="11:11" x14ac:dyDescent="0.3">
      <c r="K414" s="5"/>
    </row>
    <row r="415" spans="11:11" x14ac:dyDescent="0.3">
      <c r="K415" s="5"/>
    </row>
    <row r="416" spans="11:11" x14ac:dyDescent="0.3">
      <c r="K416" s="5"/>
    </row>
    <row r="417" spans="11:11" x14ac:dyDescent="0.3">
      <c r="K417" s="5"/>
    </row>
    <row r="418" spans="11:11" x14ac:dyDescent="0.3">
      <c r="K418" s="5"/>
    </row>
    <row r="419" spans="11:11" x14ac:dyDescent="0.3">
      <c r="K419" s="5"/>
    </row>
    <row r="420" spans="11:11" x14ac:dyDescent="0.3">
      <c r="K420" s="5"/>
    </row>
    <row r="421" spans="11:11" x14ac:dyDescent="0.3">
      <c r="K421" s="5"/>
    </row>
    <row r="422" spans="11:11" x14ac:dyDescent="0.3">
      <c r="K422" s="5"/>
    </row>
    <row r="423" spans="11:11" x14ac:dyDescent="0.3">
      <c r="K423" s="5"/>
    </row>
    <row r="424" spans="11:11" x14ac:dyDescent="0.3">
      <c r="K424" s="5"/>
    </row>
    <row r="425" spans="11:11" x14ac:dyDescent="0.3">
      <c r="K425" s="5"/>
    </row>
    <row r="426" spans="11:11" x14ac:dyDescent="0.3">
      <c r="K426" s="5"/>
    </row>
    <row r="427" spans="11:11" x14ac:dyDescent="0.3">
      <c r="K427" s="5"/>
    </row>
    <row r="428" spans="11:11" x14ac:dyDescent="0.3">
      <c r="K428" s="5"/>
    </row>
    <row r="429" spans="11:11" x14ac:dyDescent="0.3">
      <c r="K429" s="5"/>
    </row>
    <row r="430" spans="11:11" x14ac:dyDescent="0.3">
      <c r="K430" s="5"/>
    </row>
    <row r="431" spans="11:11" x14ac:dyDescent="0.3">
      <c r="K431" s="5"/>
    </row>
    <row r="432" spans="11:11" x14ac:dyDescent="0.3">
      <c r="K432" s="5"/>
    </row>
    <row r="433" spans="11:11" x14ac:dyDescent="0.3">
      <c r="K433" s="5"/>
    </row>
    <row r="434" spans="11:11" x14ac:dyDescent="0.3">
      <c r="K434" s="5"/>
    </row>
    <row r="435" spans="11:11" x14ac:dyDescent="0.3">
      <c r="K435" s="5"/>
    </row>
    <row r="436" spans="11:11" x14ac:dyDescent="0.3">
      <c r="K436" s="5"/>
    </row>
    <row r="437" spans="11:11" x14ac:dyDescent="0.3">
      <c r="K437" s="5"/>
    </row>
    <row r="438" spans="11:11" x14ac:dyDescent="0.3">
      <c r="K438" s="5"/>
    </row>
    <row r="439" spans="11:11" x14ac:dyDescent="0.3">
      <c r="K439" s="5"/>
    </row>
    <row r="440" spans="11:11" x14ac:dyDescent="0.3">
      <c r="K440" s="5"/>
    </row>
    <row r="441" spans="11:11" x14ac:dyDescent="0.3">
      <c r="K441" s="5"/>
    </row>
    <row r="442" spans="11:11" x14ac:dyDescent="0.3">
      <c r="K442" s="5"/>
    </row>
    <row r="443" spans="11:11" x14ac:dyDescent="0.3">
      <c r="K443" s="5"/>
    </row>
    <row r="444" spans="11:11" x14ac:dyDescent="0.3">
      <c r="K444" s="5"/>
    </row>
    <row r="445" spans="11:11" x14ac:dyDescent="0.3">
      <c r="K445" s="5"/>
    </row>
    <row r="446" spans="11:11" x14ac:dyDescent="0.3">
      <c r="K446" s="5"/>
    </row>
    <row r="447" spans="11:11" x14ac:dyDescent="0.3">
      <c r="K447" s="5"/>
    </row>
    <row r="448" spans="11:11" x14ac:dyDescent="0.3">
      <c r="K448" s="5"/>
    </row>
    <row r="449" spans="11:11" x14ac:dyDescent="0.3">
      <c r="K449" s="5"/>
    </row>
    <row r="450" spans="11:11" x14ac:dyDescent="0.3">
      <c r="K450" s="5"/>
    </row>
    <row r="451" spans="11:11" x14ac:dyDescent="0.3">
      <c r="K451" s="5"/>
    </row>
    <row r="452" spans="11:11" x14ac:dyDescent="0.3">
      <c r="K452" s="5"/>
    </row>
    <row r="453" spans="11:11" x14ac:dyDescent="0.3">
      <c r="K453" s="5"/>
    </row>
    <row r="454" spans="11:11" x14ac:dyDescent="0.3">
      <c r="K454" s="5"/>
    </row>
    <row r="455" spans="11:11" x14ac:dyDescent="0.3">
      <c r="K455" s="5"/>
    </row>
    <row r="456" spans="11:11" x14ac:dyDescent="0.3">
      <c r="K456" s="5"/>
    </row>
    <row r="457" spans="11:11" x14ac:dyDescent="0.3">
      <c r="K457" s="5"/>
    </row>
    <row r="458" spans="11:11" x14ac:dyDescent="0.3">
      <c r="K458" s="5"/>
    </row>
    <row r="459" spans="11:11" x14ac:dyDescent="0.3">
      <c r="K459" s="5"/>
    </row>
    <row r="460" spans="11:11" x14ac:dyDescent="0.3">
      <c r="K460" s="5"/>
    </row>
    <row r="461" spans="11:11" x14ac:dyDescent="0.3">
      <c r="K461" s="5"/>
    </row>
    <row r="462" spans="11:11" x14ac:dyDescent="0.3">
      <c r="K462" s="5"/>
    </row>
    <row r="463" spans="11:11" x14ac:dyDescent="0.3">
      <c r="K463" s="5"/>
    </row>
    <row r="464" spans="11:11" x14ac:dyDescent="0.3">
      <c r="K464" s="5"/>
    </row>
    <row r="465" spans="11:11" x14ac:dyDescent="0.3">
      <c r="K465" s="5"/>
    </row>
    <row r="466" spans="11:11" x14ac:dyDescent="0.3">
      <c r="K466" s="5"/>
    </row>
    <row r="467" spans="11:11" x14ac:dyDescent="0.3">
      <c r="K467" s="5"/>
    </row>
    <row r="468" spans="11:11" x14ac:dyDescent="0.3">
      <c r="K468" s="5"/>
    </row>
    <row r="469" spans="11:11" x14ac:dyDescent="0.3">
      <c r="K469" s="5"/>
    </row>
    <row r="470" spans="11:11" x14ac:dyDescent="0.3">
      <c r="K470" s="5"/>
    </row>
    <row r="471" spans="11:11" x14ac:dyDescent="0.3">
      <c r="K471" s="5"/>
    </row>
    <row r="472" spans="11:11" x14ac:dyDescent="0.3">
      <c r="K472" s="5"/>
    </row>
    <row r="473" spans="11:11" x14ac:dyDescent="0.3">
      <c r="K473" s="5"/>
    </row>
    <row r="474" spans="11:11" x14ac:dyDescent="0.3">
      <c r="K474" s="5"/>
    </row>
    <row r="475" spans="11:11" x14ac:dyDescent="0.3">
      <c r="K475" s="5"/>
    </row>
    <row r="476" spans="11:11" x14ac:dyDescent="0.3">
      <c r="K476" s="5"/>
    </row>
    <row r="477" spans="11:11" x14ac:dyDescent="0.3">
      <c r="K477" s="5"/>
    </row>
    <row r="478" spans="11:11" x14ac:dyDescent="0.3">
      <c r="K478" s="5"/>
    </row>
    <row r="479" spans="11:11" x14ac:dyDescent="0.3">
      <c r="K479" s="5"/>
    </row>
    <row r="480" spans="11:11" x14ac:dyDescent="0.3">
      <c r="K480" s="5"/>
    </row>
    <row r="481" spans="11:11" x14ac:dyDescent="0.3">
      <c r="K481" s="5"/>
    </row>
    <row r="482" spans="11:11" x14ac:dyDescent="0.3">
      <c r="K482" s="5"/>
    </row>
    <row r="483" spans="11:11" x14ac:dyDescent="0.3">
      <c r="K483" s="5"/>
    </row>
    <row r="484" spans="11:11" x14ac:dyDescent="0.3">
      <c r="K484" s="5"/>
    </row>
    <row r="485" spans="11:11" x14ac:dyDescent="0.3">
      <c r="K485" s="5"/>
    </row>
    <row r="486" spans="11:11" x14ac:dyDescent="0.3">
      <c r="K486" s="5"/>
    </row>
    <row r="487" spans="11:11" x14ac:dyDescent="0.3">
      <c r="K487" s="5"/>
    </row>
    <row r="488" spans="11:11" x14ac:dyDescent="0.3">
      <c r="K488" s="5"/>
    </row>
    <row r="489" spans="11:11" x14ac:dyDescent="0.3">
      <c r="K489" s="5"/>
    </row>
    <row r="490" spans="11:11" x14ac:dyDescent="0.3">
      <c r="K490" s="5"/>
    </row>
    <row r="491" spans="11:11" x14ac:dyDescent="0.3">
      <c r="K491" s="5"/>
    </row>
    <row r="492" spans="11:11" x14ac:dyDescent="0.3">
      <c r="K492" s="5"/>
    </row>
    <row r="493" spans="11:11" x14ac:dyDescent="0.3">
      <c r="K493" s="5"/>
    </row>
    <row r="494" spans="11:11" x14ac:dyDescent="0.3">
      <c r="K494" s="5"/>
    </row>
    <row r="495" spans="11:11" x14ac:dyDescent="0.3">
      <c r="K495" s="5"/>
    </row>
    <row r="496" spans="11:11" x14ac:dyDescent="0.3">
      <c r="K496" s="5"/>
    </row>
    <row r="497" spans="11:11" x14ac:dyDescent="0.3">
      <c r="K497" s="5"/>
    </row>
    <row r="498" spans="11:11" x14ac:dyDescent="0.3">
      <c r="K498" s="5"/>
    </row>
    <row r="499" spans="11:11" x14ac:dyDescent="0.3">
      <c r="K499" s="5"/>
    </row>
    <row r="500" spans="11:11" x14ac:dyDescent="0.3">
      <c r="K500" s="5"/>
    </row>
    <row r="501" spans="11:11" x14ac:dyDescent="0.3">
      <c r="K501" s="5"/>
    </row>
    <row r="502" spans="11:11" x14ac:dyDescent="0.3">
      <c r="K502" s="5"/>
    </row>
    <row r="503" spans="11:11" x14ac:dyDescent="0.3">
      <c r="K503" s="5"/>
    </row>
    <row r="504" spans="11:11" x14ac:dyDescent="0.3">
      <c r="K504" s="5"/>
    </row>
    <row r="505" spans="11:11" x14ac:dyDescent="0.3">
      <c r="K505" s="5"/>
    </row>
    <row r="506" spans="11:11" x14ac:dyDescent="0.3">
      <c r="K506" s="5"/>
    </row>
    <row r="507" spans="11:11" x14ac:dyDescent="0.3">
      <c r="K507" s="5"/>
    </row>
    <row r="508" spans="11:11" x14ac:dyDescent="0.3">
      <c r="K508" s="5"/>
    </row>
    <row r="509" spans="11:11" x14ac:dyDescent="0.3">
      <c r="K509" s="5"/>
    </row>
    <row r="510" spans="11:11" x14ac:dyDescent="0.3">
      <c r="K510" s="5"/>
    </row>
    <row r="511" spans="11:11" x14ac:dyDescent="0.3">
      <c r="K511" s="5"/>
    </row>
    <row r="512" spans="11:11" x14ac:dyDescent="0.3">
      <c r="K512" s="5"/>
    </row>
    <row r="513" spans="11:11" x14ac:dyDescent="0.3">
      <c r="K513" s="5"/>
    </row>
    <row r="514" spans="11:11" x14ac:dyDescent="0.3">
      <c r="K514" s="5"/>
    </row>
    <row r="515" spans="11:11" x14ac:dyDescent="0.3">
      <c r="K515" s="5"/>
    </row>
    <row r="516" spans="11:11" x14ac:dyDescent="0.3">
      <c r="K516" s="5"/>
    </row>
    <row r="517" spans="11:11" x14ac:dyDescent="0.3">
      <c r="K517" s="5"/>
    </row>
    <row r="518" spans="11:11" x14ac:dyDescent="0.3">
      <c r="K518" s="5"/>
    </row>
    <row r="519" spans="11:11" x14ac:dyDescent="0.3">
      <c r="K519" s="5"/>
    </row>
    <row r="520" spans="11:11" x14ac:dyDescent="0.3">
      <c r="K520" s="5"/>
    </row>
    <row r="521" spans="11:11" x14ac:dyDescent="0.3">
      <c r="K521" s="5"/>
    </row>
    <row r="522" spans="11:11" x14ac:dyDescent="0.3">
      <c r="K522" s="5"/>
    </row>
    <row r="523" spans="11:11" x14ac:dyDescent="0.3">
      <c r="K523" s="5"/>
    </row>
    <row r="524" spans="11:11" x14ac:dyDescent="0.3">
      <c r="K524" s="5"/>
    </row>
    <row r="525" spans="11:11" x14ac:dyDescent="0.3">
      <c r="K525" s="5"/>
    </row>
    <row r="526" spans="11:11" x14ac:dyDescent="0.3">
      <c r="K526" s="5"/>
    </row>
    <row r="527" spans="11:11" x14ac:dyDescent="0.3">
      <c r="K527" s="5"/>
    </row>
    <row r="528" spans="11:11" x14ac:dyDescent="0.3">
      <c r="K528" s="5"/>
    </row>
    <row r="529" spans="11:11" x14ac:dyDescent="0.3">
      <c r="K529" s="5"/>
    </row>
    <row r="530" spans="11:11" x14ac:dyDescent="0.3">
      <c r="K530" s="5"/>
    </row>
    <row r="531" spans="11:11" x14ac:dyDescent="0.3">
      <c r="K531" s="5"/>
    </row>
    <row r="532" spans="11:11" x14ac:dyDescent="0.3">
      <c r="K532" s="5"/>
    </row>
    <row r="533" spans="11:11" x14ac:dyDescent="0.3">
      <c r="K533" s="5"/>
    </row>
    <row r="534" spans="11:11" x14ac:dyDescent="0.3">
      <c r="K534" s="5"/>
    </row>
    <row r="535" spans="11:11" x14ac:dyDescent="0.3">
      <c r="K535" s="5"/>
    </row>
    <row r="536" spans="11:11" x14ac:dyDescent="0.3">
      <c r="K536" s="5"/>
    </row>
    <row r="537" spans="11:11" x14ac:dyDescent="0.3">
      <c r="K537" s="5"/>
    </row>
    <row r="538" spans="11:11" x14ac:dyDescent="0.3">
      <c r="K538" s="5"/>
    </row>
    <row r="539" spans="11:11" x14ac:dyDescent="0.3">
      <c r="K539" s="5"/>
    </row>
    <row r="540" spans="11:11" x14ac:dyDescent="0.3">
      <c r="K540" s="5"/>
    </row>
    <row r="541" spans="11:11" x14ac:dyDescent="0.3">
      <c r="K541" s="5"/>
    </row>
    <row r="542" spans="11:11" x14ac:dyDescent="0.3">
      <c r="K542" s="5"/>
    </row>
    <row r="543" spans="11:11" x14ac:dyDescent="0.3">
      <c r="K543" s="5"/>
    </row>
    <row r="544" spans="11:11" x14ac:dyDescent="0.3">
      <c r="K544" s="5"/>
    </row>
    <row r="545" spans="11:11" x14ac:dyDescent="0.3">
      <c r="K545" s="5"/>
    </row>
    <row r="546" spans="11:11" x14ac:dyDescent="0.3">
      <c r="K546" s="5"/>
    </row>
    <row r="547" spans="11:11" x14ac:dyDescent="0.3">
      <c r="K547" s="5"/>
    </row>
    <row r="548" spans="11:11" x14ac:dyDescent="0.3">
      <c r="K548" s="5"/>
    </row>
    <row r="549" spans="11:11" x14ac:dyDescent="0.3">
      <c r="K549" s="5"/>
    </row>
    <row r="550" spans="11:11" x14ac:dyDescent="0.3">
      <c r="K550" s="5"/>
    </row>
    <row r="551" spans="11:11" x14ac:dyDescent="0.3">
      <c r="K551" s="5"/>
    </row>
    <row r="552" spans="11:11" x14ac:dyDescent="0.3">
      <c r="K552" s="5"/>
    </row>
    <row r="553" spans="11:11" x14ac:dyDescent="0.3">
      <c r="K553" s="5"/>
    </row>
    <row r="554" spans="11:11" x14ac:dyDescent="0.3">
      <c r="K554" s="5"/>
    </row>
    <row r="555" spans="11:11" x14ac:dyDescent="0.3">
      <c r="K555" s="5"/>
    </row>
    <row r="556" spans="11:11" x14ac:dyDescent="0.3">
      <c r="K556" s="5"/>
    </row>
    <row r="557" spans="11:11" x14ac:dyDescent="0.3">
      <c r="K557" s="5"/>
    </row>
    <row r="558" spans="11:11" x14ac:dyDescent="0.3">
      <c r="K558" s="5"/>
    </row>
    <row r="559" spans="11:11" x14ac:dyDescent="0.3">
      <c r="K559" s="5"/>
    </row>
    <row r="560" spans="11:11" x14ac:dyDescent="0.3">
      <c r="K560" s="5"/>
    </row>
    <row r="561" spans="11:11" x14ac:dyDescent="0.3">
      <c r="K561" s="5"/>
    </row>
    <row r="562" spans="11:11" x14ac:dyDescent="0.3">
      <c r="K562" s="5"/>
    </row>
    <row r="563" spans="11:11" x14ac:dyDescent="0.3">
      <c r="K563" s="5"/>
    </row>
    <row r="564" spans="11:11" x14ac:dyDescent="0.3">
      <c r="K564" s="5"/>
    </row>
    <row r="565" spans="11:11" x14ac:dyDescent="0.3">
      <c r="K565" s="5"/>
    </row>
    <row r="566" spans="11:11" x14ac:dyDescent="0.3">
      <c r="K566" s="5"/>
    </row>
    <row r="567" spans="11:11" x14ac:dyDescent="0.3">
      <c r="K567" s="5"/>
    </row>
    <row r="568" spans="11:11" x14ac:dyDescent="0.3">
      <c r="K568" s="5"/>
    </row>
    <row r="569" spans="11:11" x14ac:dyDescent="0.3">
      <c r="K569" s="5"/>
    </row>
    <row r="570" spans="11:11" x14ac:dyDescent="0.3">
      <c r="K570" s="5"/>
    </row>
    <row r="571" spans="11:11" x14ac:dyDescent="0.3">
      <c r="K571" s="5"/>
    </row>
    <row r="572" spans="11:11" x14ac:dyDescent="0.3">
      <c r="K572" s="5"/>
    </row>
    <row r="573" spans="11:11" x14ac:dyDescent="0.3">
      <c r="K573" s="5"/>
    </row>
    <row r="574" spans="11:11" x14ac:dyDescent="0.3">
      <c r="K574" s="5"/>
    </row>
    <row r="575" spans="11:11" x14ac:dyDescent="0.3">
      <c r="K575" s="5"/>
    </row>
    <row r="576" spans="11:11" x14ac:dyDescent="0.3">
      <c r="K576" s="5"/>
    </row>
    <row r="577" spans="11:11" x14ac:dyDescent="0.3">
      <c r="K577" s="5"/>
    </row>
    <row r="578" spans="11:11" x14ac:dyDescent="0.3">
      <c r="K578" s="5"/>
    </row>
    <row r="579" spans="11:11" x14ac:dyDescent="0.3">
      <c r="K579" s="5"/>
    </row>
    <row r="580" spans="11:11" x14ac:dyDescent="0.3">
      <c r="K580" s="5"/>
    </row>
    <row r="581" spans="11:11" x14ac:dyDescent="0.3">
      <c r="K581" s="5"/>
    </row>
    <row r="582" spans="11:11" x14ac:dyDescent="0.3">
      <c r="K582" s="5"/>
    </row>
    <row r="583" spans="11:11" x14ac:dyDescent="0.3">
      <c r="K583" s="5"/>
    </row>
    <row r="584" spans="11:11" x14ac:dyDescent="0.3">
      <c r="K584" s="5"/>
    </row>
    <row r="585" spans="11:11" x14ac:dyDescent="0.3">
      <c r="K585" s="5"/>
    </row>
    <row r="586" spans="11:11" x14ac:dyDescent="0.3">
      <c r="K586" s="5"/>
    </row>
    <row r="587" spans="11:11" x14ac:dyDescent="0.3">
      <c r="K587" s="5"/>
    </row>
    <row r="588" spans="11:11" x14ac:dyDescent="0.3">
      <c r="K588" s="5"/>
    </row>
    <row r="589" spans="11:11" x14ac:dyDescent="0.3">
      <c r="K589" s="5"/>
    </row>
    <row r="590" spans="11:11" x14ac:dyDescent="0.3">
      <c r="K590" s="5"/>
    </row>
    <row r="591" spans="11:11" x14ac:dyDescent="0.3">
      <c r="K591" s="5"/>
    </row>
    <row r="592" spans="11:11" x14ac:dyDescent="0.3">
      <c r="K592" s="5"/>
    </row>
    <row r="593" spans="11:11" x14ac:dyDescent="0.3">
      <c r="K593" s="5"/>
    </row>
    <row r="594" spans="11:11" x14ac:dyDescent="0.3">
      <c r="K594" s="5"/>
    </row>
    <row r="595" spans="11:11" x14ac:dyDescent="0.3">
      <c r="K595" s="5"/>
    </row>
    <row r="596" spans="11:11" x14ac:dyDescent="0.3">
      <c r="K596" s="5"/>
    </row>
    <row r="597" spans="11:11" x14ac:dyDescent="0.3">
      <c r="K597" s="5"/>
    </row>
    <row r="598" spans="11:11" x14ac:dyDescent="0.3">
      <c r="K598" s="5"/>
    </row>
    <row r="599" spans="11:11" x14ac:dyDescent="0.3">
      <c r="K599" s="5"/>
    </row>
    <row r="600" spans="11:11" x14ac:dyDescent="0.3">
      <c r="K600" s="5"/>
    </row>
    <row r="601" spans="11:11" x14ac:dyDescent="0.3">
      <c r="K601" s="5"/>
    </row>
    <row r="602" spans="11:11" x14ac:dyDescent="0.3">
      <c r="K602" s="5"/>
    </row>
    <row r="603" spans="11:11" x14ac:dyDescent="0.3">
      <c r="K603" s="5"/>
    </row>
    <row r="604" spans="11:11" x14ac:dyDescent="0.3">
      <c r="K604" s="5"/>
    </row>
    <row r="605" spans="11:11" x14ac:dyDescent="0.3">
      <c r="K605" s="5"/>
    </row>
    <row r="606" spans="11:11" x14ac:dyDescent="0.3">
      <c r="K606" s="5"/>
    </row>
    <row r="607" spans="11:11" x14ac:dyDescent="0.3">
      <c r="K607" s="5"/>
    </row>
    <row r="608" spans="11:11" x14ac:dyDescent="0.3">
      <c r="K608" s="5"/>
    </row>
    <row r="609" spans="11:11" x14ac:dyDescent="0.3">
      <c r="K609" s="5"/>
    </row>
    <row r="610" spans="11:11" x14ac:dyDescent="0.3">
      <c r="K610" s="5"/>
    </row>
    <row r="611" spans="11:11" x14ac:dyDescent="0.3">
      <c r="K611" s="5"/>
    </row>
    <row r="612" spans="11:11" x14ac:dyDescent="0.3">
      <c r="K612" s="5"/>
    </row>
    <row r="613" spans="11:11" x14ac:dyDescent="0.3">
      <c r="K613" s="5"/>
    </row>
    <row r="614" spans="11:11" x14ac:dyDescent="0.3">
      <c r="K614" s="5"/>
    </row>
    <row r="615" spans="11:11" x14ac:dyDescent="0.3">
      <c r="K615" s="5"/>
    </row>
    <row r="616" spans="11:11" x14ac:dyDescent="0.3">
      <c r="K616" s="5"/>
    </row>
    <row r="617" spans="11:11" x14ac:dyDescent="0.3">
      <c r="K617" s="5"/>
    </row>
    <row r="618" spans="11:11" x14ac:dyDescent="0.3">
      <c r="K618" s="5"/>
    </row>
    <row r="619" spans="11:11" x14ac:dyDescent="0.3">
      <c r="K619" s="5"/>
    </row>
    <row r="620" spans="11:11" x14ac:dyDescent="0.3">
      <c r="K620" s="5"/>
    </row>
    <row r="621" spans="11:11" x14ac:dyDescent="0.3">
      <c r="K621" s="5"/>
    </row>
    <row r="622" spans="11:11" x14ac:dyDescent="0.3">
      <c r="K622" s="5"/>
    </row>
    <row r="623" spans="11:11" x14ac:dyDescent="0.3">
      <c r="K623" s="5"/>
    </row>
    <row r="624" spans="11:11" x14ac:dyDescent="0.3">
      <c r="K624" s="5"/>
    </row>
    <row r="625" spans="11:11" x14ac:dyDescent="0.3">
      <c r="K625" s="5"/>
    </row>
    <row r="626" spans="11:11" x14ac:dyDescent="0.3">
      <c r="K626" s="5"/>
    </row>
    <row r="627" spans="11:11" x14ac:dyDescent="0.3">
      <c r="K627" s="5"/>
    </row>
    <row r="628" spans="11:11" x14ac:dyDescent="0.3">
      <c r="K628" s="5"/>
    </row>
    <row r="629" spans="11:11" x14ac:dyDescent="0.3">
      <c r="K629" s="5"/>
    </row>
    <row r="630" spans="11:11" x14ac:dyDescent="0.3">
      <c r="K630" s="5"/>
    </row>
    <row r="631" spans="11:11" x14ac:dyDescent="0.3">
      <c r="K631" s="5"/>
    </row>
    <row r="632" spans="11:11" x14ac:dyDescent="0.3">
      <c r="K632" s="5"/>
    </row>
    <row r="633" spans="11:11" x14ac:dyDescent="0.3">
      <c r="K633" s="5"/>
    </row>
    <row r="634" spans="11:11" x14ac:dyDescent="0.3">
      <c r="K634" s="5"/>
    </row>
    <row r="635" spans="11:11" x14ac:dyDescent="0.3">
      <c r="K635" s="5"/>
    </row>
    <row r="636" spans="11:11" x14ac:dyDescent="0.3">
      <c r="K636" s="5"/>
    </row>
    <row r="637" spans="11:11" x14ac:dyDescent="0.3">
      <c r="K637" s="5"/>
    </row>
    <row r="638" spans="11:11" x14ac:dyDescent="0.3">
      <c r="K638" s="5"/>
    </row>
    <row r="639" spans="11:11" x14ac:dyDescent="0.3">
      <c r="K639" s="5"/>
    </row>
    <row r="640" spans="11:11" x14ac:dyDescent="0.3">
      <c r="K640" s="5"/>
    </row>
    <row r="641" spans="11:11" x14ac:dyDescent="0.3">
      <c r="K641" s="5"/>
    </row>
    <row r="642" spans="11:11" x14ac:dyDescent="0.3">
      <c r="K642" s="5"/>
    </row>
    <row r="643" spans="11:11" x14ac:dyDescent="0.3">
      <c r="K643" s="5"/>
    </row>
    <row r="644" spans="11:11" x14ac:dyDescent="0.3">
      <c r="K644" s="5"/>
    </row>
    <row r="645" spans="11:11" x14ac:dyDescent="0.3">
      <c r="K645" s="5"/>
    </row>
    <row r="646" spans="11:11" x14ac:dyDescent="0.3">
      <c r="K646" s="5"/>
    </row>
    <row r="647" spans="11:11" x14ac:dyDescent="0.3">
      <c r="K647" s="5"/>
    </row>
    <row r="648" spans="11:11" x14ac:dyDescent="0.3">
      <c r="K648" s="5"/>
    </row>
    <row r="649" spans="11:11" x14ac:dyDescent="0.3">
      <c r="K649" s="5"/>
    </row>
    <row r="650" spans="11:11" x14ac:dyDescent="0.3">
      <c r="K650" s="5"/>
    </row>
    <row r="651" spans="11:11" x14ac:dyDescent="0.3">
      <c r="K651" s="5"/>
    </row>
    <row r="652" spans="11:11" x14ac:dyDescent="0.3">
      <c r="K652" s="5"/>
    </row>
    <row r="653" spans="11:11" x14ac:dyDescent="0.3">
      <c r="K653" s="5"/>
    </row>
    <row r="654" spans="11:11" x14ac:dyDescent="0.3">
      <c r="K654" s="5"/>
    </row>
    <row r="655" spans="11:11" x14ac:dyDescent="0.3">
      <c r="K655" s="5"/>
    </row>
    <row r="656" spans="11:11" x14ac:dyDescent="0.3">
      <c r="K656" s="5"/>
    </row>
    <row r="657" spans="11:11" x14ac:dyDescent="0.3">
      <c r="K657" s="5"/>
    </row>
    <row r="658" spans="11:11" x14ac:dyDescent="0.3">
      <c r="K658" s="5"/>
    </row>
    <row r="659" spans="11:11" x14ac:dyDescent="0.3">
      <c r="K659" s="5"/>
    </row>
    <row r="660" spans="11:11" x14ac:dyDescent="0.3">
      <c r="K660" s="5"/>
    </row>
    <row r="661" spans="11:11" x14ac:dyDescent="0.3">
      <c r="K661" s="5"/>
    </row>
    <row r="662" spans="11:11" x14ac:dyDescent="0.3">
      <c r="K662" s="5"/>
    </row>
    <row r="663" spans="11:11" x14ac:dyDescent="0.3">
      <c r="K663" s="5"/>
    </row>
    <row r="664" spans="11:11" x14ac:dyDescent="0.3">
      <c r="K664" s="5"/>
    </row>
    <row r="665" spans="11:11" x14ac:dyDescent="0.3">
      <c r="K665" s="5"/>
    </row>
    <row r="666" spans="11:11" x14ac:dyDescent="0.3">
      <c r="K666" s="5"/>
    </row>
    <row r="667" spans="11:11" x14ac:dyDescent="0.3">
      <c r="K667" s="5"/>
    </row>
    <row r="668" spans="11:11" x14ac:dyDescent="0.3">
      <c r="K668" s="5"/>
    </row>
    <row r="669" spans="11:11" x14ac:dyDescent="0.3">
      <c r="K669" s="5"/>
    </row>
    <row r="670" spans="11:11" x14ac:dyDescent="0.3">
      <c r="K670" s="5"/>
    </row>
    <row r="671" spans="11:11" x14ac:dyDescent="0.3">
      <c r="K671" s="5"/>
    </row>
    <row r="672" spans="11:11" x14ac:dyDescent="0.3">
      <c r="K672" s="5"/>
    </row>
    <row r="673" spans="11:11" x14ac:dyDescent="0.3">
      <c r="K673" s="5"/>
    </row>
    <row r="674" spans="11:11" x14ac:dyDescent="0.3">
      <c r="K674" s="5"/>
    </row>
    <row r="675" spans="11:11" x14ac:dyDescent="0.3">
      <c r="K675" s="5"/>
    </row>
    <row r="676" spans="11:11" x14ac:dyDescent="0.3">
      <c r="K676" s="5"/>
    </row>
    <row r="677" spans="11:11" x14ac:dyDescent="0.3">
      <c r="K677" s="5"/>
    </row>
    <row r="678" spans="11:11" x14ac:dyDescent="0.3">
      <c r="K678" s="5"/>
    </row>
    <row r="679" spans="11:11" x14ac:dyDescent="0.3">
      <c r="K679" s="5"/>
    </row>
    <row r="680" spans="11:11" x14ac:dyDescent="0.3">
      <c r="K680" s="5"/>
    </row>
    <row r="681" spans="11:11" x14ac:dyDescent="0.3">
      <c r="K681" s="5"/>
    </row>
    <row r="682" spans="11:11" x14ac:dyDescent="0.3">
      <c r="K682" s="5"/>
    </row>
    <row r="683" spans="11:11" x14ac:dyDescent="0.3">
      <c r="K683" s="5"/>
    </row>
    <row r="684" spans="11:11" x14ac:dyDescent="0.3">
      <c r="K684" s="5"/>
    </row>
    <row r="685" spans="11:11" x14ac:dyDescent="0.3">
      <c r="K685" s="5"/>
    </row>
    <row r="686" spans="11:11" x14ac:dyDescent="0.3">
      <c r="K686" s="5"/>
    </row>
    <row r="687" spans="11:11" x14ac:dyDescent="0.3">
      <c r="K687" s="5"/>
    </row>
    <row r="688" spans="11:11" x14ac:dyDescent="0.3">
      <c r="K688" s="5"/>
    </row>
    <row r="689" spans="11:11" x14ac:dyDescent="0.3">
      <c r="K689" s="5"/>
    </row>
    <row r="690" spans="11:11" x14ac:dyDescent="0.3">
      <c r="K690" s="5"/>
    </row>
    <row r="691" spans="11:11" x14ac:dyDescent="0.3">
      <c r="K691" s="5"/>
    </row>
    <row r="692" spans="11:11" x14ac:dyDescent="0.3">
      <c r="K692" s="5"/>
    </row>
    <row r="693" spans="11:11" x14ac:dyDescent="0.3">
      <c r="K693" s="5"/>
    </row>
    <row r="694" spans="11:11" x14ac:dyDescent="0.3">
      <c r="K694" s="5"/>
    </row>
    <row r="695" spans="11:11" x14ac:dyDescent="0.3">
      <c r="K695" s="5"/>
    </row>
    <row r="696" spans="11:11" x14ac:dyDescent="0.3">
      <c r="K696" s="5"/>
    </row>
    <row r="697" spans="11:11" x14ac:dyDescent="0.3">
      <c r="K697" s="5"/>
    </row>
    <row r="698" spans="11:11" x14ac:dyDescent="0.3">
      <c r="K698" s="5"/>
    </row>
    <row r="699" spans="11:11" x14ac:dyDescent="0.3">
      <c r="K699" s="5"/>
    </row>
    <row r="700" spans="11:11" x14ac:dyDescent="0.3">
      <c r="K700" s="5"/>
    </row>
    <row r="701" spans="11:11" x14ac:dyDescent="0.3">
      <c r="K701" s="5"/>
    </row>
    <row r="702" spans="11:11" x14ac:dyDescent="0.3">
      <c r="K702" s="5"/>
    </row>
    <row r="703" spans="11:11" x14ac:dyDescent="0.3">
      <c r="K703" s="5"/>
    </row>
    <row r="704" spans="11:11" x14ac:dyDescent="0.3">
      <c r="K704" s="5"/>
    </row>
    <row r="705" spans="11:11" x14ac:dyDescent="0.3">
      <c r="K705" s="5"/>
    </row>
    <row r="706" spans="11:11" x14ac:dyDescent="0.3">
      <c r="K706" s="5"/>
    </row>
    <row r="707" spans="11:11" x14ac:dyDescent="0.3">
      <c r="K707" s="5"/>
    </row>
    <row r="708" spans="11:11" x14ac:dyDescent="0.3">
      <c r="K708" s="5"/>
    </row>
    <row r="709" spans="11:11" x14ac:dyDescent="0.3">
      <c r="K709" s="5"/>
    </row>
    <row r="710" spans="11:11" x14ac:dyDescent="0.3">
      <c r="K710" s="5"/>
    </row>
    <row r="711" spans="11:11" x14ac:dyDescent="0.3">
      <c r="K711" s="5"/>
    </row>
    <row r="712" spans="11:11" x14ac:dyDescent="0.3">
      <c r="K712" s="5"/>
    </row>
    <row r="713" spans="11:11" x14ac:dyDescent="0.3">
      <c r="K713" s="5"/>
    </row>
    <row r="714" spans="11:11" x14ac:dyDescent="0.3">
      <c r="K714" s="5"/>
    </row>
    <row r="715" spans="11:11" x14ac:dyDescent="0.3">
      <c r="K715" s="5"/>
    </row>
    <row r="716" spans="11:11" x14ac:dyDescent="0.3">
      <c r="K716" s="5"/>
    </row>
    <row r="717" spans="11:11" x14ac:dyDescent="0.3">
      <c r="K717" s="5"/>
    </row>
    <row r="718" spans="11:11" x14ac:dyDescent="0.3">
      <c r="K718" s="5"/>
    </row>
    <row r="719" spans="11:11" x14ac:dyDescent="0.3">
      <c r="K719" s="5"/>
    </row>
    <row r="720" spans="11:11" x14ac:dyDescent="0.3">
      <c r="K720" s="5"/>
    </row>
    <row r="721" spans="11:11" x14ac:dyDescent="0.3">
      <c r="K721" s="5"/>
    </row>
    <row r="722" spans="11:11" x14ac:dyDescent="0.3">
      <c r="K722" s="5"/>
    </row>
    <row r="723" spans="11:11" x14ac:dyDescent="0.3">
      <c r="K723" s="5"/>
    </row>
    <row r="724" spans="11:11" x14ac:dyDescent="0.3">
      <c r="K724" s="5"/>
    </row>
    <row r="725" spans="11:11" x14ac:dyDescent="0.3">
      <c r="K725" s="5"/>
    </row>
    <row r="726" spans="11:11" x14ac:dyDescent="0.3">
      <c r="K726" s="5"/>
    </row>
    <row r="727" spans="11:11" x14ac:dyDescent="0.3">
      <c r="K727" s="5"/>
    </row>
    <row r="728" spans="11:11" x14ac:dyDescent="0.3">
      <c r="K728" s="5"/>
    </row>
    <row r="729" spans="11:11" x14ac:dyDescent="0.3">
      <c r="K729" s="5"/>
    </row>
    <row r="730" spans="11:11" x14ac:dyDescent="0.3">
      <c r="K730" s="5"/>
    </row>
    <row r="731" spans="11:11" x14ac:dyDescent="0.3">
      <c r="K731" s="5"/>
    </row>
    <row r="732" spans="11:11" x14ac:dyDescent="0.3">
      <c r="K732" s="5"/>
    </row>
    <row r="733" spans="11:11" x14ac:dyDescent="0.3">
      <c r="K733" s="5"/>
    </row>
    <row r="734" spans="11:11" x14ac:dyDescent="0.3">
      <c r="K734" s="5"/>
    </row>
    <row r="735" spans="11:11" x14ac:dyDescent="0.3">
      <c r="K735" s="5"/>
    </row>
    <row r="736" spans="11:11" x14ac:dyDescent="0.3">
      <c r="K736" s="5"/>
    </row>
    <row r="737" spans="11:11" x14ac:dyDescent="0.3">
      <c r="K737" s="5"/>
    </row>
    <row r="738" spans="11:11" x14ac:dyDescent="0.3">
      <c r="K738" s="5"/>
    </row>
    <row r="739" spans="11:11" x14ac:dyDescent="0.3">
      <c r="K739" s="5"/>
    </row>
    <row r="740" spans="11:11" x14ac:dyDescent="0.3">
      <c r="K740" s="5"/>
    </row>
    <row r="741" spans="11:11" x14ac:dyDescent="0.3">
      <c r="K741" s="5"/>
    </row>
    <row r="742" spans="11:11" x14ac:dyDescent="0.3">
      <c r="K742" s="5"/>
    </row>
    <row r="743" spans="11:11" x14ac:dyDescent="0.3">
      <c r="K743" s="5"/>
    </row>
    <row r="744" spans="11:11" x14ac:dyDescent="0.3">
      <c r="K744" s="5"/>
    </row>
    <row r="745" spans="11:11" x14ac:dyDescent="0.3">
      <c r="K745" s="5"/>
    </row>
    <row r="746" spans="11:11" x14ac:dyDescent="0.3">
      <c r="K746" s="5"/>
    </row>
    <row r="747" spans="11:11" x14ac:dyDescent="0.3">
      <c r="K747" s="5"/>
    </row>
    <row r="748" spans="11:11" x14ac:dyDescent="0.3">
      <c r="K748" s="5"/>
    </row>
    <row r="749" spans="11:11" x14ac:dyDescent="0.3">
      <c r="K749" s="5"/>
    </row>
    <row r="750" spans="11:11" x14ac:dyDescent="0.3">
      <c r="K750" s="5"/>
    </row>
    <row r="751" spans="11:11" x14ac:dyDescent="0.3">
      <c r="K751" s="5"/>
    </row>
    <row r="752" spans="11:11" x14ac:dyDescent="0.3">
      <c r="K752" s="5"/>
    </row>
    <row r="753" spans="11:11" x14ac:dyDescent="0.3">
      <c r="K753" s="5"/>
    </row>
    <row r="754" spans="11:11" x14ac:dyDescent="0.3">
      <c r="K754" s="5"/>
    </row>
    <row r="755" spans="11:11" x14ac:dyDescent="0.3">
      <c r="K755" s="5"/>
    </row>
    <row r="756" spans="11:11" x14ac:dyDescent="0.3">
      <c r="K756" s="5"/>
    </row>
    <row r="757" spans="11:11" x14ac:dyDescent="0.3">
      <c r="K757" s="5"/>
    </row>
    <row r="758" spans="11:11" x14ac:dyDescent="0.3">
      <c r="K758" s="5"/>
    </row>
    <row r="759" spans="11:11" x14ac:dyDescent="0.3">
      <c r="K759" s="5"/>
    </row>
    <row r="760" spans="11:11" x14ac:dyDescent="0.3">
      <c r="K760" s="5"/>
    </row>
    <row r="761" spans="11:11" x14ac:dyDescent="0.3">
      <c r="K761" s="5"/>
    </row>
    <row r="762" spans="11:11" x14ac:dyDescent="0.3">
      <c r="K762" s="5"/>
    </row>
    <row r="763" spans="11:11" x14ac:dyDescent="0.3">
      <c r="K763" s="5"/>
    </row>
    <row r="764" spans="11:11" x14ac:dyDescent="0.3">
      <c r="K764" s="5"/>
    </row>
    <row r="765" spans="11:11" x14ac:dyDescent="0.3">
      <c r="K765" s="5"/>
    </row>
    <row r="766" spans="11:11" x14ac:dyDescent="0.3">
      <c r="K766" s="5"/>
    </row>
    <row r="767" spans="11:11" x14ac:dyDescent="0.3">
      <c r="K767" s="5"/>
    </row>
    <row r="768" spans="11:11" x14ac:dyDescent="0.3">
      <c r="K768" s="5"/>
    </row>
    <row r="769" spans="11:11" x14ac:dyDescent="0.3">
      <c r="K769" s="5"/>
    </row>
    <row r="770" spans="11:11" x14ac:dyDescent="0.3">
      <c r="K770" s="5"/>
    </row>
    <row r="771" spans="11:11" x14ac:dyDescent="0.3">
      <c r="K771" s="5"/>
    </row>
    <row r="772" spans="11:11" x14ac:dyDescent="0.3">
      <c r="K772" s="5"/>
    </row>
    <row r="773" spans="11:11" x14ac:dyDescent="0.3">
      <c r="K773" s="5"/>
    </row>
    <row r="774" spans="11:11" x14ac:dyDescent="0.3">
      <c r="K774" s="5"/>
    </row>
    <row r="775" spans="11:11" x14ac:dyDescent="0.3">
      <c r="K775" s="5"/>
    </row>
    <row r="776" spans="11:11" x14ac:dyDescent="0.3">
      <c r="K776" s="5"/>
    </row>
    <row r="777" spans="11:11" x14ac:dyDescent="0.3">
      <c r="K777" s="5"/>
    </row>
    <row r="778" spans="11:11" x14ac:dyDescent="0.3">
      <c r="K778" s="5"/>
    </row>
    <row r="779" spans="11:11" x14ac:dyDescent="0.3">
      <c r="K779" s="5"/>
    </row>
    <row r="780" spans="11:11" x14ac:dyDescent="0.3">
      <c r="K780" s="5"/>
    </row>
    <row r="781" spans="11:11" x14ac:dyDescent="0.3">
      <c r="K781" s="5"/>
    </row>
    <row r="782" spans="11:11" x14ac:dyDescent="0.3">
      <c r="K782" s="5"/>
    </row>
    <row r="783" spans="11:11" x14ac:dyDescent="0.3">
      <c r="K783" s="5"/>
    </row>
    <row r="784" spans="11:11" x14ac:dyDescent="0.3">
      <c r="K784" s="5"/>
    </row>
    <row r="785" spans="11:11" x14ac:dyDescent="0.3">
      <c r="K785" s="5"/>
    </row>
    <row r="786" spans="11:11" x14ac:dyDescent="0.3">
      <c r="K786" s="5"/>
    </row>
    <row r="787" spans="11:11" x14ac:dyDescent="0.3">
      <c r="K787" s="5"/>
    </row>
    <row r="788" spans="11:11" x14ac:dyDescent="0.3">
      <c r="K788" s="5"/>
    </row>
    <row r="789" spans="11:11" x14ac:dyDescent="0.3">
      <c r="K789" s="5"/>
    </row>
    <row r="790" spans="11:11" x14ac:dyDescent="0.3">
      <c r="K790" s="5"/>
    </row>
    <row r="791" spans="11:11" x14ac:dyDescent="0.3">
      <c r="K791" s="5"/>
    </row>
    <row r="792" spans="11:11" x14ac:dyDescent="0.3">
      <c r="K792" s="5"/>
    </row>
    <row r="793" spans="11:11" x14ac:dyDescent="0.3">
      <c r="K793" s="5"/>
    </row>
    <row r="794" spans="11:11" x14ac:dyDescent="0.3">
      <c r="K794" s="5"/>
    </row>
    <row r="795" spans="11:11" x14ac:dyDescent="0.3">
      <c r="K795" s="5"/>
    </row>
    <row r="796" spans="11:11" x14ac:dyDescent="0.3">
      <c r="K796" s="5"/>
    </row>
    <row r="797" spans="11:11" x14ac:dyDescent="0.3">
      <c r="K797" s="5"/>
    </row>
    <row r="798" spans="11:11" x14ac:dyDescent="0.3">
      <c r="K798" s="5"/>
    </row>
    <row r="799" spans="11:11" x14ac:dyDescent="0.3">
      <c r="K799" s="5"/>
    </row>
    <row r="800" spans="11:11" x14ac:dyDescent="0.3">
      <c r="K800" s="5"/>
    </row>
    <row r="801" spans="11:11" x14ac:dyDescent="0.3">
      <c r="K801" s="5"/>
    </row>
    <row r="802" spans="11:11" x14ac:dyDescent="0.3">
      <c r="K802" s="5"/>
    </row>
    <row r="803" spans="11:11" x14ac:dyDescent="0.3">
      <c r="K803" s="5"/>
    </row>
    <row r="804" spans="11:11" x14ac:dyDescent="0.3">
      <c r="K804" s="5"/>
    </row>
    <row r="805" spans="11:11" x14ac:dyDescent="0.3">
      <c r="K805" s="5"/>
    </row>
    <row r="806" spans="11:11" x14ac:dyDescent="0.3">
      <c r="K806" s="5"/>
    </row>
    <row r="807" spans="11:11" x14ac:dyDescent="0.3">
      <c r="K807" s="5"/>
    </row>
    <row r="808" spans="11:11" x14ac:dyDescent="0.3">
      <c r="K808" s="5"/>
    </row>
    <row r="809" spans="11:11" x14ac:dyDescent="0.3">
      <c r="K809" s="5"/>
    </row>
    <row r="810" spans="11:11" x14ac:dyDescent="0.3">
      <c r="K810" s="5"/>
    </row>
    <row r="811" spans="11:11" x14ac:dyDescent="0.3">
      <c r="K811" s="5"/>
    </row>
    <row r="812" spans="11:11" x14ac:dyDescent="0.3">
      <c r="K812" s="5"/>
    </row>
    <row r="813" spans="11:11" x14ac:dyDescent="0.3">
      <c r="K813" s="5"/>
    </row>
    <row r="814" spans="11:11" x14ac:dyDescent="0.3">
      <c r="K814" s="5"/>
    </row>
    <row r="815" spans="11:11" x14ac:dyDescent="0.3">
      <c r="K815" s="5"/>
    </row>
    <row r="816" spans="11:11" x14ac:dyDescent="0.3">
      <c r="K816" s="5"/>
    </row>
    <row r="817" spans="11:11" x14ac:dyDescent="0.3">
      <c r="K817" s="5"/>
    </row>
  </sheetData>
  <autoFilter ref="A2:O182" xr:uid="{00000000-0009-0000-0000-00000A000000}">
    <sortState xmlns:xlrd2="http://schemas.microsoft.com/office/spreadsheetml/2017/richdata2" ref="A3:O182">
      <sortCondition ref="B2:B170"/>
    </sortState>
  </autoFilter>
  <phoneticPr fontId="101" type="noConversion"/>
  <conditionalFormatting sqref="K1:K1048576">
    <cfRule type="cellIs" dxfId="1" priority="596" operator="lessThan">
      <formula>0</formula>
    </cfRule>
  </conditionalFormatting>
  <conditionalFormatting sqref="P3:P50">
    <cfRule type="cellIs" dxfId="0" priority="1147" operator="lessThan">
      <formula>0</formula>
    </cfRule>
  </conditionalFormatting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72" orientation="landscape" r:id="rId1"/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/>
  <dimension ref="A1:V86"/>
  <sheetViews>
    <sheetView zoomScaleNormal="100" workbookViewId="0">
      <selection sqref="A1:XFD1048576"/>
    </sheetView>
  </sheetViews>
  <sheetFormatPr defaultRowHeight="16.5" x14ac:dyDescent="0.3"/>
  <cols>
    <col min="1" max="1" width="7.125" bestFit="1" customWidth="1"/>
    <col min="3" max="3" width="43.5" bestFit="1" customWidth="1"/>
    <col min="4" max="4" width="5.5" bestFit="1" customWidth="1"/>
    <col min="5" max="5" width="11.75" bestFit="1" customWidth="1"/>
    <col min="6" max="6" width="8.75" bestFit="1" customWidth="1"/>
    <col min="8" max="8" width="11.625" bestFit="1" customWidth="1"/>
    <col min="9" max="9" width="11" bestFit="1" customWidth="1"/>
    <col min="11" max="11" width="7.125" bestFit="1" customWidth="1"/>
    <col min="13" max="13" width="10.375" bestFit="1" customWidth="1"/>
    <col min="14" max="15" width="7.125" bestFit="1" customWidth="1"/>
    <col min="16" max="16" width="5.25" bestFit="1" customWidth="1"/>
    <col min="17" max="17" width="9.25" bestFit="1" customWidth="1"/>
    <col min="19" max="19" width="8.25" bestFit="1" customWidth="1"/>
    <col min="20" max="20" width="11" bestFit="1" customWidth="1"/>
    <col min="21" max="21" width="7.875" bestFit="1" customWidth="1"/>
    <col min="22" max="22" width="5.25" bestFit="1" customWidth="1"/>
  </cols>
  <sheetData>
    <row r="1" spans="1:22" x14ac:dyDescent="0.3">
      <c r="A1" s="225" t="s">
        <v>2703</v>
      </c>
      <c r="B1" s="225" t="s">
        <v>2704</v>
      </c>
      <c r="C1" s="225" t="s">
        <v>337</v>
      </c>
      <c r="D1" s="225" t="s">
        <v>2705</v>
      </c>
      <c r="E1" s="225" t="s">
        <v>2706</v>
      </c>
      <c r="F1" s="225" t="s">
        <v>2707</v>
      </c>
      <c r="G1" s="225" t="s">
        <v>2708</v>
      </c>
      <c r="H1" s="225" t="s">
        <v>2709</v>
      </c>
      <c r="I1" s="225" t="s">
        <v>2710</v>
      </c>
      <c r="J1" s="225" t="s">
        <v>2711</v>
      </c>
      <c r="K1" s="225" t="s">
        <v>2712</v>
      </c>
      <c r="L1" s="225" t="s">
        <v>2713</v>
      </c>
      <c r="M1" s="225" t="s">
        <v>2714</v>
      </c>
      <c r="N1" s="225" t="s">
        <v>2715</v>
      </c>
      <c r="O1" s="226" t="s">
        <v>2716</v>
      </c>
      <c r="P1" s="226" t="s">
        <v>2717</v>
      </c>
      <c r="Q1" s="226" t="s">
        <v>2718</v>
      </c>
      <c r="R1" s="226" t="s">
        <v>2719</v>
      </c>
      <c r="S1" s="226" t="s">
        <v>2720</v>
      </c>
      <c r="T1" s="226" t="s">
        <v>2721</v>
      </c>
      <c r="U1" s="226" t="s">
        <v>2722</v>
      </c>
      <c r="V1" s="226" t="s">
        <v>2717</v>
      </c>
    </row>
    <row r="2" spans="1:22" x14ac:dyDescent="0.3">
      <c r="A2" s="227" t="s">
        <v>2723</v>
      </c>
      <c r="B2" s="227" t="s">
        <v>2669</v>
      </c>
      <c r="C2" s="227" t="s">
        <v>2650</v>
      </c>
      <c r="D2" s="227" t="s">
        <v>2724</v>
      </c>
      <c r="E2" s="227" t="s">
        <v>2725</v>
      </c>
      <c r="F2" s="227" t="s">
        <v>2726</v>
      </c>
      <c r="G2" s="227" t="s">
        <v>2727</v>
      </c>
      <c r="H2" s="227" t="s">
        <v>2728</v>
      </c>
      <c r="I2" s="227" t="s">
        <v>2729</v>
      </c>
      <c r="J2" s="227" t="s">
        <v>2726</v>
      </c>
      <c r="K2" s="227" t="s">
        <v>2726</v>
      </c>
      <c r="L2" s="227" t="s">
        <v>2726</v>
      </c>
      <c r="M2" s="227" t="s">
        <v>2730</v>
      </c>
      <c r="N2" s="227" t="s">
        <v>2731</v>
      </c>
      <c r="O2" s="228"/>
      <c r="P2" s="229" t="s">
        <v>2727</v>
      </c>
      <c r="Q2" s="230">
        <v>1568</v>
      </c>
      <c r="R2" s="230">
        <v>0</v>
      </c>
      <c r="S2" s="230">
        <v>0</v>
      </c>
      <c r="T2" s="230">
        <v>1568</v>
      </c>
      <c r="U2" s="230">
        <v>340</v>
      </c>
      <c r="V2" s="229" t="s">
        <v>2732</v>
      </c>
    </row>
    <row r="3" spans="1:22" x14ac:dyDescent="0.3">
      <c r="A3" s="227" t="s">
        <v>2723</v>
      </c>
      <c r="B3" s="227" t="s">
        <v>2733</v>
      </c>
      <c r="C3" s="227" t="s">
        <v>2734</v>
      </c>
      <c r="D3" s="227" t="s">
        <v>2724</v>
      </c>
      <c r="E3" s="227" t="s">
        <v>2725</v>
      </c>
      <c r="F3" s="227" t="s">
        <v>2726</v>
      </c>
      <c r="G3" s="227" t="s">
        <v>2727</v>
      </c>
      <c r="H3" s="227" t="s">
        <v>2728</v>
      </c>
      <c r="I3" s="227" t="s">
        <v>2735</v>
      </c>
      <c r="J3" s="227" t="s">
        <v>2726</v>
      </c>
      <c r="K3" s="227" t="s">
        <v>2726</v>
      </c>
      <c r="L3" s="227" t="s">
        <v>2726</v>
      </c>
      <c r="M3" s="227" t="s">
        <v>2736</v>
      </c>
      <c r="N3" s="227" t="s">
        <v>2737</v>
      </c>
      <c r="O3" s="228"/>
      <c r="P3" s="229" t="s">
        <v>2727</v>
      </c>
      <c r="Q3" s="230">
        <v>1398</v>
      </c>
      <c r="R3" s="230">
        <v>0</v>
      </c>
      <c r="S3" s="230">
        <v>0</v>
      </c>
      <c r="T3" s="230">
        <v>1398</v>
      </c>
      <c r="U3" s="230">
        <v>500</v>
      </c>
      <c r="V3" s="229" t="s">
        <v>2732</v>
      </c>
    </row>
    <row r="4" spans="1:22" x14ac:dyDescent="0.3">
      <c r="A4" s="227" t="s">
        <v>2723</v>
      </c>
      <c r="B4" s="227" t="s">
        <v>574</v>
      </c>
      <c r="C4" s="227" t="s">
        <v>2738</v>
      </c>
      <c r="D4" s="227" t="s">
        <v>2724</v>
      </c>
      <c r="E4" s="227" t="s">
        <v>2725</v>
      </c>
      <c r="F4" s="227" t="s">
        <v>2726</v>
      </c>
      <c r="G4" s="227" t="s">
        <v>2727</v>
      </c>
      <c r="H4" s="227" t="s">
        <v>2728</v>
      </c>
      <c r="I4" s="227" t="s">
        <v>2735</v>
      </c>
      <c r="J4" s="227" t="s">
        <v>2726</v>
      </c>
      <c r="K4" s="227" t="s">
        <v>2726</v>
      </c>
      <c r="L4" s="227" t="s">
        <v>2726</v>
      </c>
      <c r="M4" s="227" t="s">
        <v>2736</v>
      </c>
      <c r="N4" s="227" t="s">
        <v>2731</v>
      </c>
      <c r="O4" s="228"/>
      <c r="P4" s="229" t="s">
        <v>2727</v>
      </c>
      <c r="Q4" s="230">
        <v>1816</v>
      </c>
      <c r="R4" s="230">
        <v>0</v>
      </c>
      <c r="S4" s="230">
        <v>0</v>
      </c>
      <c r="T4" s="230">
        <v>1816</v>
      </c>
      <c r="U4" s="230">
        <v>250</v>
      </c>
      <c r="V4" s="229" t="s">
        <v>2732</v>
      </c>
    </row>
    <row r="5" spans="1:22" x14ac:dyDescent="0.3">
      <c r="A5" s="227" t="s">
        <v>2723</v>
      </c>
      <c r="B5" s="227" t="s">
        <v>1873</v>
      </c>
      <c r="C5" s="227" t="s">
        <v>2739</v>
      </c>
      <c r="D5" s="227" t="s">
        <v>2724</v>
      </c>
      <c r="E5" s="227" t="s">
        <v>2725</v>
      </c>
      <c r="F5" s="227" t="s">
        <v>2726</v>
      </c>
      <c r="G5" s="227" t="s">
        <v>2727</v>
      </c>
      <c r="H5" s="227" t="s">
        <v>2728</v>
      </c>
      <c r="I5" s="227" t="s">
        <v>2735</v>
      </c>
      <c r="J5" s="227" t="s">
        <v>2726</v>
      </c>
      <c r="K5" s="227" t="s">
        <v>2726</v>
      </c>
      <c r="L5" s="227" t="s">
        <v>2726</v>
      </c>
      <c r="M5" s="227" t="s">
        <v>2736</v>
      </c>
      <c r="N5" s="227" t="s">
        <v>2731</v>
      </c>
      <c r="O5" s="228"/>
      <c r="P5" s="229" t="s">
        <v>2727</v>
      </c>
      <c r="Q5" s="230">
        <v>4080</v>
      </c>
      <c r="R5" s="230">
        <v>0</v>
      </c>
      <c r="S5" s="230">
        <v>0</v>
      </c>
      <c r="T5" s="230">
        <v>4080</v>
      </c>
      <c r="U5" s="230">
        <v>350</v>
      </c>
      <c r="V5" s="229" t="s">
        <v>2732</v>
      </c>
    </row>
    <row r="6" spans="1:22" x14ac:dyDescent="0.3">
      <c r="A6" s="227" t="s">
        <v>2723</v>
      </c>
      <c r="B6" s="227" t="s">
        <v>743</v>
      </c>
      <c r="C6" s="227" t="s">
        <v>744</v>
      </c>
      <c r="D6" s="227" t="s">
        <v>2724</v>
      </c>
      <c r="E6" s="227" t="s">
        <v>2725</v>
      </c>
      <c r="F6" s="227" t="s">
        <v>2726</v>
      </c>
      <c r="G6" s="227" t="s">
        <v>2727</v>
      </c>
      <c r="H6" s="227" t="s">
        <v>2728</v>
      </c>
      <c r="I6" s="227" t="s">
        <v>2735</v>
      </c>
      <c r="J6" s="227" t="s">
        <v>2726</v>
      </c>
      <c r="K6" s="227" t="s">
        <v>2726</v>
      </c>
      <c r="L6" s="227" t="s">
        <v>2726</v>
      </c>
      <c r="M6" s="227" t="s">
        <v>2736</v>
      </c>
      <c r="N6" s="227" t="s">
        <v>2737</v>
      </c>
      <c r="O6" s="228"/>
      <c r="P6" s="229" t="s">
        <v>2727</v>
      </c>
      <c r="Q6" s="230">
        <v>224</v>
      </c>
      <c r="R6" s="230">
        <v>0</v>
      </c>
      <c r="S6" s="230">
        <v>0</v>
      </c>
      <c r="T6" s="230">
        <v>224</v>
      </c>
      <c r="U6" s="230">
        <v>500</v>
      </c>
      <c r="V6" s="229" t="s">
        <v>2732</v>
      </c>
    </row>
    <row r="7" spans="1:22" x14ac:dyDescent="0.3">
      <c r="A7" s="227" t="s">
        <v>2723</v>
      </c>
      <c r="B7" s="227" t="s">
        <v>2740</v>
      </c>
      <c r="C7" s="227" t="s">
        <v>2741</v>
      </c>
      <c r="D7" s="227" t="s">
        <v>2724</v>
      </c>
      <c r="E7" s="227" t="s">
        <v>2725</v>
      </c>
      <c r="F7" s="227" t="s">
        <v>2726</v>
      </c>
      <c r="G7" s="227" t="s">
        <v>2727</v>
      </c>
      <c r="H7" s="227" t="s">
        <v>2728</v>
      </c>
      <c r="I7" s="227" t="s">
        <v>2735</v>
      </c>
      <c r="J7" s="227" t="s">
        <v>2726</v>
      </c>
      <c r="K7" s="227" t="s">
        <v>2726</v>
      </c>
      <c r="L7" s="227" t="s">
        <v>2726</v>
      </c>
      <c r="M7" s="227" t="s">
        <v>2736</v>
      </c>
      <c r="N7" s="227" t="s">
        <v>2731</v>
      </c>
      <c r="O7" s="228"/>
      <c r="P7" s="229" t="s">
        <v>2727</v>
      </c>
      <c r="Q7" s="230">
        <v>121</v>
      </c>
      <c r="R7" s="230">
        <v>0</v>
      </c>
      <c r="S7" s="230">
        <v>0</v>
      </c>
      <c r="T7" s="230">
        <v>121</v>
      </c>
      <c r="U7" s="230">
        <v>490</v>
      </c>
      <c r="V7" s="229" t="s">
        <v>2732</v>
      </c>
    </row>
    <row r="8" spans="1:22" x14ac:dyDescent="0.3">
      <c r="A8" s="227" t="s">
        <v>2723</v>
      </c>
      <c r="B8" s="227" t="s">
        <v>2742</v>
      </c>
      <c r="C8" s="227" t="s">
        <v>2743</v>
      </c>
      <c r="D8" s="227" t="s">
        <v>2724</v>
      </c>
      <c r="E8" s="227" t="s">
        <v>2725</v>
      </c>
      <c r="F8" s="227" t="s">
        <v>2726</v>
      </c>
      <c r="G8" s="227" t="s">
        <v>2727</v>
      </c>
      <c r="H8" s="227" t="s">
        <v>2728</v>
      </c>
      <c r="I8" s="227" t="s">
        <v>2735</v>
      </c>
      <c r="J8" s="227" t="s">
        <v>2726</v>
      </c>
      <c r="K8" s="227" t="s">
        <v>2726</v>
      </c>
      <c r="L8" s="227" t="s">
        <v>2726</v>
      </c>
      <c r="M8" s="227" t="s">
        <v>2736</v>
      </c>
      <c r="N8" s="227" t="s">
        <v>2731</v>
      </c>
      <c r="O8" s="228"/>
      <c r="P8" s="229" t="s">
        <v>2727</v>
      </c>
      <c r="Q8" s="230">
        <v>1122</v>
      </c>
      <c r="R8" s="230">
        <v>0</v>
      </c>
      <c r="S8" s="230">
        <v>0</v>
      </c>
      <c r="T8" s="230">
        <v>1122</v>
      </c>
      <c r="U8" s="230">
        <v>490</v>
      </c>
      <c r="V8" s="229" t="s">
        <v>2732</v>
      </c>
    </row>
    <row r="9" spans="1:22" x14ac:dyDescent="0.3">
      <c r="A9" s="227" t="s">
        <v>2723</v>
      </c>
      <c r="B9" s="227" t="s">
        <v>2744</v>
      </c>
      <c r="C9" s="227" t="s">
        <v>2745</v>
      </c>
      <c r="D9" s="227" t="s">
        <v>2724</v>
      </c>
      <c r="E9" s="227" t="s">
        <v>2725</v>
      </c>
      <c r="F9" s="227" t="s">
        <v>2726</v>
      </c>
      <c r="G9" s="227" t="s">
        <v>2727</v>
      </c>
      <c r="H9" s="227" t="s">
        <v>2728</v>
      </c>
      <c r="I9" s="227" t="s">
        <v>2735</v>
      </c>
      <c r="J9" s="227" t="s">
        <v>2726</v>
      </c>
      <c r="K9" s="227" t="s">
        <v>2726</v>
      </c>
      <c r="L9" s="227" t="s">
        <v>2726</v>
      </c>
      <c r="M9" s="227" t="s">
        <v>2736</v>
      </c>
      <c r="N9" s="227" t="s">
        <v>2731</v>
      </c>
      <c r="O9" s="228"/>
      <c r="P9" s="229" t="s">
        <v>2727</v>
      </c>
      <c r="Q9" s="230">
        <v>177</v>
      </c>
      <c r="R9" s="230">
        <v>0</v>
      </c>
      <c r="S9" s="230">
        <v>0</v>
      </c>
      <c r="T9" s="230">
        <v>177</v>
      </c>
      <c r="U9" s="230">
        <v>350</v>
      </c>
      <c r="V9" s="229" t="s">
        <v>2732</v>
      </c>
    </row>
    <row r="10" spans="1:22" x14ac:dyDescent="0.3">
      <c r="A10" s="227" t="s">
        <v>2723</v>
      </c>
      <c r="B10" s="227" t="s">
        <v>2746</v>
      </c>
      <c r="C10" s="227" t="s">
        <v>2690</v>
      </c>
      <c r="D10" s="227" t="s">
        <v>2724</v>
      </c>
      <c r="E10" s="227" t="s">
        <v>2725</v>
      </c>
      <c r="F10" s="227" t="s">
        <v>2726</v>
      </c>
      <c r="G10" s="227" t="s">
        <v>2727</v>
      </c>
      <c r="H10" s="227" t="s">
        <v>2728</v>
      </c>
      <c r="I10" s="227" t="s">
        <v>2735</v>
      </c>
      <c r="J10" s="227" t="s">
        <v>2726</v>
      </c>
      <c r="K10" s="227" t="s">
        <v>2726</v>
      </c>
      <c r="L10" s="227" t="s">
        <v>2726</v>
      </c>
      <c r="M10" s="227" t="s">
        <v>2736</v>
      </c>
      <c r="N10" s="227" t="s">
        <v>2737</v>
      </c>
      <c r="O10" s="228"/>
      <c r="P10" s="229" t="s">
        <v>2727</v>
      </c>
      <c r="Q10" s="230">
        <v>49</v>
      </c>
      <c r="R10" s="230">
        <v>0</v>
      </c>
      <c r="S10" s="230">
        <v>0</v>
      </c>
      <c r="T10" s="230">
        <v>49</v>
      </c>
      <c r="U10" s="230">
        <v>900</v>
      </c>
      <c r="V10" s="229" t="s">
        <v>2732</v>
      </c>
    </row>
    <row r="11" spans="1:22" x14ac:dyDescent="0.3">
      <c r="A11" s="227" t="s">
        <v>2723</v>
      </c>
      <c r="B11" s="227" t="s">
        <v>2747</v>
      </c>
      <c r="C11" s="227" t="s">
        <v>2699</v>
      </c>
      <c r="D11" s="227" t="s">
        <v>2724</v>
      </c>
      <c r="E11" s="227" t="s">
        <v>2725</v>
      </c>
      <c r="F11" s="227" t="s">
        <v>2726</v>
      </c>
      <c r="G11" s="227" t="s">
        <v>2727</v>
      </c>
      <c r="H11" s="227" t="s">
        <v>2728</v>
      </c>
      <c r="I11" s="227" t="s">
        <v>2735</v>
      </c>
      <c r="J11" s="227" t="s">
        <v>2726</v>
      </c>
      <c r="K11" s="227" t="s">
        <v>2726</v>
      </c>
      <c r="L11" s="227" t="s">
        <v>2726</v>
      </c>
      <c r="M11" s="227" t="s">
        <v>2736</v>
      </c>
      <c r="N11" s="227" t="s">
        <v>2737</v>
      </c>
      <c r="O11" s="228"/>
      <c r="P11" s="229" t="s">
        <v>2727</v>
      </c>
      <c r="Q11" s="230">
        <v>858</v>
      </c>
      <c r="R11" s="230">
        <v>0</v>
      </c>
      <c r="S11" s="230">
        <v>0</v>
      </c>
      <c r="T11" s="230">
        <v>858</v>
      </c>
      <c r="U11" s="230">
        <v>500</v>
      </c>
      <c r="V11" s="229" t="s">
        <v>2732</v>
      </c>
    </row>
    <row r="12" spans="1:22" x14ac:dyDescent="0.3">
      <c r="A12" s="227" t="s">
        <v>2723</v>
      </c>
      <c r="B12" s="227" t="s">
        <v>2748</v>
      </c>
      <c r="C12" s="227" t="s">
        <v>2749</v>
      </c>
      <c r="D12" s="227" t="s">
        <v>2724</v>
      </c>
      <c r="E12" s="227" t="s">
        <v>2725</v>
      </c>
      <c r="F12" s="227" t="s">
        <v>2726</v>
      </c>
      <c r="G12" s="227" t="s">
        <v>2727</v>
      </c>
      <c r="H12" s="227" t="s">
        <v>2728</v>
      </c>
      <c r="I12" s="227" t="s">
        <v>2735</v>
      </c>
      <c r="J12" s="227" t="s">
        <v>2726</v>
      </c>
      <c r="K12" s="227" t="s">
        <v>2726</v>
      </c>
      <c r="L12" s="227" t="s">
        <v>2726</v>
      </c>
      <c r="M12" s="227" t="s">
        <v>2736</v>
      </c>
      <c r="N12" s="227" t="s">
        <v>2731</v>
      </c>
      <c r="O12" s="228"/>
      <c r="P12" s="229" t="s">
        <v>2727</v>
      </c>
      <c r="Q12" s="230">
        <v>50</v>
      </c>
      <c r="R12" s="230">
        <v>0</v>
      </c>
      <c r="S12" s="230">
        <v>0</v>
      </c>
      <c r="T12" s="230">
        <v>50</v>
      </c>
      <c r="U12" s="230">
        <v>350</v>
      </c>
      <c r="V12" s="229" t="s">
        <v>2732</v>
      </c>
    </row>
    <row r="13" spans="1:22" x14ac:dyDescent="0.3">
      <c r="A13" s="227" t="s">
        <v>2723</v>
      </c>
      <c r="B13" s="227" t="s">
        <v>2750</v>
      </c>
      <c r="C13" s="227" t="s">
        <v>2751</v>
      </c>
      <c r="D13" s="227" t="s">
        <v>2724</v>
      </c>
      <c r="E13" s="227" t="s">
        <v>2725</v>
      </c>
      <c r="F13" s="227" t="s">
        <v>2726</v>
      </c>
      <c r="G13" s="227" t="s">
        <v>2727</v>
      </c>
      <c r="H13" s="227" t="s">
        <v>2728</v>
      </c>
      <c r="I13" s="227" t="s">
        <v>2735</v>
      </c>
      <c r="J13" s="227" t="s">
        <v>2726</v>
      </c>
      <c r="K13" s="227" t="s">
        <v>2726</v>
      </c>
      <c r="L13" s="227" t="s">
        <v>2726</v>
      </c>
      <c r="M13" s="227" t="s">
        <v>2736</v>
      </c>
      <c r="N13" s="227" t="s">
        <v>2731</v>
      </c>
      <c r="O13" s="228"/>
      <c r="P13" s="229" t="s">
        <v>2727</v>
      </c>
      <c r="Q13" s="230">
        <v>367</v>
      </c>
      <c r="R13" s="230">
        <v>0</v>
      </c>
      <c r="S13" s="230">
        <v>0</v>
      </c>
      <c r="T13" s="230">
        <v>367</v>
      </c>
      <c r="U13" s="230">
        <v>250</v>
      </c>
      <c r="V13" s="229" t="s">
        <v>2732</v>
      </c>
    </row>
    <row r="14" spans="1:22" x14ac:dyDescent="0.3">
      <c r="A14" s="227" t="s">
        <v>2723</v>
      </c>
      <c r="B14" s="227" t="s">
        <v>2752</v>
      </c>
      <c r="C14" s="227" t="s">
        <v>2753</v>
      </c>
      <c r="D14" s="227" t="s">
        <v>2724</v>
      </c>
      <c r="E14" s="227" t="s">
        <v>2725</v>
      </c>
      <c r="F14" s="227" t="s">
        <v>2726</v>
      </c>
      <c r="G14" s="227" t="s">
        <v>2727</v>
      </c>
      <c r="H14" s="227" t="s">
        <v>2728</v>
      </c>
      <c r="I14" s="227" t="s">
        <v>2735</v>
      </c>
      <c r="J14" s="227" t="s">
        <v>2726</v>
      </c>
      <c r="K14" s="227" t="s">
        <v>2726</v>
      </c>
      <c r="L14" s="227" t="s">
        <v>2726</v>
      </c>
      <c r="M14" s="227" t="s">
        <v>2736</v>
      </c>
      <c r="N14" s="227" t="s">
        <v>2731</v>
      </c>
      <c r="O14" s="228"/>
      <c r="P14" s="229" t="s">
        <v>2727</v>
      </c>
      <c r="Q14" s="230">
        <v>474</v>
      </c>
      <c r="R14" s="230">
        <v>0</v>
      </c>
      <c r="S14" s="230">
        <v>0</v>
      </c>
      <c r="T14" s="230">
        <v>474</v>
      </c>
      <c r="U14" s="230">
        <v>350</v>
      </c>
      <c r="V14" s="229" t="s">
        <v>2732</v>
      </c>
    </row>
    <row r="15" spans="1:22" x14ac:dyDescent="0.3">
      <c r="A15" s="227" t="s">
        <v>2723</v>
      </c>
      <c r="B15" s="227" t="s">
        <v>2754</v>
      </c>
      <c r="C15" s="227" t="s">
        <v>2755</v>
      </c>
      <c r="D15" s="227" t="s">
        <v>2724</v>
      </c>
      <c r="E15" s="227" t="s">
        <v>2725</v>
      </c>
      <c r="F15" s="227" t="s">
        <v>2726</v>
      </c>
      <c r="G15" s="227" t="s">
        <v>2727</v>
      </c>
      <c r="H15" s="227" t="s">
        <v>2728</v>
      </c>
      <c r="I15" s="227" t="s">
        <v>2735</v>
      </c>
      <c r="J15" s="227" t="s">
        <v>2726</v>
      </c>
      <c r="K15" s="227" t="s">
        <v>2726</v>
      </c>
      <c r="L15" s="227" t="s">
        <v>2726</v>
      </c>
      <c r="M15" s="227" t="s">
        <v>2736</v>
      </c>
      <c r="N15" s="227" t="s">
        <v>2737</v>
      </c>
      <c r="O15" s="228"/>
      <c r="P15" s="229" t="s">
        <v>2727</v>
      </c>
      <c r="Q15" s="230">
        <v>794</v>
      </c>
      <c r="R15" s="230">
        <v>0</v>
      </c>
      <c r="S15" s="230">
        <v>0</v>
      </c>
      <c r="T15" s="230">
        <v>794</v>
      </c>
      <c r="U15" s="230">
        <v>500</v>
      </c>
      <c r="V15" s="229" t="s">
        <v>2732</v>
      </c>
    </row>
    <row r="16" spans="1:22" x14ac:dyDescent="0.3">
      <c r="A16" s="227" t="s">
        <v>2723</v>
      </c>
      <c r="B16" s="227" t="s">
        <v>1207</v>
      </c>
      <c r="C16" s="227" t="s">
        <v>1208</v>
      </c>
      <c r="D16" s="227" t="s">
        <v>2724</v>
      </c>
      <c r="E16" s="227" t="s">
        <v>2725</v>
      </c>
      <c r="F16" s="227" t="s">
        <v>2726</v>
      </c>
      <c r="G16" s="227" t="s">
        <v>2727</v>
      </c>
      <c r="H16" s="227" t="s">
        <v>2728</v>
      </c>
      <c r="I16" s="227" t="s">
        <v>2735</v>
      </c>
      <c r="J16" s="227" t="s">
        <v>2726</v>
      </c>
      <c r="K16" s="227" t="s">
        <v>2726</v>
      </c>
      <c r="L16" s="227" t="s">
        <v>2726</v>
      </c>
      <c r="M16" s="227" t="s">
        <v>2736</v>
      </c>
      <c r="N16" s="227" t="s">
        <v>2737</v>
      </c>
      <c r="O16" s="228"/>
      <c r="P16" s="229" t="s">
        <v>2727</v>
      </c>
      <c r="Q16" s="230">
        <v>717</v>
      </c>
      <c r="R16" s="230">
        <v>0</v>
      </c>
      <c r="S16" s="230">
        <v>0</v>
      </c>
      <c r="T16" s="230">
        <v>717</v>
      </c>
      <c r="U16" s="230">
        <v>500</v>
      </c>
      <c r="V16" s="229" t="s">
        <v>2732</v>
      </c>
    </row>
    <row r="17" spans="1:22" x14ac:dyDescent="0.3">
      <c r="A17" s="227" t="s">
        <v>2723</v>
      </c>
      <c r="B17" s="227" t="s">
        <v>1406</v>
      </c>
      <c r="C17" s="227" t="s">
        <v>1407</v>
      </c>
      <c r="D17" s="227" t="s">
        <v>2724</v>
      </c>
      <c r="E17" s="227" t="s">
        <v>2725</v>
      </c>
      <c r="F17" s="227" t="s">
        <v>2726</v>
      </c>
      <c r="G17" s="227" t="s">
        <v>2727</v>
      </c>
      <c r="H17" s="227" t="s">
        <v>2728</v>
      </c>
      <c r="I17" s="227" t="s">
        <v>2735</v>
      </c>
      <c r="J17" s="227" t="s">
        <v>2726</v>
      </c>
      <c r="K17" s="227" t="s">
        <v>2726</v>
      </c>
      <c r="L17" s="227" t="s">
        <v>2726</v>
      </c>
      <c r="M17" s="227" t="s">
        <v>2736</v>
      </c>
      <c r="N17" s="227" t="s">
        <v>2737</v>
      </c>
      <c r="O17" s="228"/>
      <c r="P17" s="229" t="s">
        <v>2727</v>
      </c>
      <c r="Q17" s="230">
        <v>454</v>
      </c>
      <c r="R17" s="230">
        <v>0</v>
      </c>
      <c r="S17" s="230">
        <v>0</v>
      </c>
      <c r="T17" s="230">
        <v>454</v>
      </c>
      <c r="U17" s="230">
        <v>1.5</v>
      </c>
      <c r="V17" s="229" t="s">
        <v>2756</v>
      </c>
    </row>
    <row r="18" spans="1:22" x14ac:dyDescent="0.3">
      <c r="A18" s="227" t="s">
        <v>2723</v>
      </c>
      <c r="B18" s="227" t="s">
        <v>1501</v>
      </c>
      <c r="C18" s="227" t="s">
        <v>2757</v>
      </c>
      <c r="D18" s="227" t="s">
        <v>2724</v>
      </c>
      <c r="E18" s="227" t="s">
        <v>2725</v>
      </c>
      <c r="F18" s="227" t="s">
        <v>2726</v>
      </c>
      <c r="G18" s="227" t="s">
        <v>2727</v>
      </c>
      <c r="H18" s="227" t="s">
        <v>2728</v>
      </c>
      <c r="I18" s="227" t="s">
        <v>2735</v>
      </c>
      <c r="J18" s="227" t="s">
        <v>2726</v>
      </c>
      <c r="K18" s="227" t="s">
        <v>2726</v>
      </c>
      <c r="L18" s="227" t="s">
        <v>2726</v>
      </c>
      <c r="M18" s="227" t="s">
        <v>2736</v>
      </c>
      <c r="N18" s="227" t="s">
        <v>2731</v>
      </c>
      <c r="O18" s="228"/>
      <c r="P18" s="229" t="s">
        <v>2727</v>
      </c>
      <c r="Q18" s="230">
        <v>14</v>
      </c>
      <c r="R18" s="230">
        <v>0</v>
      </c>
      <c r="S18" s="230">
        <v>0</v>
      </c>
      <c r="T18" s="230">
        <v>14</v>
      </c>
      <c r="U18" s="230">
        <v>250</v>
      </c>
      <c r="V18" s="229" t="s">
        <v>2732</v>
      </c>
    </row>
    <row r="19" spans="1:22" x14ac:dyDescent="0.3">
      <c r="A19" s="227" t="s">
        <v>2723</v>
      </c>
      <c r="B19" s="227" t="s">
        <v>2758</v>
      </c>
      <c r="C19" s="227" t="s">
        <v>2759</v>
      </c>
      <c r="D19" s="227" t="s">
        <v>2724</v>
      </c>
      <c r="E19" s="227" t="s">
        <v>2725</v>
      </c>
      <c r="F19" s="227" t="s">
        <v>2726</v>
      </c>
      <c r="G19" s="227" t="s">
        <v>2727</v>
      </c>
      <c r="H19" s="227" t="s">
        <v>2728</v>
      </c>
      <c r="I19" s="227" t="s">
        <v>2735</v>
      </c>
      <c r="J19" s="227" t="s">
        <v>2726</v>
      </c>
      <c r="K19" s="227" t="s">
        <v>2726</v>
      </c>
      <c r="L19" s="227" t="s">
        <v>2726</v>
      </c>
      <c r="M19" s="227" t="s">
        <v>2736</v>
      </c>
      <c r="N19" s="227" t="s">
        <v>2737</v>
      </c>
      <c r="O19" s="228"/>
      <c r="P19" s="229" t="s">
        <v>2727</v>
      </c>
      <c r="Q19" s="230">
        <v>168</v>
      </c>
      <c r="R19" s="230">
        <v>0</v>
      </c>
      <c r="S19" s="230">
        <v>0</v>
      </c>
      <c r="T19" s="230">
        <v>168</v>
      </c>
      <c r="U19" s="230">
        <v>1.5</v>
      </c>
      <c r="V19" s="229" t="s">
        <v>2756</v>
      </c>
    </row>
    <row r="20" spans="1:22" x14ac:dyDescent="0.3">
      <c r="A20" s="227" t="s">
        <v>2723</v>
      </c>
      <c r="B20" s="227" t="s">
        <v>2760</v>
      </c>
      <c r="C20" s="227" t="s">
        <v>2653</v>
      </c>
      <c r="D20" s="227" t="s">
        <v>2724</v>
      </c>
      <c r="E20" s="227" t="s">
        <v>2725</v>
      </c>
      <c r="F20" s="227" t="s">
        <v>2726</v>
      </c>
      <c r="G20" s="227" t="s">
        <v>2727</v>
      </c>
      <c r="H20" s="227" t="s">
        <v>2728</v>
      </c>
      <c r="I20" s="227" t="s">
        <v>2735</v>
      </c>
      <c r="J20" s="227" t="s">
        <v>2726</v>
      </c>
      <c r="K20" s="227" t="s">
        <v>2726</v>
      </c>
      <c r="L20" s="227" t="s">
        <v>2726</v>
      </c>
      <c r="M20" s="227" t="s">
        <v>2730</v>
      </c>
      <c r="N20" s="227" t="s">
        <v>2731</v>
      </c>
      <c r="O20" s="228"/>
      <c r="P20" s="229" t="s">
        <v>2727</v>
      </c>
      <c r="Q20" s="230">
        <v>219</v>
      </c>
      <c r="R20" s="230">
        <v>0</v>
      </c>
      <c r="S20" s="230">
        <v>0</v>
      </c>
      <c r="T20" s="230">
        <v>219</v>
      </c>
      <c r="U20" s="230">
        <v>240</v>
      </c>
      <c r="V20" s="229" t="s">
        <v>2732</v>
      </c>
    </row>
    <row r="21" spans="1:22" x14ac:dyDescent="0.3">
      <c r="A21" s="227" t="s">
        <v>2723</v>
      </c>
      <c r="B21" s="227" t="s">
        <v>2761</v>
      </c>
      <c r="C21" s="227" t="s">
        <v>2651</v>
      </c>
      <c r="D21" s="227" t="s">
        <v>2724</v>
      </c>
      <c r="E21" s="227" t="s">
        <v>2725</v>
      </c>
      <c r="F21" s="227" t="s">
        <v>2726</v>
      </c>
      <c r="G21" s="227" t="s">
        <v>2727</v>
      </c>
      <c r="H21" s="227" t="s">
        <v>2728</v>
      </c>
      <c r="I21" s="227" t="s">
        <v>2735</v>
      </c>
      <c r="J21" s="227" t="s">
        <v>2726</v>
      </c>
      <c r="K21" s="227" t="s">
        <v>2726</v>
      </c>
      <c r="L21" s="227" t="s">
        <v>2726</v>
      </c>
      <c r="M21" s="227" t="s">
        <v>2730</v>
      </c>
      <c r="N21" s="227" t="s">
        <v>2731</v>
      </c>
      <c r="O21" s="228"/>
      <c r="P21" s="229" t="s">
        <v>2727</v>
      </c>
      <c r="Q21" s="230">
        <v>621</v>
      </c>
      <c r="R21" s="230">
        <v>0</v>
      </c>
      <c r="S21" s="230">
        <v>0</v>
      </c>
      <c r="T21" s="230">
        <v>621</v>
      </c>
      <c r="U21" s="230">
        <v>340</v>
      </c>
      <c r="V21" s="229" t="s">
        <v>2732</v>
      </c>
    </row>
    <row r="22" spans="1:22" x14ac:dyDescent="0.3">
      <c r="A22" s="227" t="s">
        <v>2723</v>
      </c>
      <c r="B22" s="227" t="s">
        <v>2762</v>
      </c>
      <c r="C22" s="227" t="s">
        <v>2652</v>
      </c>
      <c r="D22" s="227" t="s">
        <v>2724</v>
      </c>
      <c r="E22" s="227" t="s">
        <v>2725</v>
      </c>
      <c r="F22" s="227" t="s">
        <v>2726</v>
      </c>
      <c r="G22" s="227" t="s">
        <v>2727</v>
      </c>
      <c r="H22" s="227" t="s">
        <v>2728</v>
      </c>
      <c r="I22" s="227" t="s">
        <v>2735</v>
      </c>
      <c r="J22" s="227" t="s">
        <v>2726</v>
      </c>
      <c r="K22" s="227" t="s">
        <v>2726</v>
      </c>
      <c r="L22" s="227" t="s">
        <v>2726</v>
      </c>
      <c r="M22" s="227" t="s">
        <v>2730</v>
      </c>
      <c r="N22" s="227" t="s">
        <v>2731</v>
      </c>
      <c r="O22" s="228"/>
      <c r="P22" s="229" t="s">
        <v>2727</v>
      </c>
      <c r="Q22" s="230">
        <v>884</v>
      </c>
      <c r="R22" s="230">
        <v>0</v>
      </c>
      <c r="S22" s="230">
        <v>0</v>
      </c>
      <c r="T22" s="230">
        <v>884</v>
      </c>
      <c r="U22" s="230">
        <v>240</v>
      </c>
      <c r="V22" s="229" t="s">
        <v>2732</v>
      </c>
    </row>
    <row r="23" spans="1:22" x14ac:dyDescent="0.3">
      <c r="A23" s="227" t="s">
        <v>2723</v>
      </c>
      <c r="B23" s="227" t="s">
        <v>2763</v>
      </c>
      <c r="C23" s="227" t="s">
        <v>2693</v>
      </c>
      <c r="D23" s="227" t="s">
        <v>2724</v>
      </c>
      <c r="E23" s="227" t="s">
        <v>2725</v>
      </c>
      <c r="F23" s="227" t="s">
        <v>2726</v>
      </c>
      <c r="G23" s="227" t="s">
        <v>2727</v>
      </c>
      <c r="H23" s="227" t="s">
        <v>2728</v>
      </c>
      <c r="I23" s="227" t="s">
        <v>2735</v>
      </c>
      <c r="J23" s="227" t="s">
        <v>2726</v>
      </c>
      <c r="K23" s="227" t="s">
        <v>2726</v>
      </c>
      <c r="L23" s="227" t="s">
        <v>2726</v>
      </c>
      <c r="M23" s="227" t="s">
        <v>2736</v>
      </c>
      <c r="N23" s="227" t="s">
        <v>2731</v>
      </c>
      <c r="O23" s="228"/>
      <c r="P23" s="229" t="s">
        <v>2727</v>
      </c>
      <c r="Q23" s="230">
        <v>809</v>
      </c>
      <c r="R23" s="230">
        <v>0</v>
      </c>
      <c r="S23" s="230">
        <v>0</v>
      </c>
      <c r="T23" s="230">
        <v>809</v>
      </c>
      <c r="U23" s="230">
        <v>350</v>
      </c>
      <c r="V23" s="229" t="s">
        <v>2732</v>
      </c>
    </row>
    <row r="24" spans="1:22" x14ac:dyDescent="0.3">
      <c r="A24" s="227" t="s">
        <v>2723</v>
      </c>
      <c r="B24" s="227" t="s">
        <v>2346</v>
      </c>
      <c r="C24" s="227" t="s">
        <v>2764</v>
      </c>
      <c r="D24" s="227" t="s">
        <v>2724</v>
      </c>
      <c r="E24" s="227" t="s">
        <v>2725</v>
      </c>
      <c r="F24" s="227" t="s">
        <v>2726</v>
      </c>
      <c r="G24" s="227" t="s">
        <v>2727</v>
      </c>
      <c r="H24" s="227" t="s">
        <v>2728</v>
      </c>
      <c r="I24" s="227" t="s">
        <v>2735</v>
      </c>
      <c r="J24" s="227" t="s">
        <v>2726</v>
      </c>
      <c r="K24" s="227" t="s">
        <v>2726</v>
      </c>
      <c r="L24" s="227" t="s">
        <v>2726</v>
      </c>
      <c r="M24" s="227" t="s">
        <v>2736</v>
      </c>
      <c r="N24" s="227" t="s">
        <v>2737</v>
      </c>
      <c r="O24" s="228"/>
      <c r="P24" s="229" t="s">
        <v>2727</v>
      </c>
      <c r="Q24" s="230">
        <v>1708</v>
      </c>
      <c r="R24" s="230">
        <v>0</v>
      </c>
      <c r="S24" s="230">
        <v>0</v>
      </c>
      <c r="T24" s="230">
        <v>1708</v>
      </c>
      <c r="U24" s="230">
        <v>500</v>
      </c>
      <c r="V24" s="229" t="s">
        <v>2732</v>
      </c>
    </row>
    <row r="25" spans="1:22" x14ac:dyDescent="0.3">
      <c r="A25" s="227" t="s">
        <v>2723</v>
      </c>
      <c r="B25" s="227" t="s">
        <v>2765</v>
      </c>
      <c r="C25" s="227" t="s">
        <v>2766</v>
      </c>
      <c r="D25" s="227" t="s">
        <v>2724</v>
      </c>
      <c r="E25" s="227" t="s">
        <v>2725</v>
      </c>
      <c r="F25" s="227" t="s">
        <v>2726</v>
      </c>
      <c r="G25" s="227" t="s">
        <v>2727</v>
      </c>
      <c r="H25" s="227" t="s">
        <v>2728</v>
      </c>
      <c r="I25" s="227" t="s">
        <v>2735</v>
      </c>
      <c r="J25" s="227" t="s">
        <v>2726</v>
      </c>
      <c r="K25" s="227" t="s">
        <v>2726</v>
      </c>
      <c r="L25" s="227" t="s">
        <v>2726</v>
      </c>
      <c r="M25" s="227" t="s">
        <v>2736</v>
      </c>
      <c r="N25" s="227" t="s">
        <v>2731</v>
      </c>
      <c r="O25" s="228"/>
      <c r="P25" s="229" t="s">
        <v>2727</v>
      </c>
      <c r="Q25" s="230">
        <v>1730</v>
      </c>
      <c r="R25" s="230">
        <v>0</v>
      </c>
      <c r="S25" s="230">
        <v>0</v>
      </c>
      <c r="T25" s="230">
        <v>1730</v>
      </c>
      <c r="U25" s="230">
        <v>350</v>
      </c>
      <c r="V25" s="229" t="s">
        <v>2732</v>
      </c>
    </row>
    <row r="26" spans="1:22" x14ac:dyDescent="0.3">
      <c r="A26" s="227" t="s">
        <v>2723</v>
      </c>
      <c r="B26" s="227" t="s">
        <v>2601</v>
      </c>
      <c r="C26" s="227" t="s">
        <v>2767</v>
      </c>
      <c r="D26" s="227" t="s">
        <v>2724</v>
      </c>
      <c r="E26" s="227" t="s">
        <v>2725</v>
      </c>
      <c r="F26" s="227" t="s">
        <v>2726</v>
      </c>
      <c r="G26" s="227" t="s">
        <v>2727</v>
      </c>
      <c r="H26" s="227" t="s">
        <v>2728</v>
      </c>
      <c r="I26" s="227" t="s">
        <v>2735</v>
      </c>
      <c r="J26" s="227" t="s">
        <v>2726</v>
      </c>
      <c r="K26" s="227" t="s">
        <v>2726</v>
      </c>
      <c r="L26" s="227" t="s">
        <v>2726</v>
      </c>
      <c r="M26" s="227" t="s">
        <v>2736</v>
      </c>
      <c r="N26" s="227" t="s">
        <v>2731</v>
      </c>
      <c r="O26" s="228"/>
      <c r="P26" s="229" t="s">
        <v>2727</v>
      </c>
      <c r="Q26" s="230">
        <v>36</v>
      </c>
      <c r="R26" s="230">
        <v>0</v>
      </c>
      <c r="S26" s="230">
        <v>0</v>
      </c>
      <c r="T26" s="230">
        <v>36</v>
      </c>
      <c r="U26" s="230">
        <v>350</v>
      </c>
      <c r="V26" s="229" t="s">
        <v>2732</v>
      </c>
    </row>
    <row r="27" spans="1:22" x14ac:dyDescent="0.3">
      <c r="A27" s="227" t="s">
        <v>2723</v>
      </c>
      <c r="B27" s="227" t="s">
        <v>2598</v>
      </c>
      <c r="C27" s="227" t="s">
        <v>2768</v>
      </c>
      <c r="D27" s="227" t="s">
        <v>2724</v>
      </c>
      <c r="E27" s="227" t="s">
        <v>2725</v>
      </c>
      <c r="F27" s="227" t="s">
        <v>2726</v>
      </c>
      <c r="G27" s="227" t="s">
        <v>2727</v>
      </c>
      <c r="H27" s="227" t="s">
        <v>2728</v>
      </c>
      <c r="I27" s="227" t="s">
        <v>2735</v>
      </c>
      <c r="J27" s="227" t="s">
        <v>2726</v>
      </c>
      <c r="K27" s="227" t="s">
        <v>2726</v>
      </c>
      <c r="L27" s="227" t="s">
        <v>2726</v>
      </c>
      <c r="M27" s="227" t="s">
        <v>2736</v>
      </c>
      <c r="N27" s="227" t="s">
        <v>2731</v>
      </c>
      <c r="O27" s="228"/>
      <c r="P27" s="229" t="s">
        <v>2727</v>
      </c>
      <c r="Q27" s="230">
        <v>1617</v>
      </c>
      <c r="R27" s="230">
        <v>0</v>
      </c>
      <c r="S27" s="230">
        <v>0</v>
      </c>
      <c r="T27" s="230">
        <v>1617</v>
      </c>
      <c r="U27" s="230">
        <v>350</v>
      </c>
      <c r="V27" s="229" t="s">
        <v>2732</v>
      </c>
    </row>
    <row r="28" spans="1:22" x14ac:dyDescent="0.3">
      <c r="A28" s="227" t="s">
        <v>2723</v>
      </c>
      <c r="B28" s="227" t="s">
        <v>2769</v>
      </c>
      <c r="C28" s="227" t="s">
        <v>2770</v>
      </c>
      <c r="D28" s="227" t="s">
        <v>2724</v>
      </c>
      <c r="E28" s="227" t="s">
        <v>2725</v>
      </c>
      <c r="F28" s="227" t="s">
        <v>2726</v>
      </c>
      <c r="G28" s="227" t="s">
        <v>2727</v>
      </c>
      <c r="H28" s="227" t="s">
        <v>2728</v>
      </c>
      <c r="I28" s="227" t="s">
        <v>2735</v>
      </c>
      <c r="J28" s="227" t="s">
        <v>2726</v>
      </c>
      <c r="K28" s="227" t="s">
        <v>2726</v>
      </c>
      <c r="L28" s="227" t="s">
        <v>2726</v>
      </c>
      <c r="M28" s="227" t="s">
        <v>2736</v>
      </c>
      <c r="N28" s="227" t="s">
        <v>2731</v>
      </c>
      <c r="O28" s="228"/>
      <c r="P28" s="229" t="s">
        <v>2727</v>
      </c>
      <c r="Q28" s="230">
        <v>1608</v>
      </c>
      <c r="R28" s="230">
        <v>0</v>
      </c>
      <c r="S28" s="230">
        <v>0</v>
      </c>
      <c r="T28" s="230">
        <v>1608</v>
      </c>
      <c r="U28" s="230">
        <v>350</v>
      </c>
      <c r="V28" s="229" t="s">
        <v>2732</v>
      </c>
    </row>
    <row r="29" spans="1:22" x14ac:dyDescent="0.3">
      <c r="A29" s="227" t="s">
        <v>2723</v>
      </c>
      <c r="B29" s="227" t="s">
        <v>2694</v>
      </c>
      <c r="C29" s="227" t="s">
        <v>2695</v>
      </c>
      <c r="D29" s="227" t="s">
        <v>2724</v>
      </c>
      <c r="E29" s="227" t="s">
        <v>2725</v>
      </c>
      <c r="F29" s="227" t="s">
        <v>2726</v>
      </c>
      <c r="G29" s="227" t="s">
        <v>2727</v>
      </c>
      <c r="H29" s="227" t="s">
        <v>2728</v>
      </c>
      <c r="I29" s="227" t="s">
        <v>2735</v>
      </c>
      <c r="J29" s="227" t="s">
        <v>2726</v>
      </c>
      <c r="K29" s="227" t="s">
        <v>2726</v>
      </c>
      <c r="L29" s="227" t="s">
        <v>2726</v>
      </c>
      <c r="M29" s="227" t="s">
        <v>2736</v>
      </c>
      <c r="N29" s="227" t="s">
        <v>2737</v>
      </c>
      <c r="O29" s="228"/>
      <c r="P29" s="229" t="s">
        <v>2727</v>
      </c>
      <c r="Q29" s="230">
        <v>927</v>
      </c>
      <c r="R29" s="230">
        <v>0</v>
      </c>
      <c r="S29" s="230">
        <v>0</v>
      </c>
      <c r="T29" s="230">
        <v>927</v>
      </c>
      <c r="U29" s="230">
        <v>600</v>
      </c>
      <c r="V29" s="229" t="s">
        <v>2732</v>
      </c>
    </row>
    <row r="30" spans="1:22" x14ac:dyDescent="0.3">
      <c r="A30" s="227" t="s">
        <v>2723</v>
      </c>
      <c r="B30" s="227" t="s">
        <v>819</v>
      </c>
      <c r="C30" s="227" t="s">
        <v>2771</v>
      </c>
      <c r="D30" s="227" t="s">
        <v>2724</v>
      </c>
      <c r="E30" s="227" t="s">
        <v>2725</v>
      </c>
      <c r="F30" s="227" t="s">
        <v>2726</v>
      </c>
      <c r="G30" s="227" t="s">
        <v>2727</v>
      </c>
      <c r="H30" s="227" t="s">
        <v>2728</v>
      </c>
      <c r="I30" s="227" t="s">
        <v>2735</v>
      </c>
      <c r="J30" s="227" t="s">
        <v>2726</v>
      </c>
      <c r="K30" s="227" t="s">
        <v>2726</v>
      </c>
      <c r="L30" s="227" t="s">
        <v>2726</v>
      </c>
      <c r="M30" s="227" t="s">
        <v>2736</v>
      </c>
      <c r="N30" s="227" t="s">
        <v>2731</v>
      </c>
      <c r="O30" s="228"/>
      <c r="P30" s="229" t="s">
        <v>2727</v>
      </c>
      <c r="Q30" s="230">
        <v>488</v>
      </c>
      <c r="R30" s="230">
        <v>0</v>
      </c>
      <c r="S30" s="230">
        <v>0</v>
      </c>
      <c r="T30" s="230">
        <v>488</v>
      </c>
      <c r="U30" s="230">
        <v>250</v>
      </c>
      <c r="V30" s="229" t="s">
        <v>2732</v>
      </c>
    </row>
    <row r="31" spans="1:22" x14ac:dyDescent="0.3">
      <c r="A31" s="227" t="s">
        <v>2723</v>
      </c>
      <c r="B31" s="227" t="s">
        <v>942</v>
      </c>
      <c r="C31" s="227" t="s">
        <v>2772</v>
      </c>
      <c r="D31" s="227" t="s">
        <v>2724</v>
      </c>
      <c r="E31" s="227" t="s">
        <v>2725</v>
      </c>
      <c r="F31" s="227" t="s">
        <v>2726</v>
      </c>
      <c r="G31" s="227" t="s">
        <v>2727</v>
      </c>
      <c r="H31" s="227" t="s">
        <v>2728</v>
      </c>
      <c r="I31" s="227" t="s">
        <v>2735</v>
      </c>
      <c r="J31" s="227" t="s">
        <v>2726</v>
      </c>
      <c r="K31" s="227" t="s">
        <v>2726</v>
      </c>
      <c r="L31" s="227" t="s">
        <v>2726</v>
      </c>
      <c r="M31" s="227" t="s">
        <v>2736</v>
      </c>
      <c r="N31" s="227" t="s">
        <v>2731</v>
      </c>
      <c r="O31" s="228"/>
      <c r="P31" s="229" t="s">
        <v>2727</v>
      </c>
      <c r="Q31" s="230">
        <v>1052</v>
      </c>
      <c r="R31" s="230">
        <v>0</v>
      </c>
      <c r="S31" s="230">
        <v>0</v>
      </c>
      <c r="T31" s="230">
        <v>1052</v>
      </c>
      <c r="U31" s="230">
        <v>250</v>
      </c>
      <c r="V31" s="229" t="s">
        <v>2732</v>
      </c>
    </row>
    <row r="32" spans="1:22" x14ac:dyDescent="0.3">
      <c r="A32" s="227" t="s">
        <v>2723</v>
      </c>
      <c r="B32" s="227" t="s">
        <v>1100</v>
      </c>
      <c r="C32" s="227" t="s">
        <v>1101</v>
      </c>
      <c r="D32" s="227" t="s">
        <v>2724</v>
      </c>
      <c r="E32" s="227" t="s">
        <v>2725</v>
      </c>
      <c r="F32" s="227" t="s">
        <v>2726</v>
      </c>
      <c r="G32" s="227" t="s">
        <v>2727</v>
      </c>
      <c r="H32" s="227" t="s">
        <v>2728</v>
      </c>
      <c r="I32" s="227" t="s">
        <v>2735</v>
      </c>
      <c r="J32" s="227" t="s">
        <v>2726</v>
      </c>
      <c r="K32" s="227" t="s">
        <v>2726</v>
      </c>
      <c r="L32" s="227" t="s">
        <v>2726</v>
      </c>
      <c r="M32" s="227" t="s">
        <v>2736</v>
      </c>
      <c r="N32" s="227" t="s">
        <v>2737</v>
      </c>
      <c r="O32" s="228"/>
      <c r="P32" s="229" t="s">
        <v>2727</v>
      </c>
      <c r="Q32" s="230">
        <v>61</v>
      </c>
      <c r="R32" s="230">
        <v>0</v>
      </c>
      <c r="S32" s="230">
        <v>0</v>
      </c>
      <c r="T32" s="230">
        <v>61</v>
      </c>
      <c r="U32" s="230">
        <v>600</v>
      </c>
      <c r="V32" s="229" t="s">
        <v>2732</v>
      </c>
    </row>
    <row r="33" spans="1:22" x14ac:dyDescent="0.3">
      <c r="A33" s="227" t="s">
        <v>2723</v>
      </c>
      <c r="B33" s="227" t="s">
        <v>1886</v>
      </c>
      <c r="C33" s="227" t="s">
        <v>1887</v>
      </c>
      <c r="D33" s="227" t="s">
        <v>2724</v>
      </c>
      <c r="E33" s="227" t="s">
        <v>2725</v>
      </c>
      <c r="F33" s="227" t="s">
        <v>2726</v>
      </c>
      <c r="G33" s="227" t="s">
        <v>2727</v>
      </c>
      <c r="H33" s="227" t="s">
        <v>2728</v>
      </c>
      <c r="I33" s="227" t="s">
        <v>2735</v>
      </c>
      <c r="J33" s="227" t="s">
        <v>2726</v>
      </c>
      <c r="K33" s="227" t="s">
        <v>2726</v>
      </c>
      <c r="L33" s="227" t="s">
        <v>2726</v>
      </c>
      <c r="M33" s="227" t="s">
        <v>2736</v>
      </c>
      <c r="N33" s="227" t="s">
        <v>2737</v>
      </c>
      <c r="O33" s="228"/>
      <c r="P33" s="229" t="s">
        <v>2727</v>
      </c>
      <c r="Q33" s="230">
        <v>735</v>
      </c>
      <c r="R33" s="230">
        <v>0</v>
      </c>
      <c r="S33" s="230">
        <v>0</v>
      </c>
      <c r="T33" s="230">
        <v>735</v>
      </c>
      <c r="U33" s="230">
        <v>600</v>
      </c>
      <c r="V33" s="229" t="s">
        <v>2732</v>
      </c>
    </row>
    <row r="34" spans="1:22" x14ac:dyDescent="0.3">
      <c r="A34" s="227" t="s">
        <v>2723</v>
      </c>
      <c r="B34" s="227" t="s">
        <v>1160</v>
      </c>
      <c r="C34" s="227" t="s">
        <v>1161</v>
      </c>
      <c r="D34" s="227" t="s">
        <v>2724</v>
      </c>
      <c r="E34" s="227" t="s">
        <v>2725</v>
      </c>
      <c r="F34" s="227" t="s">
        <v>2726</v>
      </c>
      <c r="G34" s="227" t="s">
        <v>2727</v>
      </c>
      <c r="H34" s="227" t="s">
        <v>2728</v>
      </c>
      <c r="I34" s="227" t="s">
        <v>2735</v>
      </c>
      <c r="J34" s="227" t="s">
        <v>2726</v>
      </c>
      <c r="K34" s="227" t="s">
        <v>2726</v>
      </c>
      <c r="L34" s="227" t="s">
        <v>2726</v>
      </c>
      <c r="M34" s="227" t="s">
        <v>2736</v>
      </c>
      <c r="N34" s="227" t="s">
        <v>2737</v>
      </c>
      <c r="O34" s="228"/>
      <c r="P34" s="229" t="s">
        <v>2727</v>
      </c>
      <c r="Q34" s="230">
        <v>71</v>
      </c>
      <c r="R34" s="230">
        <v>0</v>
      </c>
      <c r="S34" s="230">
        <v>0</v>
      </c>
      <c r="T34" s="230">
        <v>71</v>
      </c>
      <c r="U34" s="230">
        <v>1.5</v>
      </c>
      <c r="V34" s="229" t="s">
        <v>2756</v>
      </c>
    </row>
    <row r="35" spans="1:22" x14ac:dyDescent="0.3">
      <c r="A35" s="227" t="s">
        <v>2723</v>
      </c>
      <c r="B35" s="227" t="s">
        <v>850</v>
      </c>
      <c r="C35" s="227" t="s">
        <v>2773</v>
      </c>
      <c r="D35" s="227" t="s">
        <v>2724</v>
      </c>
      <c r="E35" s="227" t="s">
        <v>2725</v>
      </c>
      <c r="F35" s="227" t="s">
        <v>2726</v>
      </c>
      <c r="G35" s="227" t="s">
        <v>2727</v>
      </c>
      <c r="H35" s="227" t="s">
        <v>2728</v>
      </c>
      <c r="I35" s="227" t="s">
        <v>2735</v>
      </c>
      <c r="J35" s="227" t="s">
        <v>2726</v>
      </c>
      <c r="K35" s="227" t="s">
        <v>2726</v>
      </c>
      <c r="L35" s="227" t="s">
        <v>2726</v>
      </c>
      <c r="M35" s="227" t="s">
        <v>2730</v>
      </c>
      <c r="N35" s="227" t="s">
        <v>2731</v>
      </c>
      <c r="O35" s="228"/>
      <c r="P35" s="229" t="s">
        <v>2727</v>
      </c>
      <c r="Q35" s="230">
        <v>72</v>
      </c>
      <c r="R35" s="230">
        <v>0</v>
      </c>
      <c r="S35" s="230">
        <v>0</v>
      </c>
      <c r="T35" s="230">
        <v>72</v>
      </c>
      <c r="U35" s="230">
        <v>240</v>
      </c>
      <c r="V35" s="229" t="s">
        <v>2732</v>
      </c>
    </row>
    <row r="36" spans="1:22" x14ac:dyDescent="0.3">
      <c r="A36" s="227" t="s">
        <v>2723</v>
      </c>
      <c r="B36" s="227" t="s">
        <v>855</v>
      </c>
      <c r="C36" s="227" t="s">
        <v>2774</v>
      </c>
      <c r="D36" s="227" t="s">
        <v>2724</v>
      </c>
      <c r="E36" s="227" t="s">
        <v>2725</v>
      </c>
      <c r="F36" s="227" t="s">
        <v>2726</v>
      </c>
      <c r="G36" s="227" t="s">
        <v>2727</v>
      </c>
      <c r="H36" s="227" t="s">
        <v>2728</v>
      </c>
      <c r="I36" s="227" t="s">
        <v>2735</v>
      </c>
      <c r="J36" s="227" t="s">
        <v>2726</v>
      </c>
      <c r="K36" s="227" t="s">
        <v>2726</v>
      </c>
      <c r="L36" s="227" t="s">
        <v>2726</v>
      </c>
      <c r="M36" s="227" t="s">
        <v>2730</v>
      </c>
      <c r="N36" s="227" t="s">
        <v>2731</v>
      </c>
      <c r="O36" s="228"/>
      <c r="P36" s="229" t="s">
        <v>2727</v>
      </c>
      <c r="Q36" s="230">
        <v>1099</v>
      </c>
      <c r="R36" s="230">
        <v>0</v>
      </c>
      <c r="S36" s="230">
        <v>0</v>
      </c>
      <c r="T36" s="230">
        <v>1099</v>
      </c>
      <c r="U36" s="230">
        <v>240</v>
      </c>
      <c r="V36" s="229" t="s">
        <v>2732</v>
      </c>
    </row>
    <row r="37" spans="1:22" x14ac:dyDescent="0.3">
      <c r="A37" s="227" t="s">
        <v>2723</v>
      </c>
      <c r="B37" s="227" t="s">
        <v>860</v>
      </c>
      <c r="C37" s="227" t="s">
        <v>2828</v>
      </c>
      <c r="D37" s="227" t="s">
        <v>2724</v>
      </c>
      <c r="E37" s="227" t="s">
        <v>2725</v>
      </c>
      <c r="F37" s="227" t="s">
        <v>2726</v>
      </c>
      <c r="G37" s="227" t="s">
        <v>2727</v>
      </c>
      <c r="H37" s="227" t="s">
        <v>2728</v>
      </c>
      <c r="I37" s="227" t="s">
        <v>2735</v>
      </c>
      <c r="J37" s="227" t="s">
        <v>2726</v>
      </c>
      <c r="K37" s="227" t="s">
        <v>2726</v>
      </c>
      <c r="L37" s="227" t="s">
        <v>2726</v>
      </c>
      <c r="M37" s="227" t="s">
        <v>2730</v>
      </c>
      <c r="N37" s="227" t="s">
        <v>2731</v>
      </c>
      <c r="O37" s="228"/>
      <c r="P37" s="229" t="s">
        <v>2727</v>
      </c>
      <c r="Q37" s="230">
        <v>1441</v>
      </c>
      <c r="R37" s="230">
        <v>0</v>
      </c>
      <c r="S37" s="230">
        <v>0</v>
      </c>
      <c r="T37" s="230">
        <v>1441</v>
      </c>
      <c r="U37" s="230">
        <v>240</v>
      </c>
      <c r="V37" s="229" t="s">
        <v>2732</v>
      </c>
    </row>
    <row r="38" spans="1:22" x14ac:dyDescent="0.3">
      <c r="A38" s="227" t="s">
        <v>2723</v>
      </c>
      <c r="B38" s="227" t="s">
        <v>2304</v>
      </c>
      <c r="C38" s="227" t="s">
        <v>2775</v>
      </c>
      <c r="D38" s="227" t="s">
        <v>2724</v>
      </c>
      <c r="E38" s="227" t="s">
        <v>2725</v>
      </c>
      <c r="F38" s="227" t="s">
        <v>2726</v>
      </c>
      <c r="G38" s="227" t="s">
        <v>2727</v>
      </c>
      <c r="H38" s="227" t="s">
        <v>2728</v>
      </c>
      <c r="I38" s="227" t="s">
        <v>2735</v>
      </c>
      <c r="J38" s="227" t="s">
        <v>2726</v>
      </c>
      <c r="K38" s="227" t="s">
        <v>2726</v>
      </c>
      <c r="L38" s="227" t="s">
        <v>2726</v>
      </c>
      <c r="M38" s="227" t="s">
        <v>2730</v>
      </c>
      <c r="N38" s="227" t="s">
        <v>2737</v>
      </c>
      <c r="O38" s="228"/>
      <c r="P38" s="229" t="s">
        <v>2727</v>
      </c>
      <c r="Q38" s="230">
        <v>505</v>
      </c>
      <c r="R38" s="230">
        <v>0</v>
      </c>
      <c r="S38" s="230">
        <v>0</v>
      </c>
      <c r="T38" s="230">
        <v>505</v>
      </c>
      <c r="U38" s="230">
        <v>470</v>
      </c>
      <c r="V38" s="229" t="s">
        <v>2732</v>
      </c>
    </row>
    <row r="39" spans="1:22" x14ac:dyDescent="0.3">
      <c r="A39" s="227" t="s">
        <v>2723</v>
      </c>
      <c r="B39" s="227" t="s">
        <v>1913</v>
      </c>
      <c r="C39" s="227" t="s">
        <v>2776</v>
      </c>
      <c r="D39" s="227" t="s">
        <v>2724</v>
      </c>
      <c r="E39" s="227" t="s">
        <v>2725</v>
      </c>
      <c r="F39" s="227" t="s">
        <v>2726</v>
      </c>
      <c r="G39" s="227" t="s">
        <v>2727</v>
      </c>
      <c r="H39" s="227" t="s">
        <v>2728</v>
      </c>
      <c r="I39" s="227" t="s">
        <v>2735</v>
      </c>
      <c r="J39" s="227" t="s">
        <v>2726</v>
      </c>
      <c r="K39" s="227" t="s">
        <v>2726</v>
      </c>
      <c r="L39" s="227" t="s">
        <v>2726</v>
      </c>
      <c r="M39" s="227" t="s">
        <v>2730</v>
      </c>
      <c r="N39" s="227" t="s">
        <v>2737</v>
      </c>
      <c r="O39" s="228"/>
      <c r="P39" s="229" t="s">
        <v>2727</v>
      </c>
      <c r="Q39" s="230">
        <v>499</v>
      </c>
      <c r="R39" s="230">
        <v>0</v>
      </c>
      <c r="S39" s="230">
        <v>0</v>
      </c>
      <c r="T39" s="230">
        <v>499</v>
      </c>
      <c r="U39" s="230">
        <v>470</v>
      </c>
      <c r="V39" s="229" t="s">
        <v>2732</v>
      </c>
    </row>
    <row r="40" spans="1:22" x14ac:dyDescent="0.3">
      <c r="A40" s="227" t="s">
        <v>2723</v>
      </c>
      <c r="B40" s="227" t="s">
        <v>1914</v>
      </c>
      <c r="C40" s="227" t="s">
        <v>2777</v>
      </c>
      <c r="D40" s="227" t="s">
        <v>2724</v>
      </c>
      <c r="E40" s="227" t="s">
        <v>2725</v>
      </c>
      <c r="F40" s="227" t="s">
        <v>2726</v>
      </c>
      <c r="G40" s="227" t="s">
        <v>2727</v>
      </c>
      <c r="H40" s="227" t="s">
        <v>2728</v>
      </c>
      <c r="I40" s="227" t="s">
        <v>2735</v>
      </c>
      <c r="J40" s="227" t="s">
        <v>2726</v>
      </c>
      <c r="K40" s="227" t="s">
        <v>2726</v>
      </c>
      <c r="L40" s="227" t="s">
        <v>2726</v>
      </c>
      <c r="M40" s="227" t="s">
        <v>2730</v>
      </c>
      <c r="N40" s="227" t="s">
        <v>2737</v>
      </c>
      <c r="O40" s="228"/>
      <c r="P40" s="229" t="s">
        <v>2727</v>
      </c>
      <c r="Q40" s="230">
        <v>1401</v>
      </c>
      <c r="R40" s="230">
        <v>0</v>
      </c>
      <c r="S40" s="230">
        <v>0</v>
      </c>
      <c r="T40" s="230">
        <v>1401</v>
      </c>
      <c r="U40" s="230">
        <v>470</v>
      </c>
      <c r="V40" s="229" t="s">
        <v>2732</v>
      </c>
    </row>
    <row r="41" spans="1:22" x14ac:dyDescent="0.3">
      <c r="A41" s="227" t="s">
        <v>2723</v>
      </c>
      <c r="B41" s="227" t="s">
        <v>2778</v>
      </c>
      <c r="C41" s="227" t="s">
        <v>2779</v>
      </c>
      <c r="D41" s="227" t="s">
        <v>2724</v>
      </c>
      <c r="E41" s="227" t="s">
        <v>2725</v>
      </c>
      <c r="F41" s="227" t="s">
        <v>2726</v>
      </c>
      <c r="G41" s="227" t="s">
        <v>2727</v>
      </c>
      <c r="H41" s="227" t="s">
        <v>2728</v>
      </c>
      <c r="I41" s="227" t="s">
        <v>2735</v>
      </c>
      <c r="J41" s="227" t="s">
        <v>2726</v>
      </c>
      <c r="K41" s="227" t="s">
        <v>2726</v>
      </c>
      <c r="L41" s="227" t="s">
        <v>2726</v>
      </c>
      <c r="M41" s="227" t="s">
        <v>2730</v>
      </c>
      <c r="N41" s="227" t="s">
        <v>2737</v>
      </c>
      <c r="O41" s="228"/>
      <c r="P41" s="229" t="s">
        <v>2727</v>
      </c>
      <c r="Q41" s="230">
        <v>824</v>
      </c>
      <c r="R41" s="230">
        <v>0</v>
      </c>
      <c r="S41" s="230">
        <v>0</v>
      </c>
      <c r="T41" s="230">
        <v>824</v>
      </c>
      <c r="U41" s="230">
        <v>470</v>
      </c>
      <c r="V41" s="229" t="s">
        <v>2732</v>
      </c>
    </row>
    <row r="42" spans="1:22" x14ac:dyDescent="0.3">
      <c r="A42" s="227" t="s">
        <v>2723</v>
      </c>
      <c r="B42" s="227" t="s">
        <v>2619</v>
      </c>
      <c r="C42" s="227" t="s">
        <v>2620</v>
      </c>
      <c r="D42" s="227" t="s">
        <v>2724</v>
      </c>
      <c r="E42" s="227" t="s">
        <v>2725</v>
      </c>
      <c r="F42" s="227" t="s">
        <v>2726</v>
      </c>
      <c r="G42" s="227" t="s">
        <v>2727</v>
      </c>
      <c r="H42" s="227" t="s">
        <v>2728</v>
      </c>
      <c r="I42" s="227" t="s">
        <v>2729</v>
      </c>
      <c r="J42" s="227" t="s">
        <v>2726</v>
      </c>
      <c r="K42" s="227" t="s">
        <v>2726</v>
      </c>
      <c r="L42" s="227" t="s">
        <v>2726</v>
      </c>
      <c r="M42" s="227" t="s">
        <v>2780</v>
      </c>
      <c r="N42" s="227" t="s">
        <v>2781</v>
      </c>
      <c r="O42" s="228"/>
      <c r="P42" s="229" t="s">
        <v>2727</v>
      </c>
      <c r="Q42" s="230">
        <v>40</v>
      </c>
      <c r="R42" s="230">
        <v>0</v>
      </c>
      <c r="S42" s="230">
        <v>0</v>
      </c>
      <c r="T42" s="230">
        <v>40</v>
      </c>
      <c r="U42" s="230">
        <v>150</v>
      </c>
      <c r="V42" s="229" t="s">
        <v>2732</v>
      </c>
    </row>
    <row r="43" spans="1:22" x14ac:dyDescent="0.3">
      <c r="A43" s="227" t="s">
        <v>2723</v>
      </c>
      <c r="B43" s="227" t="s">
        <v>2054</v>
      </c>
      <c r="C43" s="227" t="s">
        <v>2782</v>
      </c>
      <c r="D43" s="227" t="s">
        <v>2724</v>
      </c>
      <c r="E43" s="227" t="s">
        <v>2725</v>
      </c>
      <c r="F43" s="227" t="s">
        <v>2726</v>
      </c>
      <c r="G43" s="227" t="s">
        <v>2727</v>
      </c>
      <c r="H43" s="227" t="s">
        <v>2728</v>
      </c>
      <c r="I43" s="227" t="s">
        <v>2729</v>
      </c>
      <c r="J43" s="227" t="s">
        <v>2726</v>
      </c>
      <c r="K43" s="227" t="s">
        <v>2726</v>
      </c>
      <c r="L43" s="227" t="s">
        <v>2726</v>
      </c>
      <c r="M43" s="227" t="s">
        <v>2780</v>
      </c>
      <c r="N43" s="227" t="s">
        <v>2781</v>
      </c>
      <c r="O43" s="228"/>
      <c r="P43" s="229" t="s">
        <v>2727</v>
      </c>
      <c r="Q43" s="230">
        <v>1145</v>
      </c>
      <c r="R43" s="230">
        <v>0</v>
      </c>
      <c r="S43" s="230">
        <v>0</v>
      </c>
      <c r="T43" s="230">
        <v>1145</v>
      </c>
      <c r="U43" s="230">
        <v>150</v>
      </c>
      <c r="V43" s="229" t="s">
        <v>2732</v>
      </c>
    </row>
    <row r="44" spans="1:22" x14ac:dyDescent="0.3">
      <c r="A44" s="227" t="s">
        <v>2723</v>
      </c>
      <c r="B44" s="227" t="s">
        <v>2783</v>
      </c>
      <c r="C44" s="227" t="s">
        <v>2682</v>
      </c>
      <c r="D44" s="227" t="s">
        <v>2724</v>
      </c>
      <c r="E44" s="227" t="s">
        <v>2725</v>
      </c>
      <c r="F44" s="227" t="s">
        <v>2726</v>
      </c>
      <c r="G44" s="227" t="s">
        <v>2727</v>
      </c>
      <c r="H44" s="227" t="s">
        <v>2728</v>
      </c>
      <c r="I44" s="227" t="s">
        <v>2735</v>
      </c>
      <c r="J44" s="227" t="s">
        <v>2726</v>
      </c>
      <c r="K44" s="227" t="s">
        <v>2726</v>
      </c>
      <c r="L44" s="227" t="s">
        <v>2726</v>
      </c>
      <c r="M44" s="227" t="s">
        <v>2730</v>
      </c>
      <c r="N44" s="227" t="s">
        <v>2737</v>
      </c>
      <c r="O44" s="228"/>
      <c r="P44" s="229" t="s">
        <v>2727</v>
      </c>
      <c r="Q44" s="230">
        <v>1076</v>
      </c>
      <c r="R44" s="230">
        <v>0</v>
      </c>
      <c r="S44" s="230">
        <v>0</v>
      </c>
      <c r="T44" s="230">
        <v>1076</v>
      </c>
      <c r="U44" s="230">
        <v>540</v>
      </c>
      <c r="V44" s="229" t="s">
        <v>2732</v>
      </c>
    </row>
    <row r="45" spans="1:22" x14ac:dyDescent="0.3">
      <c r="A45" s="227" t="s">
        <v>2723</v>
      </c>
      <c r="B45" s="227" t="s">
        <v>2784</v>
      </c>
      <c r="C45" s="227" t="s">
        <v>2655</v>
      </c>
      <c r="D45" s="227" t="s">
        <v>2724</v>
      </c>
      <c r="E45" s="227" t="s">
        <v>2725</v>
      </c>
      <c r="F45" s="227" t="s">
        <v>2726</v>
      </c>
      <c r="G45" s="227" t="s">
        <v>2727</v>
      </c>
      <c r="H45" s="227" t="s">
        <v>2728</v>
      </c>
      <c r="I45" s="227" t="s">
        <v>2729</v>
      </c>
      <c r="J45" s="227" t="s">
        <v>2726</v>
      </c>
      <c r="K45" s="227" t="s">
        <v>2726</v>
      </c>
      <c r="L45" s="227" t="s">
        <v>2726</v>
      </c>
      <c r="M45" s="227" t="s">
        <v>2730</v>
      </c>
      <c r="N45" s="227" t="s">
        <v>2781</v>
      </c>
      <c r="O45" s="228"/>
      <c r="P45" s="229" t="s">
        <v>2727</v>
      </c>
      <c r="Q45" s="230">
        <v>75</v>
      </c>
      <c r="R45" s="230">
        <v>0</v>
      </c>
      <c r="S45" s="230">
        <v>0</v>
      </c>
      <c r="T45" s="230">
        <v>75</v>
      </c>
      <c r="U45" s="230">
        <v>180</v>
      </c>
      <c r="V45" s="229" t="s">
        <v>2732</v>
      </c>
    </row>
    <row r="46" spans="1:22" x14ac:dyDescent="0.3">
      <c r="A46" s="227" t="s">
        <v>2723</v>
      </c>
      <c r="B46" s="227" t="s">
        <v>2621</v>
      </c>
      <c r="C46" s="227" t="s">
        <v>2622</v>
      </c>
      <c r="D46" s="227" t="s">
        <v>2724</v>
      </c>
      <c r="E46" s="227" t="s">
        <v>2725</v>
      </c>
      <c r="F46" s="227" t="s">
        <v>2726</v>
      </c>
      <c r="G46" s="227" t="s">
        <v>2727</v>
      </c>
      <c r="H46" s="227" t="s">
        <v>2728</v>
      </c>
      <c r="I46" s="227" t="s">
        <v>2735</v>
      </c>
      <c r="J46" s="227" t="s">
        <v>2726</v>
      </c>
      <c r="K46" s="227" t="s">
        <v>2726</v>
      </c>
      <c r="L46" s="227" t="s">
        <v>2726</v>
      </c>
      <c r="M46" s="227" t="s">
        <v>2730</v>
      </c>
      <c r="N46" s="227" t="s">
        <v>2737</v>
      </c>
      <c r="O46" s="228"/>
      <c r="P46" s="229" t="s">
        <v>2727</v>
      </c>
      <c r="Q46" s="230">
        <v>1464</v>
      </c>
      <c r="R46" s="230">
        <v>0</v>
      </c>
      <c r="S46" s="230">
        <v>0</v>
      </c>
      <c r="T46" s="230">
        <v>1464</v>
      </c>
      <c r="U46" s="230">
        <v>500</v>
      </c>
      <c r="V46" s="229" t="s">
        <v>2732</v>
      </c>
    </row>
    <row r="47" spans="1:22" x14ac:dyDescent="0.3">
      <c r="A47" s="227" t="s">
        <v>2723</v>
      </c>
      <c r="B47" s="227" t="s">
        <v>2623</v>
      </c>
      <c r="C47" s="227" t="s">
        <v>2624</v>
      </c>
      <c r="D47" s="227" t="s">
        <v>2724</v>
      </c>
      <c r="E47" s="227" t="s">
        <v>2725</v>
      </c>
      <c r="F47" s="227" t="s">
        <v>2726</v>
      </c>
      <c r="G47" s="227" t="s">
        <v>2727</v>
      </c>
      <c r="H47" s="227" t="s">
        <v>2728</v>
      </c>
      <c r="I47" s="227" t="s">
        <v>2735</v>
      </c>
      <c r="J47" s="227" t="s">
        <v>2726</v>
      </c>
      <c r="K47" s="227" t="s">
        <v>2726</v>
      </c>
      <c r="L47" s="227" t="s">
        <v>2726</v>
      </c>
      <c r="M47" s="227" t="s">
        <v>2730</v>
      </c>
      <c r="N47" s="227" t="s">
        <v>2737</v>
      </c>
      <c r="O47" s="228"/>
      <c r="P47" s="229" t="s">
        <v>2727</v>
      </c>
      <c r="Q47" s="230">
        <v>131</v>
      </c>
      <c r="R47" s="230">
        <v>0</v>
      </c>
      <c r="S47" s="230">
        <v>0</v>
      </c>
      <c r="T47" s="230">
        <v>131</v>
      </c>
      <c r="U47" s="230">
        <v>500</v>
      </c>
      <c r="V47" s="229" t="s">
        <v>2732</v>
      </c>
    </row>
    <row r="48" spans="1:22" x14ac:dyDescent="0.3">
      <c r="A48" s="227" t="s">
        <v>2723</v>
      </c>
      <c r="B48" s="227" t="s">
        <v>2627</v>
      </c>
      <c r="C48" s="227" t="s">
        <v>2634</v>
      </c>
      <c r="D48" s="227" t="s">
        <v>2724</v>
      </c>
      <c r="E48" s="227" t="s">
        <v>2725</v>
      </c>
      <c r="F48" s="227" t="s">
        <v>2726</v>
      </c>
      <c r="G48" s="227" t="s">
        <v>2727</v>
      </c>
      <c r="H48" s="227" t="s">
        <v>2728</v>
      </c>
      <c r="I48" s="227" t="s">
        <v>2735</v>
      </c>
      <c r="J48" s="227" t="s">
        <v>2726</v>
      </c>
      <c r="K48" s="227" t="s">
        <v>2726</v>
      </c>
      <c r="L48" s="227" t="s">
        <v>2726</v>
      </c>
      <c r="M48" s="227" t="s">
        <v>2730</v>
      </c>
      <c r="N48" s="227" t="s">
        <v>2737</v>
      </c>
      <c r="O48" s="228"/>
      <c r="P48" s="229" t="s">
        <v>2727</v>
      </c>
      <c r="Q48" s="230">
        <v>257</v>
      </c>
      <c r="R48" s="230">
        <v>0</v>
      </c>
      <c r="S48" s="230">
        <v>0</v>
      </c>
      <c r="T48" s="230">
        <v>257</v>
      </c>
      <c r="U48" s="230">
        <v>1.5</v>
      </c>
      <c r="V48" s="229" t="s">
        <v>2756</v>
      </c>
    </row>
    <row r="49" spans="1:22" x14ac:dyDescent="0.3">
      <c r="A49" s="227" t="s">
        <v>2723</v>
      </c>
      <c r="B49" s="227" t="s">
        <v>2632</v>
      </c>
      <c r="C49" s="227" t="s">
        <v>2636</v>
      </c>
      <c r="D49" s="227" t="s">
        <v>2724</v>
      </c>
      <c r="E49" s="227" t="s">
        <v>2725</v>
      </c>
      <c r="F49" s="227" t="s">
        <v>2726</v>
      </c>
      <c r="G49" s="227" t="s">
        <v>2727</v>
      </c>
      <c r="H49" s="227" t="s">
        <v>2728</v>
      </c>
      <c r="I49" s="227" t="s">
        <v>2735</v>
      </c>
      <c r="J49" s="227" t="s">
        <v>2726</v>
      </c>
      <c r="K49" s="227" t="s">
        <v>2726</v>
      </c>
      <c r="L49" s="227" t="s">
        <v>2726</v>
      </c>
      <c r="M49" s="227" t="s">
        <v>2736</v>
      </c>
      <c r="N49" s="227" t="s">
        <v>2737</v>
      </c>
      <c r="O49" s="228"/>
      <c r="P49" s="229" t="s">
        <v>2727</v>
      </c>
      <c r="Q49" s="230">
        <v>784</v>
      </c>
      <c r="R49" s="230">
        <v>0</v>
      </c>
      <c r="S49" s="230">
        <v>0</v>
      </c>
      <c r="T49" s="230">
        <v>784</v>
      </c>
      <c r="U49" s="230">
        <v>500</v>
      </c>
      <c r="V49" s="229" t="s">
        <v>2732</v>
      </c>
    </row>
    <row r="50" spans="1:22" x14ac:dyDescent="0.3">
      <c r="A50" s="227" t="s">
        <v>2723</v>
      </c>
      <c r="B50" s="227" t="s">
        <v>2628</v>
      </c>
      <c r="C50" s="227" t="s">
        <v>2637</v>
      </c>
      <c r="D50" s="227" t="s">
        <v>2724</v>
      </c>
      <c r="E50" s="227" t="s">
        <v>2725</v>
      </c>
      <c r="F50" s="227" t="s">
        <v>2726</v>
      </c>
      <c r="G50" s="227" t="s">
        <v>2727</v>
      </c>
      <c r="H50" s="227" t="s">
        <v>2728</v>
      </c>
      <c r="I50" s="227" t="s">
        <v>2735</v>
      </c>
      <c r="J50" s="227" t="s">
        <v>2726</v>
      </c>
      <c r="K50" s="227" t="s">
        <v>2726</v>
      </c>
      <c r="L50" s="227" t="s">
        <v>2726</v>
      </c>
      <c r="M50" s="227" t="s">
        <v>2730</v>
      </c>
      <c r="N50" s="227" t="s">
        <v>2731</v>
      </c>
      <c r="O50" s="228"/>
      <c r="P50" s="229" t="s">
        <v>2727</v>
      </c>
      <c r="Q50" s="230">
        <v>102</v>
      </c>
      <c r="R50" s="230">
        <v>0</v>
      </c>
      <c r="S50" s="230">
        <v>0</v>
      </c>
      <c r="T50" s="230">
        <v>102</v>
      </c>
      <c r="U50" s="230">
        <v>340</v>
      </c>
      <c r="V50" s="229" t="s">
        <v>2732</v>
      </c>
    </row>
    <row r="51" spans="1:22" x14ac:dyDescent="0.3">
      <c r="A51" s="227" t="s">
        <v>2723</v>
      </c>
      <c r="B51" s="227" t="s">
        <v>2785</v>
      </c>
      <c r="C51" s="227" t="s">
        <v>2654</v>
      </c>
      <c r="D51" s="227" t="s">
        <v>2724</v>
      </c>
      <c r="E51" s="227" t="s">
        <v>2725</v>
      </c>
      <c r="F51" s="227" t="s">
        <v>2726</v>
      </c>
      <c r="G51" s="227" t="s">
        <v>2727</v>
      </c>
      <c r="H51" s="227" t="s">
        <v>2728</v>
      </c>
      <c r="I51" s="227" t="s">
        <v>2729</v>
      </c>
      <c r="J51" s="227" t="s">
        <v>2726</v>
      </c>
      <c r="K51" s="227" t="s">
        <v>2726</v>
      </c>
      <c r="L51" s="227" t="s">
        <v>2726</v>
      </c>
      <c r="M51" s="227" t="s">
        <v>2780</v>
      </c>
      <c r="N51" s="227" t="s">
        <v>2781</v>
      </c>
      <c r="O51" s="228"/>
      <c r="P51" s="229" t="s">
        <v>2727</v>
      </c>
      <c r="Q51" s="230">
        <v>294</v>
      </c>
      <c r="R51" s="230">
        <v>0</v>
      </c>
      <c r="S51" s="230">
        <v>0</v>
      </c>
      <c r="T51" s="230">
        <v>294</v>
      </c>
      <c r="U51" s="230">
        <v>180</v>
      </c>
      <c r="V51" s="229" t="s">
        <v>2732</v>
      </c>
    </row>
    <row r="52" spans="1:22" x14ac:dyDescent="0.3">
      <c r="A52" s="227" t="s">
        <v>2723</v>
      </c>
      <c r="B52" s="227" t="s">
        <v>2786</v>
      </c>
      <c r="C52" s="227" t="s">
        <v>2787</v>
      </c>
      <c r="D52" s="227" t="s">
        <v>2724</v>
      </c>
      <c r="E52" s="227" t="s">
        <v>2725</v>
      </c>
      <c r="F52" s="227" t="s">
        <v>2726</v>
      </c>
      <c r="G52" s="227" t="s">
        <v>2727</v>
      </c>
      <c r="H52" s="227" t="s">
        <v>2728</v>
      </c>
      <c r="I52" s="227" t="s">
        <v>2735</v>
      </c>
      <c r="J52" s="227" t="s">
        <v>2726</v>
      </c>
      <c r="K52" s="227" t="s">
        <v>2726</v>
      </c>
      <c r="L52" s="227" t="s">
        <v>2726</v>
      </c>
      <c r="M52" s="227" t="s">
        <v>2730</v>
      </c>
      <c r="N52" s="227" t="s">
        <v>2737</v>
      </c>
      <c r="O52" s="228"/>
      <c r="P52" s="229" t="s">
        <v>2727</v>
      </c>
      <c r="Q52" s="230">
        <v>324</v>
      </c>
      <c r="R52" s="230">
        <v>0</v>
      </c>
      <c r="S52" s="230">
        <v>0</v>
      </c>
      <c r="T52" s="230">
        <v>324</v>
      </c>
      <c r="U52" s="230">
        <v>280</v>
      </c>
      <c r="V52" s="229" t="s">
        <v>2732</v>
      </c>
    </row>
    <row r="53" spans="1:22" x14ac:dyDescent="0.3">
      <c r="A53" s="227" t="s">
        <v>2723</v>
      </c>
      <c r="B53" s="227" t="s">
        <v>2788</v>
      </c>
      <c r="C53" s="227" t="s">
        <v>2789</v>
      </c>
      <c r="D53" s="227" t="s">
        <v>2724</v>
      </c>
      <c r="E53" s="227" t="s">
        <v>2725</v>
      </c>
      <c r="F53" s="227" t="s">
        <v>2726</v>
      </c>
      <c r="G53" s="227" t="s">
        <v>2727</v>
      </c>
      <c r="H53" s="227" t="s">
        <v>2728</v>
      </c>
      <c r="I53" s="227" t="s">
        <v>2735</v>
      </c>
      <c r="J53" s="227" t="s">
        <v>2726</v>
      </c>
      <c r="K53" s="227" t="s">
        <v>2726</v>
      </c>
      <c r="L53" s="227" t="s">
        <v>2726</v>
      </c>
      <c r="M53" s="227" t="s">
        <v>2730</v>
      </c>
      <c r="N53" s="227" t="s">
        <v>2737</v>
      </c>
      <c r="O53" s="228"/>
      <c r="P53" s="229" t="s">
        <v>2727</v>
      </c>
      <c r="Q53" s="230">
        <v>288</v>
      </c>
      <c r="R53" s="230">
        <v>0</v>
      </c>
      <c r="S53" s="230">
        <v>0</v>
      </c>
      <c r="T53" s="230">
        <v>288</v>
      </c>
      <c r="U53" s="230">
        <v>280</v>
      </c>
      <c r="V53" s="229" t="s">
        <v>2732</v>
      </c>
    </row>
    <row r="54" spans="1:22" x14ac:dyDescent="0.3">
      <c r="A54" s="227" t="s">
        <v>2723</v>
      </c>
      <c r="B54" s="227" t="s">
        <v>2790</v>
      </c>
      <c r="C54" s="227" t="s">
        <v>2791</v>
      </c>
      <c r="D54" s="227" t="s">
        <v>2724</v>
      </c>
      <c r="E54" s="227" t="s">
        <v>2725</v>
      </c>
      <c r="F54" s="227" t="s">
        <v>2726</v>
      </c>
      <c r="G54" s="227" t="s">
        <v>2727</v>
      </c>
      <c r="H54" s="227" t="s">
        <v>2728</v>
      </c>
      <c r="I54" s="227" t="s">
        <v>2735</v>
      </c>
      <c r="J54" s="227" t="s">
        <v>2726</v>
      </c>
      <c r="K54" s="227" t="s">
        <v>2726</v>
      </c>
      <c r="L54" s="227" t="s">
        <v>2726</v>
      </c>
      <c r="M54" s="227" t="s">
        <v>2730</v>
      </c>
      <c r="N54" s="227" t="s">
        <v>2737</v>
      </c>
      <c r="O54" s="228"/>
      <c r="P54" s="229" t="s">
        <v>2727</v>
      </c>
      <c r="Q54" s="230">
        <v>1181</v>
      </c>
      <c r="R54" s="230">
        <v>0</v>
      </c>
      <c r="S54" s="230">
        <v>0</v>
      </c>
      <c r="T54" s="230">
        <v>1181</v>
      </c>
      <c r="U54" s="230">
        <v>350</v>
      </c>
      <c r="V54" s="229" t="s">
        <v>2732</v>
      </c>
    </row>
    <row r="55" spans="1:22" x14ac:dyDescent="0.3">
      <c r="A55" s="227" t="s">
        <v>2723</v>
      </c>
      <c r="B55" s="227" t="s">
        <v>1169</v>
      </c>
      <c r="C55" s="227" t="s">
        <v>2792</v>
      </c>
      <c r="D55" s="227" t="s">
        <v>2724</v>
      </c>
      <c r="E55" s="227" t="s">
        <v>2725</v>
      </c>
      <c r="F55" s="227" t="s">
        <v>2726</v>
      </c>
      <c r="G55" s="227" t="s">
        <v>2727</v>
      </c>
      <c r="H55" s="227" t="s">
        <v>2728</v>
      </c>
      <c r="I55" s="227" t="s">
        <v>2735</v>
      </c>
      <c r="J55" s="227" t="s">
        <v>2726</v>
      </c>
      <c r="K55" s="227" t="s">
        <v>2726</v>
      </c>
      <c r="L55" s="227" t="s">
        <v>2726</v>
      </c>
      <c r="M55" s="227" t="s">
        <v>2730</v>
      </c>
      <c r="N55" s="227" t="s">
        <v>2737</v>
      </c>
      <c r="O55" s="228"/>
      <c r="P55" s="229" t="s">
        <v>2727</v>
      </c>
      <c r="Q55" s="230">
        <v>549</v>
      </c>
      <c r="R55" s="230">
        <v>0</v>
      </c>
      <c r="S55" s="230">
        <v>0</v>
      </c>
      <c r="T55" s="230">
        <v>549</v>
      </c>
      <c r="U55" s="230">
        <v>1.5</v>
      </c>
      <c r="V55" s="229" t="s">
        <v>2756</v>
      </c>
    </row>
    <row r="56" spans="1:22" x14ac:dyDescent="0.3">
      <c r="A56" s="227" t="s">
        <v>2723</v>
      </c>
      <c r="B56" s="227" t="s">
        <v>1226</v>
      </c>
      <c r="C56" s="227" t="s">
        <v>2793</v>
      </c>
      <c r="D56" s="227" t="s">
        <v>2724</v>
      </c>
      <c r="E56" s="227" t="s">
        <v>2725</v>
      </c>
      <c r="F56" s="227" t="s">
        <v>2726</v>
      </c>
      <c r="G56" s="227" t="s">
        <v>2727</v>
      </c>
      <c r="H56" s="227" t="s">
        <v>2728</v>
      </c>
      <c r="I56" s="227" t="s">
        <v>2735</v>
      </c>
      <c r="J56" s="227" t="s">
        <v>2726</v>
      </c>
      <c r="K56" s="227" t="s">
        <v>2726</v>
      </c>
      <c r="L56" s="227" t="s">
        <v>2726</v>
      </c>
      <c r="M56" s="227" t="s">
        <v>2730</v>
      </c>
      <c r="N56" s="227" t="s">
        <v>2737</v>
      </c>
      <c r="O56" s="228"/>
      <c r="P56" s="229" t="s">
        <v>2727</v>
      </c>
      <c r="Q56" s="230">
        <v>276</v>
      </c>
      <c r="R56" s="230">
        <v>0</v>
      </c>
      <c r="S56" s="230">
        <v>0</v>
      </c>
      <c r="T56" s="230">
        <v>276</v>
      </c>
      <c r="U56" s="230">
        <v>350</v>
      </c>
      <c r="V56" s="229" t="s">
        <v>2732</v>
      </c>
    </row>
    <row r="57" spans="1:22" x14ac:dyDescent="0.3">
      <c r="A57" s="227" t="s">
        <v>2723</v>
      </c>
      <c r="B57" s="227" t="s">
        <v>2794</v>
      </c>
      <c r="C57" s="227" t="s">
        <v>2795</v>
      </c>
      <c r="D57" s="227" t="s">
        <v>2724</v>
      </c>
      <c r="E57" s="227" t="s">
        <v>2725</v>
      </c>
      <c r="F57" s="227" t="s">
        <v>2726</v>
      </c>
      <c r="G57" s="227" t="s">
        <v>2727</v>
      </c>
      <c r="H57" s="227" t="s">
        <v>2728</v>
      </c>
      <c r="I57" s="227" t="s">
        <v>2735</v>
      </c>
      <c r="J57" s="227" t="s">
        <v>2726</v>
      </c>
      <c r="K57" s="227" t="s">
        <v>2726</v>
      </c>
      <c r="L57" s="227" t="s">
        <v>2726</v>
      </c>
      <c r="M57" s="227" t="s">
        <v>2730</v>
      </c>
      <c r="N57" s="227" t="s">
        <v>2781</v>
      </c>
      <c r="O57" s="228"/>
      <c r="P57" s="229" t="s">
        <v>2727</v>
      </c>
      <c r="Q57" s="230">
        <v>38</v>
      </c>
      <c r="R57" s="230">
        <v>0</v>
      </c>
      <c r="S57" s="230">
        <v>0</v>
      </c>
      <c r="T57" s="230">
        <v>38</v>
      </c>
      <c r="U57" s="230">
        <v>180</v>
      </c>
      <c r="V57" s="229" t="s">
        <v>2732</v>
      </c>
    </row>
    <row r="58" spans="1:22" x14ac:dyDescent="0.3">
      <c r="A58" s="227" t="s">
        <v>2723</v>
      </c>
      <c r="B58" s="227" t="s">
        <v>2393</v>
      </c>
      <c r="C58" s="227" t="s">
        <v>2796</v>
      </c>
      <c r="D58" s="227" t="s">
        <v>2724</v>
      </c>
      <c r="E58" s="227" t="s">
        <v>2725</v>
      </c>
      <c r="F58" s="227" t="s">
        <v>2726</v>
      </c>
      <c r="G58" s="227" t="s">
        <v>2727</v>
      </c>
      <c r="H58" s="227" t="s">
        <v>2728</v>
      </c>
      <c r="I58" s="227" t="s">
        <v>2729</v>
      </c>
      <c r="J58" s="227" t="s">
        <v>2726</v>
      </c>
      <c r="K58" s="227" t="s">
        <v>2726</v>
      </c>
      <c r="L58" s="227" t="s">
        <v>2726</v>
      </c>
      <c r="M58" s="227" t="s">
        <v>2736</v>
      </c>
      <c r="N58" s="227" t="s">
        <v>2731</v>
      </c>
      <c r="O58" s="228"/>
      <c r="P58" s="229" t="s">
        <v>2727</v>
      </c>
      <c r="Q58" s="230">
        <v>197</v>
      </c>
      <c r="R58" s="230">
        <v>0</v>
      </c>
      <c r="S58" s="230">
        <v>0</v>
      </c>
      <c r="T58" s="230">
        <v>197</v>
      </c>
      <c r="U58" s="230">
        <v>355</v>
      </c>
      <c r="V58" s="229" t="s">
        <v>2732</v>
      </c>
    </row>
    <row r="59" spans="1:22" x14ac:dyDescent="0.3">
      <c r="A59" s="227" t="s">
        <v>2723</v>
      </c>
      <c r="B59" s="227" t="s">
        <v>2261</v>
      </c>
      <c r="C59" s="227" t="s">
        <v>2797</v>
      </c>
      <c r="D59" s="227" t="s">
        <v>2724</v>
      </c>
      <c r="E59" s="227" t="s">
        <v>2725</v>
      </c>
      <c r="F59" s="227" t="s">
        <v>2726</v>
      </c>
      <c r="G59" s="227" t="s">
        <v>2727</v>
      </c>
      <c r="H59" s="227" t="s">
        <v>2728</v>
      </c>
      <c r="I59" s="227" t="s">
        <v>2729</v>
      </c>
      <c r="J59" s="227" t="s">
        <v>2726</v>
      </c>
      <c r="K59" s="227" t="s">
        <v>2726</v>
      </c>
      <c r="L59" s="227" t="s">
        <v>2726</v>
      </c>
      <c r="M59" s="227" t="s">
        <v>2736</v>
      </c>
      <c r="N59" s="227" t="s">
        <v>2731</v>
      </c>
      <c r="O59" s="228"/>
      <c r="P59" s="229" t="s">
        <v>2727</v>
      </c>
      <c r="Q59" s="230">
        <v>1310</v>
      </c>
      <c r="R59" s="230">
        <v>0</v>
      </c>
      <c r="S59" s="230">
        <v>0</v>
      </c>
      <c r="T59" s="230">
        <v>1310</v>
      </c>
      <c r="U59" s="230">
        <v>355</v>
      </c>
      <c r="V59" s="229" t="s">
        <v>2732</v>
      </c>
    </row>
    <row r="60" spans="1:22" x14ac:dyDescent="0.3">
      <c r="A60" s="227" t="s">
        <v>2723</v>
      </c>
      <c r="B60" s="227" t="s">
        <v>1866</v>
      </c>
      <c r="C60" s="227" t="s">
        <v>2798</v>
      </c>
      <c r="D60" s="227" t="s">
        <v>2724</v>
      </c>
      <c r="E60" s="227" t="s">
        <v>2725</v>
      </c>
      <c r="F60" s="227" t="s">
        <v>2726</v>
      </c>
      <c r="G60" s="227" t="s">
        <v>2727</v>
      </c>
      <c r="H60" s="227" t="s">
        <v>2728</v>
      </c>
      <c r="I60" s="227" t="s">
        <v>2729</v>
      </c>
      <c r="J60" s="227" t="s">
        <v>2726</v>
      </c>
      <c r="K60" s="227" t="s">
        <v>2726</v>
      </c>
      <c r="L60" s="227" t="s">
        <v>2726</v>
      </c>
      <c r="M60" s="227" t="s">
        <v>2736</v>
      </c>
      <c r="N60" s="227" t="s">
        <v>2731</v>
      </c>
      <c r="O60" s="228"/>
      <c r="P60" s="229" t="s">
        <v>2727</v>
      </c>
      <c r="Q60" s="230">
        <v>1842</v>
      </c>
      <c r="R60" s="230">
        <v>0</v>
      </c>
      <c r="S60" s="230">
        <v>0</v>
      </c>
      <c r="T60" s="230">
        <v>1842</v>
      </c>
      <c r="U60" s="230">
        <v>355</v>
      </c>
      <c r="V60" s="229" t="s">
        <v>2732</v>
      </c>
    </row>
    <row r="61" spans="1:22" x14ac:dyDescent="0.3">
      <c r="A61" s="227" t="s">
        <v>2723</v>
      </c>
      <c r="B61" s="227" t="s">
        <v>1061</v>
      </c>
      <c r="C61" s="227" t="s">
        <v>2799</v>
      </c>
      <c r="D61" s="227" t="s">
        <v>2724</v>
      </c>
      <c r="E61" s="227" t="s">
        <v>2725</v>
      </c>
      <c r="F61" s="227" t="s">
        <v>2726</v>
      </c>
      <c r="G61" s="227" t="s">
        <v>2727</v>
      </c>
      <c r="H61" s="227" t="s">
        <v>2728</v>
      </c>
      <c r="I61" s="227" t="s">
        <v>2729</v>
      </c>
      <c r="J61" s="227" t="s">
        <v>2726</v>
      </c>
      <c r="K61" s="227" t="s">
        <v>2726</v>
      </c>
      <c r="L61" s="227" t="s">
        <v>2726</v>
      </c>
      <c r="M61" s="227" t="s">
        <v>2736</v>
      </c>
      <c r="N61" s="227" t="s">
        <v>2731</v>
      </c>
      <c r="O61" s="228"/>
      <c r="P61" s="229" t="s">
        <v>2727</v>
      </c>
      <c r="Q61" s="230">
        <v>873</v>
      </c>
      <c r="R61" s="230">
        <v>0</v>
      </c>
      <c r="S61" s="230">
        <v>0</v>
      </c>
      <c r="T61" s="230">
        <v>873</v>
      </c>
      <c r="U61" s="230">
        <v>355</v>
      </c>
      <c r="V61" s="229" t="s">
        <v>2732</v>
      </c>
    </row>
    <row r="62" spans="1:22" x14ac:dyDescent="0.3">
      <c r="A62" s="227" t="s">
        <v>2723</v>
      </c>
      <c r="B62" s="227" t="s">
        <v>2800</v>
      </c>
      <c r="C62" s="227" t="s">
        <v>2801</v>
      </c>
      <c r="D62" s="227" t="s">
        <v>2724</v>
      </c>
      <c r="E62" s="227" t="s">
        <v>2725</v>
      </c>
      <c r="F62" s="227" t="s">
        <v>2726</v>
      </c>
      <c r="G62" s="227" t="s">
        <v>2727</v>
      </c>
      <c r="H62" s="227" t="s">
        <v>2728</v>
      </c>
      <c r="I62" s="227" t="s">
        <v>2729</v>
      </c>
      <c r="J62" s="227" t="s">
        <v>2726</v>
      </c>
      <c r="K62" s="227" t="s">
        <v>2726</v>
      </c>
      <c r="L62" s="227" t="s">
        <v>2726</v>
      </c>
      <c r="M62" s="227" t="s">
        <v>2736</v>
      </c>
      <c r="N62" s="227" t="s">
        <v>2731</v>
      </c>
      <c r="O62" s="228"/>
      <c r="P62" s="229" t="s">
        <v>2727</v>
      </c>
      <c r="Q62" s="230">
        <v>1065</v>
      </c>
      <c r="R62" s="230">
        <v>0</v>
      </c>
      <c r="S62" s="230">
        <v>0</v>
      </c>
      <c r="T62" s="230">
        <v>1065</v>
      </c>
      <c r="U62" s="230">
        <v>355</v>
      </c>
      <c r="V62" s="229" t="s">
        <v>2732</v>
      </c>
    </row>
    <row r="63" spans="1:22" x14ac:dyDescent="0.3">
      <c r="A63" s="227" t="s">
        <v>2723</v>
      </c>
      <c r="B63" s="227" t="s">
        <v>2328</v>
      </c>
      <c r="C63" s="227" t="s">
        <v>2802</v>
      </c>
      <c r="D63" s="227" t="s">
        <v>2724</v>
      </c>
      <c r="E63" s="227" t="s">
        <v>2725</v>
      </c>
      <c r="F63" s="227" t="s">
        <v>2726</v>
      </c>
      <c r="G63" s="227" t="s">
        <v>2727</v>
      </c>
      <c r="H63" s="227" t="s">
        <v>2728</v>
      </c>
      <c r="I63" s="227" t="s">
        <v>2729</v>
      </c>
      <c r="J63" s="227" t="s">
        <v>2726</v>
      </c>
      <c r="K63" s="227" t="s">
        <v>2726</v>
      </c>
      <c r="L63" s="227" t="s">
        <v>2726</v>
      </c>
      <c r="M63" s="227" t="s">
        <v>2736</v>
      </c>
      <c r="N63" s="227" t="s">
        <v>2731</v>
      </c>
      <c r="O63" s="228"/>
      <c r="P63" s="229" t="s">
        <v>2727</v>
      </c>
      <c r="Q63" s="230">
        <v>1516</v>
      </c>
      <c r="R63" s="230">
        <v>0</v>
      </c>
      <c r="S63" s="230">
        <v>0</v>
      </c>
      <c r="T63" s="230">
        <v>1516</v>
      </c>
      <c r="U63" s="230">
        <v>355</v>
      </c>
      <c r="V63" s="229" t="s">
        <v>2732</v>
      </c>
    </row>
    <row r="64" spans="1:22" x14ac:dyDescent="0.3">
      <c r="A64" s="227" t="s">
        <v>2723</v>
      </c>
      <c r="B64" s="227" t="s">
        <v>2803</v>
      </c>
      <c r="C64" s="227" t="s">
        <v>2804</v>
      </c>
      <c r="D64" s="227" t="s">
        <v>2724</v>
      </c>
      <c r="E64" s="227" t="s">
        <v>2725</v>
      </c>
      <c r="F64" s="227" t="s">
        <v>2726</v>
      </c>
      <c r="G64" s="227" t="s">
        <v>2727</v>
      </c>
      <c r="H64" s="227" t="s">
        <v>2728</v>
      </c>
      <c r="I64" s="227" t="s">
        <v>2729</v>
      </c>
      <c r="J64" s="227" t="s">
        <v>2726</v>
      </c>
      <c r="K64" s="227" t="s">
        <v>2726</v>
      </c>
      <c r="L64" s="227" t="s">
        <v>2726</v>
      </c>
      <c r="M64" s="227" t="s">
        <v>2736</v>
      </c>
      <c r="N64" s="227" t="s">
        <v>2731</v>
      </c>
      <c r="O64" s="228"/>
      <c r="P64" s="229" t="s">
        <v>2727</v>
      </c>
      <c r="Q64" s="230">
        <v>897</v>
      </c>
      <c r="R64" s="230">
        <v>0</v>
      </c>
      <c r="S64" s="230">
        <v>0</v>
      </c>
      <c r="T64" s="230">
        <v>897</v>
      </c>
      <c r="U64" s="230">
        <v>355</v>
      </c>
      <c r="V64" s="229" t="s">
        <v>2732</v>
      </c>
    </row>
    <row r="65" spans="1:22" x14ac:dyDescent="0.3">
      <c r="A65" s="227" t="s">
        <v>2723</v>
      </c>
      <c r="B65" s="227" t="s">
        <v>2805</v>
      </c>
      <c r="C65" s="227" t="s">
        <v>2806</v>
      </c>
      <c r="D65" s="227" t="s">
        <v>2724</v>
      </c>
      <c r="E65" s="227" t="s">
        <v>2725</v>
      </c>
      <c r="F65" s="227" t="s">
        <v>2726</v>
      </c>
      <c r="G65" s="227" t="s">
        <v>2727</v>
      </c>
      <c r="H65" s="227" t="s">
        <v>2728</v>
      </c>
      <c r="I65" s="227" t="s">
        <v>2729</v>
      </c>
      <c r="J65" s="227" t="s">
        <v>2726</v>
      </c>
      <c r="K65" s="227" t="s">
        <v>2726</v>
      </c>
      <c r="L65" s="227" t="s">
        <v>2726</v>
      </c>
      <c r="M65" s="227" t="s">
        <v>2736</v>
      </c>
      <c r="N65" s="227" t="s">
        <v>2731</v>
      </c>
      <c r="O65" s="228"/>
      <c r="P65" s="229" t="s">
        <v>2727</v>
      </c>
      <c r="Q65" s="230">
        <v>1764</v>
      </c>
      <c r="R65" s="230">
        <v>0</v>
      </c>
      <c r="S65" s="230">
        <v>0</v>
      </c>
      <c r="T65" s="230">
        <v>1764</v>
      </c>
      <c r="U65" s="230">
        <v>355</v>
      </c>
      <c r="V65" s="229" t="s">
        <v>2732</v>
      </c>
    </row>
    <row r="66" spans="1:22" x14ac:dyDescent="0.3">
      <c r="A66" s="227" t="s">
        <v>2723</v>
      </c>
      <c r="B66" s="227" t="s">
        <v>2807</v>
      </c>
      <c r="C66" s="227" t="s">
        <v>2808</v>
      </c>
      <c r="D66" s="227" t="s">
        <v>2724</v>
      </c>
      <c r="E66" s="227" t="s">
        <v>2725</v>
      </c>
      <c r="F66" s="227" t="s">
        <v>2726</v>
      </c>
      <c r="G66" s="227" t="s">
        <v>2727</v>
      </c>
      <c r="H66" s="227" t="s">
        <v>2728</v>
      </c>
      <c r="I66" s="227" t="s">
        <v>2729</v>
      </c>
      <c r="J66" s="227" t="s">
        <v>2726</v>
      </c>
      <c r="K66" s="227" t="s">
        <v>2726</v>
      </c>
      <c r="L66" s="227" t="s">
        <v>2726</v>
      </c>
      <c r="M66" s="227" t="s">
        <v>2736</v>
      </c>
      <c r="N66" s="227" t="s">
        <v>2731</v>
      </c>
      <c r="O66" s="228"/>
      <c r="P66" s="229" t="s">
        <v>2727</v>
      </c>
      <c r="Q66" s="230">
        <v>1438</v>
      </c>
      <c r="R66" s="230">
        <v>0</v>
      </c>
      <c r="S66" s="230">
        <v>0</v>
      </c>
      <c r="T66" s="230">
        <v>1438</v>
      </c>
      <c r="U66" s="230">
        <v>355</v>
      </c>
      <c r="V66" s="229" t="s">
        <v>2732</v>
      </c>
    </row>
    <row r="67" spans="1:22" x14ac:dyDescent="0.3">
      <c r="A67" s="227" t="s">
        <v>2723</v>
      </c>
      <c r="B67" s="227" t="s">
        <v>2809</v>
      </c>
      <c r="C67" s="227" t="s">
        <v>2810</v>
      </c>
      <c r="D67" s="227" t="s">
        <v>2724</v>
      </c>
      <c r="E67" s="227" t="s">
        <v>2725</v>
      </c>
      <c r="F67" s="227" t="s">
        <v>2726</v>
      </c>
      <c r="G67" s="227" t="s">
        <v>2727</v>
      </c>
      <c r="H67" s="227" t="s">
        <v>2728</v>
      </c>
      <c r="I67" s="227" t="s">
        <v>2729</v>
      </c>
      <c r="J67" s="227" t="s">
        <v>2726</v>
      </c>
      <c r="K67" s="227" t="s">
        <v>2726</v>
      </c>
      <c r="L67" s="227" t="s">
        <v>2726</v>
      </c>
      <c r="M67" s="227" t="s">
        <v>2736</v>
      </c>
      <c r="N67" s="227" t="s">
        <v>2731</v>
      </c>
      <c r="O67" s="228"/>
      <c r="P67" s="229" t="s">
        <v>2727</v>
      </c>
      <c r="Q67" s="230">
        <v>533</v>
      </c>
      <c r="R67" s="230">
        <v>0</v>
      </c>
      <c r="S67" s="230">
        <v>0</v>
      </c>
      <c r="T67" s="230">
        <v>533</v>
      </c>
      <c r="U67" s="230">
        <v>500</v>
      </c>
      <c r="V67" s="229" t="s">
        <v>2732</v>
      </c>
    </row>
    <row r="68" spans="1:22" x14ac:dyDescent="0.3">
      <c r="A68" s="227" t="s">
        <v>2723</v>
      </c>
      <c r="B68" s="227" t="s">
        <v>2607</v>
      </c>
      <c r="C68" s="227" t="s">
        <v>2811</v>
      </c>
      <c r="D68" s="227" t="s">
        <v>2724</v>
      </c>
      <c r="E68" s="227" t="s">
        <v>2725</v>
      </c>
      <c r="F68" s="227" t="s">
        <v>2726</v>
      </c>
      <c r="G68" s="227" t="s">
        <v>2727</v>
      </c>
      <c r="H68" s="227" t="s">
        <v>2728</v>
      </c>
      <c r="I68" s="227" t="s">
        <v>2729</v>
      </c>
      <c r="J68" s="227" t="s">
        <v>2726</v>
      </c>
      <c r="K68" s="227" t="s">
        <v>2726</v>
      </c>
      <c r="L68" s="227" t="s">
        <v>2726</v>
      </c>
      <c r="M68" s="227" t="s">
        <v>2736</v>
      </c>
      <c r="N68" s="227" t="s">
        <v>2731</v>
      </c>
      <c r="O68" s="228"/>
      <c r="P68" s="229" t="s">
        <v>2727</v>
      </c>
      <c r="Q68" s="230">
        <v>270</v>
      </c>
      <c r="R68" s="230">
        <v>0</v>
      </c>
      <c r="S68" s="230">
        <v>0</v>
      </c>
      <c r="T68" s="230">
        <v>270</v>
      </c>
      <c r="U68" s="230">
        <v>500</v>
      </c>
      <c r="V68" s="229" t="s">
        <v>2732</v>
      </c>
    </row>
    <row r="69" spans="1:22" x14ac:dyDescent="0.3">
      <c r="A69" s="227" t="s">
        <v>2723</v>
      </c>
      <c r="B69" s="227" t="s">
        <v>2812</v>
      </c>
      <c r="C69" s="227" t="s">
        <v>2666</v>
      </c>
      <c r="D69" s="227" t="s">
        <v>2724</v>
      </c>
      <c r="E69" s="227" t="s">
        <v>2725</v>
      </c>
      <c r="F69" s="227" t="s">
        <v>2726</v>
      </c>
      <c r="G69" s="227" t="s">
        <v>2727</v>
      </c>
      <c r="H69" s="227" t="s">
        <v>2728</v>
      </c>
      <c r="I69" s="227" t="s">
        <v>2729</v>
      </c>
      <c r="J69" s="227" t="s">
        <v>2726</v>
      </c>
      <c r="K69" s="227" t="s">
        <v>2726</v>
      </c>
      <c r="L69" s="227" t="s">
        <v>2726</v>
      </c>
      <c r="M69" s="227" t="s">
        <v>2736</v>
      </c>
      <c r="N69" s="227" t="s">
        <v>2731</v>
      </c>
      <c r="O69" s="228"/>
      <c r="P69" s="229" t="s">
        <v>2727</v>
      </c>
      <c r="Q69" s="230">
        <v>2292</v>
      </c>
      <c r="R69" s="230">
        <v>0</v>
      </c>
      <c r="S69" s="230">
        <v>0</v>
      </c>
      <c r="T69" s="230">
        <v>2292</v>
      </c>
      <c r="U69" s="230">
        <v>355</v>
      </c>
      <c r="V69" s="229" t="s">
        <v>2732</v>
      </c>
    </row>
    <row r="70" spans="1:22" x14ac:dyDescent="0.3">
      <c r="A70" s="227" t="s">
        <v>2723</v>
      </c>
      <c r="B70" s="227" t="s">
        <v>2813</v>
      </c>
      <c r="C70" s="227" t="s">
        <v>2683</v>
      </c>
      <c r="D70" s="227" t="s">
        <v>2724</v>
      </c>
      <c r="E70" s="227" t="s">
        <v>2725</v>
      </c>
      <c r="F70" s="227" t="s">
        <v>2726</v>
      </c>
      <c r="G70" s="227" t="s">
        <v>2727</v>
      </c>
      <c r="H70" s="227" t="s">
        <v>2728</v>
      </c>
      <c r="I70" s="227" t="s">
        <v>2729</v>
      </c>
      <c r="J70" s="227" t="s">
        <v>2726</v>
      </c>
      <c r="K70" s="227" t="s">
        <v>2726</v>
      </c>
      <c r="L70" s="227" t="s">
        <v>2726</v>
      </c>
      <c r="M70" s="227" t="s">
        <v>2736</v>
      </c>
      <c r="N70" s="227" t="s">
        <v>2731</v>
      </c>
      <c r="O70" s="228"/>
      <c r="P70" s="229" t="s">
        <v>2727</v>
      </c>
      <c r="Q70" s="230">
        <v>4023</v>
      </c>
      <c r="R70" s="230">
        <v>0</v>
      </c>
      <c r="S70" s="230">
        <v>0</v>
      </c>
      <c r="T70" s="230">
        <v>4023</v>
      </c>
      <c r="U70" s="230">
        <v>355</v>
      </c>
      <c r="V70" s="229" t="s">
        <v>2732</v>
      </c>
    </row>
    <row r="71" spans="1:22" x14ac:dyDescent="0.3">
      <c r="A71" s="227" t="s">
        <v>2723</v>
      </c>
      <c r="B71" s="227" t="s">
        <v>2814</v>
      </c>
      <c r="C71" s="227" t="s">
        <v>2815</v>
      </c>
      <c r="D71" s="227" t="s">
        <v>2724</v>
      </c>
      <c r="E71" s="227" t="s">
        <v>2725</v>
      </c>
      <c r="F71" s="227" t="s">
        <v>2726</v>
      </c>
      <c r="G71" s="227" t="s">
        <v>2727</v>
      </c>
      <c r="H71" s="227" t="s">
        <v>2728</v>
      </c>
      <c r="I71" s="227" t="s">
        <v>2735</v>
      </c>
      <c r="J71" s="227" t="s">
        <v>2726</v>
      </c>
      <c r="K71" s="227" t="s">
        <v>2726</v>
      </c>
      <c r="L71" s="227" t="s">
        <v>2726</v>
      </c>
      <c r="M71" s="227" t="s">
        <v>2730</v>
      </c>
      <c r="N71" s="227" t="s">
        <v>2737</v>
      </c>
      <c r="O71" s="228"/>
      <c r="P71" s="229" t="s">
        <v>2727</v>
      </c>
      <c r="Q71" s="230">
        <v>1436</v>
      </c>
      <c r="R71" s="230">
        <v>0</v>
      </c>
      <c r="S71" s="230">
        <v>0</v>
      </c>
      <c r="T71" s="230">
        <v>1436</v>
      </c>
      <c r="U71" s="230">
        <v>600</v>
      </c>
      <c r="V71" s="229" t="s">
        <v>2732</v>
      </c>
    </row>
    <row r="72" spans="1:22" x14ac:dyDescent="0.3">
      <c r="A72" s="227" t="s">
        <v>2723</v>
      </c>
      <c r="B72" s="227" t="s">
        <v>2816</v>
      </c>
      <c r="C72" s="227" t="s">
        <v>2670</v>
      </c>
      <c r="D72" s="227" t="s">
        <v>2724</v>
      </c>
      <c r="E72" s="227" t="s">
        <v>2725</v>
      </c>
      <c r="F72" s="227" t="s">
        <v>2726</v>
      </c>
      <c r="G72" s="227" t="s">
        <v>2727</v>
      </c>
      <c r="H72" s="227" t="s">
        <v>2728</v>
      </c>
      <c r="I72" s="227" t="s">
        <v>2735</v>
      </c>
      <c r="J72" s="227" t="s">
        <v>2726</v>
      </c>
      <c r="K72" s="227" t="s">
        <v>2726</v>
      </c>
      <c r="L72" s="227" t="s">
        <v>2726</v>
      </c>
      <c r="M72" s="227" t="s">
        <v>2730</v>
      </c>
      <c r="N72" s="227" t="s">
        <v>2737</v>
      </c>
      <c r="O72" s="228"/>
      <c r="P72" s="229" t="s">
        <v>2727</v>
      </c>
      <c r="Q72" s="230">
        <v>4233</v>
      </c>
      <c r="R72" s="230">
        <v>0</v>
      </c>
      <c r="S72" s="230">
        <v>0</v>
      </c>
      <c r="T72" s="230">
        <v>4233</v>
      </c>
      <c r="U72" s="230">
        <v>600</v>
      </c>
      <c r="V72" s="229" t="s">
        <v>2732</v>
      </c>
    </row>
    <row r="73" spans="1:22" x14ac:dyDescent="0.3">
      <c r="A73" s="227" t="s">
        <v>2723</v>
      </c>
      <c r="B73" s="227" t="s">
        <v>1868</v>
      </c>
      <c r="C73" s="227" t="s">
        <v>2817</v>
      </c>
      <c r="D73" s="227" t="s">
        <v>2724</v>
      </c>
      <c r="E73" s="227" t="s">
        <v>2725</v>
      </c>
      <c r="F73" s="227" t="s">
        <v>2726</v>
      </c>
      <c r="G73" s="227" t="s">
        <v>2727</v>
      </c>
      <c r="H73" s="227" t="s">
        <v>2728</v>
      </c>
      <c r="I73" s="227" t="s">
        <v>2735</v>
      </c>
      <c r="J73" s="227" t="s">
        <v>2726</v>
      </c>
      <c r="K73" s="227" t="s">
        <v>2726</v>
      </c>
      <c r="L73" s="227" t="s">
        <v>2726</v>
      </c>
      <c r="M73" s="227" t="s">
        <v>2730</v>
      </c>
      <c r="N73" s="227" t="s">
        <v>2737</v>
      </c>
      <c r="O73" s="228"/>
      <c r="P73" s="229" t="s">
        <v>2727</v>
      </c>
      <c r="Q73" s="230">
        <v>818</v>
      </c>
      <c r="R73" s="230">
        <v>0</v>
      </c>
      <c r="S73" s="230">
        <v>0</v>
      </c>
      <c r="T73" s="230">
        <v>818</v>
      </c>
      <c r="U73" s="230">
        <v>600</v>
      </c>
      <c r="V73" s="229" t="s">
        <v>2732</v>
      </c>
    </row>
    <row r="74" spans="1:22" x14ac:dyDescent="0.3">
      <c r="A74" s="227" t="s">
        <v>2723</v>
      </c>
      <c r="B74" s="227" t="s">
        <v>2818</v>
      </c>
      <c r="C74" s="227" t="s">
        <v>2819</v>
      </c>
      <c r="D74" s="227" t="s">
        <v>2724</v>
      </c>
      <c r="E74" s="227" t="s">
        <v>2725</v>
      </c>
      <c r="F74" s="227" t="s">
        <v>2726</v>
      </c>
      <c r="G74" s="227" t="s">
        <v>2727</v>
      </c>
      <c r="H74" s="227" t="s">
        <v>2728</v>
      </c>
      <c r="I74" s="227" t="s">
        <v>2735</v>
      </c>
      <c r="J74" s="227" t="s">
        <v>2726</v>
      </c>
      <c r="K74" s="227" t="s">
        <v>2726</v>
      </c>
      <c r="L74" s="227" t="s">
        <v>2726</v>
      </c>
      <c r="M74" s="227" t="s">
        <v>2730</v>
      </c>
      <c r="N74" s="227" t="s">
        <v>2737</v>
      </c>
      <c r="O74" s="228"/>
      <c r="P74" s="229" t="s">
        <v>2727</v>
      </c>
      <c r="Q74" s="230">
        <v>996</v>
      </c>
      <c r="R74" s="230">
        <v>0</v>
      </c>
      <c r="S74" s="230">
        <v>0</v>
      </c>
      <c r="T74" s="230">
        <v>996</v>
      </c>
      <c r="U74" s="230">
        <v>600</v>
      </c>
      <c r="V74" s="229" t="s">
        <v>2732</v>
      </c>
    </row>
    <row r="75" spans="1:22" x14ac:dyDescent="0.3">
      <c r="A75" s="227" t="s">
        <v>2723</v>
      </c>
      <c r="B75" s="227" t="s">
        <v>1250</v>
      </c>
      <c r="C75" s="227" t="s">
        <v>2820</v>
      </c>
      <c r="D75" s="227" t="s">
        <v>2724</v>
      </c>
      <c r="E75" s="227" t="s">
        <v>2725</v>
      </c>
      <c r="F75" s="227" t="s">
        <v>2726</v>
      </c>
      <c r="G75" s="227" t="s">
        <v>2727</v>
      </c>
      <c r="H75" s="227" t="s">
        <v>2728</v>
      </c>
      <c r="I75" s="227" t="s">
        <v>2735</v>
      </c>
      <c r="J75" s="227" t="s">
        <v>2726</v>
      </c>
      <c r="K75" s="227" t="s">
        <v>2726</v>
      </c>
      <c r="L75" s="227" t="s">
        <v>2726</v>
      </c>
      <c r="M75" s="227" t="s">
        <v>2730</v>
      </c>
      <c r="N75" s="227" t="s">
        <v>2737</v>
      </c>
      <c r="O75" s="228"/>
      <c r="P75" s="229" t="s">
        <v>2727</v>
      </c>
      <c r="Q75" s="230">
        <v>711</v>
      </c>
      <c r="R75" s="230">
        <v>0</v>
      </c>
      <c r="S75" s="230">
        <v>0</v>
      </c>
      <c r="T75" s="230">
        <v>711</v>
      </c>
      <c r="U75" s="230">
        <v>600</v>
      </c>
      <c r="V75" s="229" t="s">
        <v>2732</v>
      </c>
    </row>
    <row r="76" spans="1:22" x14ac:dyDescent="0.3">
      <c r="A76" s="227" t="s">
        <v>2723</v>
      </c>
      <c r="B76" s="227" t="s">
        <v>1528</v>
      </c>
      <c r="C76" s="227" t="s">
        <v>2821</v>
      </c>
      <c r="D76" s="227" t="s">
        <v>2724</v>
      </c>
      <c r="E76" s="227" t="s">
        <v>2725</v>
      </c>
      <c r="F76" s="227" t="s">
        <v>2726</v>
      </c>
      <c r="G76" s="227" t="s">
        <v>2727</v>
      </c>
      <c r="H76" s="227" t="s">
        <v>2728</v>
      </c>
      <c r="I76" s="227" t="s">
        <v>2735</v>
      </c>
      <c r="J76" s="227" t="s">
        <v>2726</v>
      </c>
      <c r="K76" s="227" t="s">
        <v>2726</v>
      </c>
      <c r="L76" s="227" t="s">
        <v>2726</v>
      </c>
      <c r="M76" s="227" t="s">
        <v>2730</v>
      </c>
      <c r="N76" s="227" t="s">
        <v>2731</v>
      </c>
      <c r="O76" s="228"/>
      <c r="P76" s="229" t="s">
        <v>2727</v>
      </c>
      <c r="Q76" s="230">
        <v>2553</v>
      </c>
      <c r="R76" s="230">
        <v>0</v>
      </c>
      <c r="S76" s="230">
        <v>0</v>
      </c>
      <c r="T76" s="230">
        <v>2553</v>
      </c>
      <c r="U76" s="230">
        <v>240</v>
      </c>
      <c r="V76" s="229" t="s">
        <v>2732</v>
      </c>
    </row>
    <row r="77" spans="1:22" x14ac:dyDescent="0.3">
      <c r="A77" s="227" t="s">
        <v>2723</v>
      </c>
      <c r="B77" s="227" t="s">
        <v>1536</v>
      </c>
      <c r="C77" s="227" t="s">
        <v>1537</v>
      </c>
      <c r="D77" s="227" t="s">
        <v>2724</v>
      </c>
      <c r="E77" s="227" t="s">
        <v>2725</v>
      </c>
      <c r="F77" s="227" t="s">
        <v>2726</v>
      </c>
      <c r="G77" s="227" t="s">
        <v>2727</v>
      </c>
      <c r="H77" s="227" t="s">
        <v>2728</v>
      </c>
      <c r="I77" s="227" t="s">
        <v>2735</v>
      </c>
      <c r="J77" s="227" t="s">
        <v>2726</v>
      </c>
      <c r="K77" s="227" t="s">
        <v>2726</v>
      </c>
      <c r="L77" s="227" t="s">
        <v>2726</v>
      </c>
      <c r="M77" s="227" t="s">
        <v>2730</v>
      </c>
      <c r="N77" s="227" t="s">
        <v>2737</v>
      </c>
      <c r="O77" s="228"/>
      <c r="P77" s="229" t="s">
        <v>2727</v>
      </c>
      <c r="Q77" s="230">
        <v>226</v>
      </c>
      <c r="R77" s="230">
        <v>0</v>
      </c>
      <c r="S77" s="230">
        <v>0</v>
      </c>
      <c r="T77" s="230">
        <v>226</v>
      </c>
      <c r="U77" s="230">
        <v>1.5</v>
      </c>
      <c r="V77" s="229" t="s">
        <v>2756</v>
      </c>
    </row>
    <row r="78" spans="1:22" x14ac:dyDescent="0.3">
      <c r="A78" s="227" t="s">
        <v>2723</v>
      </c>
      <c r="B78" s="227" t="s">
        <v>2625</v>
      </c>
      <c r="C78" s="227" t="s">
        <v>2626</v>
      </c>
      <c r="D78" s="227" t="s">
        <v>2724</v>
      </c>
      <c r="E78" s="227" t="s">
        <v>2725</v>
      </c>
      <c r="F78" s="227" t="s">
        <v>2726</v>
      </c>
      <c r="G78" s="227" t="s">
        <v>2727</v>
      </c>
      <c r="H78" s="227" t="s">
        <v>2728</v>
      </c>
      <c r="I78" s="227" t="s">
        <v>2735</v>
      </c>
      <c r="J78" s="227" t="s">
        <v>2726</v>
      </c>
      <c r="K78" s="227" t="s">
        <v>2726</v>
      </c>
      <c r="L78" s="227" t="s">
        <v>2726</v>
      </c>
      <c r="M78" s="227" t="s">
        <v>2822</v>
      </c>
      <c r="N78" s="227" t="s">
        <v>2737</v>
      </c>
      <c r="O78" s="228"/>
      <c r="P78" s="229" t="s">
        <v>2727</v>
      </c>
      <c r="Q78" s="230">
        <v>1232</v>
      </c>
      <c r="R78" s="230">
        <v>0</v>
      </c>
      <c r="S78" s="230">
        <v>0</v>
      </c>
      <c r="T78" s="230">
        <v>1232</v>
      </c>
      <c r="U78" s="230">
        <v>500</v>
      </c>
      <c r="V78" s="229" t="s">
        <v>2732</v>
      </c>
    </row>
    <row r="79" spans="1:22" x14ac:dyDescent="0.3">
      <c r="A79" s="227" t="s">
        <v>2723</v>
      </c>
      <c r="B79" s="227" t="s">
        <v>2829</v>
      </c>
      <c r="C79" s="227" t="s">
        <v>2830</v>
      </c>
      <c r="D79" s="227" t="s">
        <v>2724</v>
      </c>
      <c r="E79" s="227" t="s">
        <v>2725</v>
      </c>
      <c r="F79" s="227" t="s">
        <v>2726</v>
      </c>
      <c r="G79" s="227" t="s">
        <v>2727</v>
      </c>
      <c r="H79" s="227" t="s">
        <v>2728</v>
      </c>
      <c r="I79" s="227" t="s">
        <v>2735</v>
      </c>
      <c r="J79" s="227" t="s">
        <v>2726</v>
      </c>
      <c r="K79" s="227" t="s">
        <v>2726</v>
      </c>
      <c r="L79" s="227" t="s">
        <v>2726</v>
      </c>
      <c r="M79" s="227" t="s">
        <v>2736</v>
      </c>
      <c r="N79" s="227" t="s">
        <v>2731</v>
      </c>
      <c r="O79" s="228"/>
      <c r="P79" s="229" t="s">
        <v>2727</v>
      </c>
      <c r="Q79" s="230">
        <v>96</v>
      </c>
      <c r="R79" s="230">
        <v>0</v>
      </c>
      <c r="S79" s="230">
        <v>0</v>
      </c>
      <c r="T79" s="230">
        <v>96</v>
      </c>
      <c r="U79" s="230">
        <v>350</v>
      </c>
      <c r="V79" s="229" t="s">
        <v>2732</v>
      </c>
    </row>
    <row r="80" spans="1:22" x14ac:dyDescent="0.3">
      <c r="A80" s="227" t="s">
        <v>2723</v>
      </c>
      <c r="B80" s="227" t="s">
        <v>2823</v>
      </c>
      <c r="C80" s="227" t="s">
        <v>2679</v>
      </c>
      <c r="D80" s="227" t="s">
        <v>2724</v>
      </c>
      <c r="E80" s="227" t="s">
        <v>2725</v>
      </c>
      <c r="F80" s="227" t="s">
        <v>2726</v>
      </c>
      <c r="G80" s="227" t="s">
        <v>2727</v>
      </c>
      <c r="H80" s="227" t="s">
        <v>2728</v>
      </c>
      <c r="I80" s="227" t="s">
        <v>2735</v>
      </c>
      <c r="J80" s="227" t="s">
        <v>2726</v>
      </c>
      <c r="K80" s="227" t="s">
        <v>2726</v>
      </c>
      <c r="L80" s="227" t="s">
        <v>2726</v>
      </c>
      <c r="M80" s="227" t="s">
        <v>2736</v>
      </c>
      <c r="N80" s="227" t="s">
        <v>2731</v>
      </c>
      <c r="O80" s="228"/>
      <c r="P80" s="229" t="s">
        <v>2727</v>
      </c>
      <c r="Q80" s="230">
        <v>1139</v>
      </c>
      <c r="R80" s="230">
        <v>0</v>
      </c>
      <c r="S80" s="230">
        <v>0</v>
      </c>
      <c r="T80" s="230">
        <v>1139</v>
      </c>
      <c r="U80" s="230">
        <v>350</v>
      </c>
      <c r="V80" s="229" t="s">
        <v>2732</v>
      </c>
    </row>
    <row r="81" spans="1:22" x14ac:dyDescent="0.3">
      <c r="A81" s="227" t="s">
        <v>2723</v>
      </c>
      <c r="B81" s="227" t="s">
        <v>2325</v>
      </c>
      <c r="C81" s="227" t="s">
        <v>2326</v>
      </c>
      <c r="D81" s="227" t="s">
        <v>2724</v>
      </c>
      <c r="E81" s="227" t="s">
        <v>2725</v>
      </c>
      <c r="F81" s="227" t="s">
        <v>2726</v>
      </c>
      <c r="G81" s="227" t="s">
        <v>2727</v>
      </c>
      <c r="H81" s="227" t="s">
        <v>2728</v>
      </c>
      <c r="I81" s="227" t="s">
        <v>2735</v>
      </c>
      <c r="J81" s="227" t="s">
        <v>2726</v>
      </c>
      <c r="K81" s="227" t="s">
        <v>2726</v>
      </c>
      <c r="L81" s="227" t="s">
        <v>2726</v>
      </c>
      <c r="M81" s="227" t="s">
        <v>2736</v>
      </c>
      <c r="N81" s="227" t="s">
        <v>2737</v>
      </c>
      <c r="O81" s="228"/>
      <c r="P81" s="229" t="s">
        <v>2727</v>
      </c>
      <c r="Q81" s="230">
        <v>2091</v>
      </c>
      <c r="R81" s="230">
        <v>0</v>
      </c>
      <c r="S81" s="230">
        <v>0</v>
      </c>
      <c r="T81" s="230">
        <v>2091</v>
      </c>
      <c r="U81" s="230">
        <v>500</v>
      </c>
      <c r="V81" s="229" t="s">
        <v>2732</v>
      </c>
    </row>
    <row r="82" spans="1:22" x14ac:dyDescent="0.3">
      <c r="A82" s="227" t="s">
        <v>2723</v>
      </c>
      <c r="B82" s="227" t="s">
        <v>1120</v>
      </c>
      <c r="C82" s="227" t="s">
        <v>1121</v>
      </c>
      <c r="D82" s="227" t="s">
        <v>2724</v>
      </c>
      <c r="E82" s="227" t="s">
        <v>2725</v>
      </c>
      <c r="F82" s="227" t="s">
        <v>2726</v>
      </c>
      <c r="G82" s="227" t="s">
        <v>2727</v>
      </c>
      <c r="H82" s="227" t="s">
        <v>2728</v>
      </c>
      <c r="I82" s="227" t="s">
        <v>2735</v>
      </c>
      <c r="J82" s="227" t="s">
        <v>2726</v>
      </c>
      <c r="K82" s="227" t="s">
        <v>2726</v>
      </c>
      <c r="L82" s="227" t="s">
        <v>2726</v>
      </c>
      <c r="M82" s="227" t="s">
        <v>2736</v>
      </c>
      <c r="N82" s="227" t="s">
        <v>2737</v>
      </c>
      <c r="O82" s="228"/>
      <c r="P82" s="229" t="s">
        <v>2727</v>
      </c>
      <c r="Q82" s="230">
        <v>1042</v>
      </c>
      <c r="R82" s="230">
        <v>0</v>
      </c>
      <c r="S82" s="230">
        <v>0</v>
      </c>
      <c r="T82" s="230">
        <v>1042</v>
      </c>
      <c r="U82" s="230">
        <v>500</v>
      </c>
      <c r="V82" s="229" t="s">
        <v>2732</v>
      </c>
    </row>
    <row r="83" spans="1:22" x14ac:dyDescent="0.3">
      <c r="A83" s="227" t="s">
        <v>2723</v>
      </c>
      <c r="B83" s="227" t="s">
        <v>1126</v>
      </c>
      <c r="C83" s="227" t="s">
        <v>1127</v>
      </c>
      <c r="D83" s="227" t="s">
        <v>2724</v>
      </c>
      <c r="E83" s="227" t="s">
        <v>2725</v>
      </c>
      <c r="F83" s="227" t="s">
        <v>2726</v>
      </c>
      <c r="G83" s="227" t="s">
        <v>2727</v>
      </c>
      <c r="H83" s="227" t="s">
        <v>2728</v>
      </c>
      <c r="I83" s="227" t="s">
        <v>2735</v>
      </c>
      <c r="J83" s="227" t="s">
        <v>2726</v>
      </c>
      <c r="K83" s="227" t="s">
        <v>2726</v>
      </c>
      <c r="L83" s="227" t="s">
        <v>2726</v>
      </c>
      <c r="M83" s="227" t="s">
        <v>2736</v>
      </c>
      <c r="N83" s="227" t="s">
        <v>2737</v>
      </c>
      <c r="O83" s="228"/>
      <c r="P83" s="229" t="s">
        <v>2727</v>
      </c>
      <c r="Q83" s="230">
        <v>1022</v>
      </c>
      <c r="R83" s="230">
        <v>0</v>
      </c>
      <c r="S83" s="230">
        <v>0</v>
      </c>
      <c r="T83" s="230">
        <v>1022</v>
      </c>
      <c r="U83" s="230">
        <v>1.5</v>
      </c>
      <c r="V83" s="229" t="s">
        <v>2756</v>
      </c>
    </row>
    <row r="84" spans="1:22" x14ac:dyDescent="0.3">
      <c r="A84" s="227" t="s">
        <v>2723</v>
      </c>
      <c r="B84" s="227" t="s">
        <v>1852</v>
      </c>
      <c r="C84" s="227" t="s">
        <v>2824</v>
      </c>
      <c r="D84" s="227" t="s">
        <v>2724</v>
      </c>
      <c r="E84" s="227" t="s">
        <v>2725</v>
      </c>
      <c r="F84" s="227" t="s">
        <v>2726</v>
      </c>
      <c r="G84" s="227" t="s">
        <v>2727</v>
      </c>
      <c r="H84" s="227" t="s">
        <v>2728</v>
      </c>
      <c r="I84" s="227" t="s">
        <v>2735</v>
      </c>
      <c r="J84" s="227" t="s">
        <v>2726</v>
      </c>
      <c r="K84" s="227" t="s">
        <v>2726</v>
      </c>
      <c r="L84" s="227" t="s">
        <v>2726</v>
      </c>
      <c r="M84" s="227" t="s">
        <v>2730</v>
      </c>
      <c r="N84" s="227" t="s">
        <v>2731</v>
      </c>
      <c r="O84" s="228"/>
      <c r="P84" s="229" t="s">
        <v>2727</v>
      </c>
      <c r="Q84" s="230">
        <v>447</v>
      </c>
      <c r="R84" s="230">
        <v>0</v>
      </c>
      <c r="S84" s="230">
        <v>0</v>
      </c>
      <c r="T84" s="230">
        <v>447</v>
      </c>
      <c r="U84" s="230">
        <v>240</v>
      </c>
      <c r="V84" s="229" t="s">
        <v>2732</v>
      </c>
    </row>
    <row r="85" spans="1:22" x14ac:dyDescent="0.3">
      <c r="A85" s="227" t="s">
        <v>2723</v>
      </c>
      <c r="B85" s="227" t="s">
        <v>1623</v>
      </c>
      <c r="C85" s="227" t="s">
        <v>2825</v>
      </c>
      <c r="D85" s="227" t="s">
        <v>2724</v>
      </c>
      <c r="E85" s="227" t="s">
        <v>2725</v>
      </c>
      <c r="F85" s="227" t="s">
        <v>2726</v>
      </c>
      <c r="G85" s="227" t="s">
        <v>2727</v>
      </c>
      <c r="H85" s="227" t="s">
        <v>2728</v>
      </c>
      <c r="I85" s="227" t="s">
        <v>2735</v>
      </c>
      <c r="J85" s="227" t="s">
        <v>2726</v>
      </c>
      <c r="K85" s="227" t="s">
        <v>2726</v>
      </c>
      <c r="L85" s="227" t="s">
        <v>2726</v>
      </c>
      <c r="M85" s="227" t="s">
        <v>2730</v>
      </c>
      <c r="N85" s="227" t="s">
        <v>2737</v>
      </c>
      <c r="O85" s="228"/>
      <c r="P85" s="229" t="s">
        <v>2727</v>
      </c>
      <c r="Q85" s="230">
        <v>3691</v>
      </c>
      <c r="R85" s="230">
        <v>0</v>
      </c>
      <c r="S85" s="230">
        <v>0</v>
      </c>
      <c r="T85" s="230">
        <v>3691</v>
      </c>
      <c r="U85" s="230">
        <v>500</v>
      </c>
      <c r="V85" s="229" t="s">
        <v>2732</v>
      </c>
    </row>
    <row r="86" spans="1:22" x14ac:dyDescent="0.3">
      <c r="A86" s="227" t="s">
        <v>2723</v>
      </c>
      <c r="B86" s="227" t="s">
        <v>2552</v>
      </c>
      <c r="C86" s="227" t="s">
        <v>2826</v>
      </c>
      <c r="D86" s="227" t="s">
        <v>2724</v>
      </c>
      <c r="E86" s="227" t="s">
        <v>2725</v>
      </c>
      <c r="F86" s="227" t="s">
        <v>2726</v>
      </c>
      <c r="G86" s="227" t="s">
        <v>2727</v>
      </c>
      <c r="H86" s="227" t="s">
        <v>2728</v>
      </c>
      <c r="I86" s="227" t="s">
        <v>2735</v>
      </c>
      <c r="J86" s="227" t="s">
        <v>2726</v>
      </c>
      <c r="K86" s="227" t="s">
        <v>2726</v>
      </c>
      <c r="L86" s="227" t="s">
        <v>2726</v>
      </c>
      <c r="M86" s="227" t="s">
        <v>2730</v>
      </c>
      <c r="N86" s="227" t="s">
        <v>2737</v>
      </c>
      <c r="O86" s="228"/>
      <c r="P86" s="229" t="s">
        <v>2727</v>
      </c>
      <c r="Q86" s="230">
        <v>3250</v>
      </c>
      <c r="R86" s="230">
        <v>0</v>
      </c>
      <c r="S86" s="230">
        <v>0</v>
      </c>
      <c r="T86" s="230">
        <v>3250</v>
      </c>
      <c r="U86" s="230">
        <v>500</v>
      </c>
      <c r="V86" s="229" t="s">
        <v>2732</v>
      </c>
    </row>
  </sheetData>
  <phoneticPr fontId="10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2:N6"/>
  <sheetViews>
    <sheetView workbookViewId="0">
      <selection activeCell="C4" sqref="C4"/>
    </sheetView>
  </sheetViews>
  <sheetFormatPr defaultColWidth="9" defaultRowHeight="16.5" x14ac:dyDescent="0.3"/>
  <cols>
    <col min="1" max="1" width="16.75" style="5" bestFit="1" customWidth="1"/>
    <col min="2" max="2" width="10.875" style="5" bestFit="1" customWidth="1"/>
    <col min="3" max="3" width="9.625" style="5" bestFit="1" customWidth="1"/>
    <col min="4" max="8" width="13.875" style="5" customWidth="1"/>
    <col min="9" max="9" width="3" style="5" customWidth="1"/>
    <col min="10" max="10" width="14" style="5" customWidth="1"/>
    <col min="11" max="12" width="17.5" style="5" customWidth="1"/>
    <col min="13" max="13" width="15.25" style="5" customWidth="1"/>
    <col min="14" max="14" width="19.375" style="5" customWidth="1"/>
    <col min="15" max="16384" width="9" style="5"/>
  </cols>
  <sheetData>
    <row r="2" spans="1:14" ht="24.75" customHeight="1" x14ac:dyDescent="0.3">
      <c r="G2" s="5" t="s">
        <v>2370</v>
      </c>
      <c r="H2" s="163">
        <v>45835</v>
      </c>
    </row>
    <row r="3" spans="1:14" s="162" customFormat="1" ht="44.25" customHeight="1" x14ac:dyDescent="0.3">
      <c r="A3" s="160"/>
      <c r="B3" s="161" t="s">
        <v>2341</v>
      </c>
      <c r="C3" s="161" t="s">
        <v>2342</v>
      </c>
      <c r="D3" s="161" t="s">
        <v>2343</v>
      </c>
      <c r="E3" s="161" t="s">
        <v>2680</v>
      </c>
      <c r="F3" s="161" t="s">
        <v>2681</v>
      </c>
      <c r="G3" s="161" t="s">
        <v>2362</v>
      </c>
      <c r="H3" s="161" t="s">
        <v>2363</v>
      </c>
      <c r="J3" s="161"/>
      <c r="K3" s="161" t="s">
        <v>2368</v>
      </c>
      <c r="L3" s="161" t="s">
        <v>2366</v>
      </c>
      <c r="M3" s="161" t="s">
        <v>2367</v>
      </c>
      <c r="N3" s="161" t="s">
        <v>2369</v>
      </c>
    </row>
    <row r="4" spans="1:14" ht="43.5" customHeight="1" x14ac:dyDescent="0.3">
      <c r="A4" s="10" t="s">
        <v>2344</v>
      </c>
      <c r="B4" s="159">
        <v>2418</v>
      </c>
      <c r="C4" s="159">
        <f>57*16+14+7</f>
        <v>933</v>
      </c>
      <c r="D4" s="159">
        <f>83+316</f>
        <v>399</v>
      </c>
      <c r="E4" s="159">
        <f>1+184+1</f>
        <v>186</v>
      </c>
      <c r="F4" s="159">
        <f>3+8</f>
        <v>11</v>
      </c>
      <c r="G4" s="159">
        <v>3</v>
      </c>
      <c r="H4" s="159">
        <f>SUM(B4:G4)</f>
        <v>3950</v>
      </c>
      <c r="J4" s="10" t="s">
        <v>2364</v>
      </c>
      <c r="K4" s="10">
        <v>876</v>
      </c>
      <c r="L4" s="10">
        <v>823</v>
      </c>
      <c r="M4" s="10">
        <v>53</v>
      </c>
      <c r="N4" s="10">
        <f>K4-(L4+M4)</f>
        <v>0</v>
      </c>
    </row>
    <row r="5" spans="1:14" ht="43.5" customHeight="1" x14ac:dyDescent="0.3">
      <c r="A5" s="10" t="s">
        <v>2659</v>
      </c>
      <c r="B5" s="159">
        <v>31</v>
      </c>
      <c r="C5" s="159"/>
      <c r="D5" s="159"/>
      <c r="E5" s="159">
        <v>2</v>
      </c>
      <c r="F5" s="159"/>
      <c r="G5" s="159"/>
      <c r="H5" s="159">
        <f>SUM(B5:G5)</f>
        <v>33</v>
      </c>
      <c r="J5" s="10" t="s">
        <v>2365</v>
      </c>
      <c r="K5" s="10"/>
      <c r="L5" s="10"/>
      <c r="M5" s="10"/>
      <c r="N5" s="10">
        <f>K5-(L5+M5)</f>
        <v>0</v>
      </c>
    </row>
    <row r="6" spans="1:14" ht="43.5" customHeight="1" x14ac:dyDescent="0.3">
      <c r="A6" s="10" t="s">
        <v>2345</v>
      </c>
      <c r="B6" s="159"/>
      <c r="C6" s="159"/>
      <c r="D6" s="159"/>
      <c r="E6" s="159"/>
      <c r="F6" s="159"/>
      <c r="G6" s="159"/>
      <c r="H6" s="159">
        <f>SUM(B6:G6)</f>
        <v>0</v>
      </c>
      <c r="J6" s="10"/>
      <c r="K6" s="10">
        <f>SUM(K4:K5)</f>
        <v>876</v>
      </c>
      <c r="L6" s="10">
        <f>SUM(L4:L5)</f>
        <v>823</v>
      </c>
      <c r="M6" s="10">
        <f>SUM(M4:M5)</f>
        <v>53</v>
      </c>
      <c r="N6" s="10">
        <f>K6-(L6+M6)</f>
        <v>0</v>
      </c>
    </row>
  </sheetData>
  <phoneticPr fontId="10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워크시트</vt:lpstr>
      </vt:variant>
      <vt:variant>
        <vt:i4>13</vt:i4>
      </vt:variant>
      <vt:variant>
        <vt:lpstr>차트</vt:lpstr>
      </vt:variant>
      <vt:variant>
        <vt:i4>1</vt:i4>
      </vt:variant>
      <vt:variant>
        <vt:lpstr>이름 지정된 범위</vt:lpstr>
      </vt:variant>
      <vt:variant>
        <vt:i4>11</vt:i4>
      </vt:variant>
    </vt:vector>
  </HeadingPairs>
  <TitlesOfParts>
    <vt:vector size="25" baseType="lpstr">
      <vt:lpstr>월마감</vt:lpstr>
      <vt:lpstr>제품등록</vt:lpstr>
      <vt:lpstr>재고차이</vt:lpstr>
      <vt:lpstr>창고1(실사표)</vt:lpstr>
      <vt:lpstr>창고2(실사표)</vt:lpstr>
      <vt:lpstr>믹스(잔량실사표)</vt:lpstr>
      <vt:lpstr>주간상차</vt:lpstr>
      <vt:lpstr>파손품</vt:lpstr>
      <vt:lpstr>동파파손</vt:lpstr>
      <vt:lpstr>테그</vt:lpstr>
      <vt:lpstr>정리표</vt:lpstr>
      <vt:lpstr>SAP</vt:lpstr>
      <vt:lpstr>파렛트 월말재고실사</vt:lpstr>
      <vt:lpstr>Chart2</vt:lpstr>
      <vt:lpstr>동파파손!Print_Area</vt:lpstr>
      <vt:lpstr>'믹스(잔량실사표)'!Print_Area</vt:lpstr>
      <vt:lpstr>월마감!Print_Area</vt:lpstr>
      <vt:lpstr>재고차이!Print_Area</vt:lpstr>
      <vt:lpstr>정리표!Print_Area</vt:lpstr>
      <vt:lpstr>'창고1(실사표)'!Print_Area</vt:lpstr>
      <vt:lpstr>'창고2(실사표)'!Print_Area</vt:lpstr>
      <vt:lpstr>테그!Print_Area</vt:lpstr>
      <vt:lpstr>파손품!Print_Area</vt:lpstr>
      <vt:lpstr>정리표!상미75</vt:lpstr>
      <vt:lpstr>상미75</vt:lpstr>
    </vt:vector>
  </TitlesOfParts>
  <Company>ccb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'</dc:creator>
  <cp:lastModifiedBy>wkdthd123@naver.com</cp:lastModifiedBy>
  <cp:lastPrinted>2025-07-09T11:09:37Z</cp:lastPrinted>
  <dcterms:created xsi:type="dcterms:W3CDTF">2013-04-02T08:17:47Z</dcterms:created>
  <dcterms:modified xsi:type="dcterms:W3CDTF">2025-12-17T01:29:26Z</dcterms:modified>
</cp:coreProperties>
</file>